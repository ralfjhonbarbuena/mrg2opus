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ne.yap\Desktop\"/>
    </mc:Choice>
  </mc:AlternateContent>
  <xr:revisionPtr revIDLastSave="0" documentId="8_{9226A668-3257-4353-B2A8-0999ACDC9D09}" xr6:coauthVersionLast="47" xr6:coauthVersionMax="47" xr10:uidLastSave="{00000000-0000-0000-0000-000000000000}"/>
  <bookViews>
    <workbookView xWindow="-4170" yWindow="-16320" windowWidth="38640" windowHeight="15720" tabRatio="707" xr2:uid="{00000000-000D-0000-FFFF-FFFF00000000}"/>
  </bookViews>
  <sheets>
    <sheet name="China_TWN_SIN_HKG_KR Dry" sheetId="1" r:id="rId1"/>
    <sheet name="S.E.A_JPN_SA_AU_NZ Dry " sheetId="2" r:id="rId2"/>
    <sheet name="ISC_LK_BD_AE_PK" sheetId="3" r:id="rId3"/>
    <sheet name="Reefer" sheetId="5" r:id="rId4"/>
    <sheet name="LAWC NOR " sheetId="4" r:id="rId5"/>
    <sheet name="OOG" sheetId="6" r:id="rId6"/>
    <sheet name="Free Time" sheetId="8" r:id="rId7"/>
  </sheets>
  <definedNames>
    <definedName name="_xlnm._FilterDatabase" localSheetId="0" hidden="1">'China_TWN_SIN_HKG_KR Dry'!$A$9:$CL$110</definedName>
    <definedName name="_xlnm._FilterDatabase" localSheetId="2" hidden="1">ISC_LK_BD_AE_PK!$A$7:$BS$24</definedName>
    <definedName name="_xlnm._FilterDatabase" localSheetId="5" hidden="1">OOG!$A$5:$AA$24</definedName>
    <definedName name="_xlnm._FilterDatabase" localSheetId="1" hidden="1">'S.E.A_JPN_SA_AU_NZ Dry '!$A$9:$BS$45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BW80" i="1"/>
  <c r="BV80" i="1"/>
  <c r="BU80" i="1"/>
  <c r="BW28" i="1"/>
  <c r="BV28" i="1"/>
  <c r="BU28" i="1"/>
  <c r="BW54" i="1"/>
  <c r="BV54" i="1"/>
  <c r="BU54" i="1"/>
  <c r="BW110" i="1"/>
  <c r="BV110" i="1"/>
  <c r="BU110" i="1"/>
  <c r="BW109" i="1"/>
  <c r="BV109" i="1"/>
  <c r="BU109" i="1"/>
  <c r="BW108" i="1"/>
  <c r="BV108" i="1"/>
  <c r="BU108" i="1"/>
  <c r="BW107" i="1"/>
  <c r="BV107" i="1"/>
  <c r="BU107" i="1"/>
  <c r="BW106" i="1"/>
  <c r="BV106" i="1"/>
  <c r="BU106" i="1"/>
  <c r="BW105" i="1"/>
  <c r="BV105" i="1"/>
  <c r="BU105" i="1"/>
  <c r="BW104" i="1"/>
  <c r="BV104" i="1"/>
  <c r="BU104" i="1"/>
  <c r="BW103" i="1"/>
  <c r="BV103" i="1"/>
  <c r="BU103" i="1"/>
  <c r="BW102" i="1"/>
  <c r="BV102" i="1"/>
  <c r="BU102" i="1"/>
  <c r="BW101" i="1"/>
  <c r="BV101" i="1"/>
  <c r="BU101" i="1"/>
  <c r="BW100" i="1"/>
  <c r="BV100" i="1"/>
  <c r="BU100" i="1"/>
  <c r="BW99" i="1"/>
  <c r="BV99" i="1"/>
  <c r="BU99" i="1"/>
  <c r="BW98" i="1"/>
  <c r="BV98" i="1"/>
  <c r="BU98" i="1"/>
  <c r="BW97" i="1"/>
  <c r="BV97" i="1"/>
  <c r="BU97" i="1"/>
  <c r="BW96" i="1"/>
  <c r="BV96" i="1"/>
  <c r="BU96" i="1"/>
  <c r="BW95" i="1"/>
  <c r="BV95" i="1"/>
  <c r="BU95" i="1"/>
  <c r="BW94" i="1"/>
  <c r="BV94" i="1"/>
  <c r="BU94" i="1"/>
  <c r="BW93" i="1"/>
  <c r="BV93" i="1"/>
  <c r="BU93" i="1"/>
  <c r="BW92" i="1"/>
  <c r="BV92" i="1"/>
  <c r="BU92" i="1"/>
  <c r="BW91" i="1"/>
  <c r="BV91" i="1"/>
  <c r="BU91" i="1"/>
  <c r="BW90" i="1"/>
  <c r="BV90" i="1"/>
  <c r="BU90" i="1"/>
  <c r="BW89" i="1"/>
  <c r="BV89" i="1"/>
  <c r="BU89" i="1"/>
  <c r="BW86" i="1"/>
  <c r="BV86" i="1"/>
  <c r="BU86" i="1"/>
  <c r="BW85" i="1"/>
  <c r="BV85" i="1"/>
  <c r="BU85" i="1"/>
  <c r="BW84" i="1"/>
  <c r="BV84" i="1"/>
  <c r="BU84" i="1"/>
  <c r="BW83" i="1"/>
  <c r="BV83" i="1"/>
  <c r="BU83" i="1"/>
  <c r="BW82" i="1"/>
  <c r="BV82" i="1"/>
  <c r="BU82" i="1"/>
  <c r="BW81" i="1"/>
  <c r="BV81" i="1"/>
  <c r="BU81" i="1"/>
  <c r="BW79" i="1"/>
  <c r="BV79" i="1"/>
  <c r="BU79" i="1"/>
  <c r="BW78" i="1"/>
  <c r="BV78" i="1"/>
  <c r="BU78" i="1"/>
  <c r="BW77" i="1"/>
  <c r="BV77" i="1"/>
  <c r="BU77" i="1"/>
  <c r="BW76" i="1"/>
  <c r="BV76" i="1"/>
  <c r="BU76" i="1"/>
  <c r="BW75" i="1"/>
  <c r="BV75" i="1"/>
  <c r="BU75" i="1"/>
  <c r="BW74" i="1"/>
  <c r="BV74" i="1"/>
  <c r="BU74" i="1"/>
  <c r="BW73" i="1"/>
  <c r="BV73" i="1"/>
  <c r="BU73" i="1"/>
  <c r="BW72" i="1"/>
  <c r="BV72" i="1"/>
  <c r="BU72" i="1"/>
  <c r="BW71" i="1"/>
  <c r="BV71" i="1"/>
  <c r="BU71" i="1"/>
  <c r="BW70" i="1"/>
  <c r="BV70" i="1"/>
  <c r="BU70" i="1"/>
  <c r="BW69" i="1"/>
  <c r="BV69" i="1"/>
  <c r="BU69" i="1"/>
  <c r="BW68" i="1"/>
  <c r="BV68" i="1"/>
  <c r="BU68" i="1"/>
  <c r="BW67" i="1"/>
  <c r="BV67" i="1"/>
  <c r="BU67" i="1"/>
  <c r="BW66" i="1"/>
  <c r="BV66" i="1"/>
  <c r="BU66" i="1"/>
  <c r="BW65" i="1"/>
  <c r="BV65" i="1"/>
  <c r="BU65" i="1"/>
  <c r="BW64" i="1"/>
  <c r="BV64" i="1"/>
  <c r="BU64" i="1"/>
  <c r="BW63" i="1"/>
  <c r="BV63" i="1"/>
  <c r="BU63" i="1"/>
  <c r="BW62" i="1"/>
  <c r="BV62" i="1"/>
  <c r="BU62" i="1"/>
  <c r="BW61" i="1"/>
  <c r="BV61" i="1"/>
  <c r="BU61" i="1"/>
  <c r="BW60" i="1"/>
  <c r="BV60" i="1"/>
  <c r="BU60" i="1"/>
  <c r="BW59" i="1"/>
  <c r="BV59" i="1"/>
  <c r="BU59" i="1"/>
  <c r="BW58" i="1"/>
  <c r="BV58" i="1"/>
  <c r="BU58" i="1"/>
  <c r="BW57" i="1"/>
  <c r="BV57" i="1"/>
  <c r="BU57" i="1"/>
  <c r="BW56" i="1"/>
  <c r="BV56" i="1"/>
  <c r="BU56" i="1"/>
  <c r="BW55" i="1"/>
  <c r="BV55" i="1"/>
  <c r="BU55" i="1"/>
  <c r="BW53" i="1"/>
  <c r="BV53" i="1"/>
  <c r="BU53" i="1"/>
  <c r="BW52" i="1"/>
  <c r="BV52" i="1"/>
  <c r="BU52" i="1"/>
  <c r="BW51" i="1"/>
  <c r="BV51" i="1"/>
  <c r="BU51" i="1"/>
  <c r="BW50" i="1"/>
  <c r="BV50" i="1"/>
  <c r="BU50" i="1"/>
  <c r="BW49" i="1"/>
  <c r="BV49" i="1"/>
  <c r="BU49" i="1"/>
  <c r="BW48" i="1"/>
  <c r="BV48" i="1"/>
  <c r="BU48" i="1"/>
  <c r="BW47" i="1"/>
  <c r="BV47" i="1"/>
  <c r="BU47" i="1"/>
  <c r="BW46" i="1"/>
  <c r="BV46" i="1"/>
  <c r="BU46" i="1"/>
  <c r="BW45" i="1"/>
  <c r="BV45" i="1"/>
  <c r="BU45" i="1"/>
  <c r="BW44" i="1"/>
  <c r="BV44" i="1"/>
  <c r="BU44" i="1"/>
  <c r="BW43" i="1"/>
  <c r="BV43" i="1"/>
  <c r="BU43" i="1"/>
  <c r="BW42" i="1"/>
  <c r="BV42" i="1"/>
  <c r="BU42" i="1"/>
  <c r="BW41" i="1"/>
  <c r="BV41" i="1"/>
  <c r="BU41" i="1"/>
  <c r="BW40" i="1"/>
  <c r="BV40" i="1"/>
  <c r="BU40" i="1"/>
  <c r="BW39" i="1"/>
  <c r="BV39" i="1"/>
  <c r="BU39" i="1"/>
  <c r="BW38" i="1"/>
  <c r="BV38" i="1"/>
  <c r="BU38" i="1"/>
  <c r="BW36" i="1"/>
  <c r="BV36" i="1"/>
  <c r="BU36" i="1"/>
  <c r="BW35" i="1"/>
  <c r="BV35" i="1"/>
  <c r="BU35" i="1"/>
  <c r="BW34" i="1"/>
  <c r="BV34" i="1"/>
  <c r="BU34" i="1"/>
  <c r="BW33" i="1"/>
  <c r="BV33" i="1"/>
  <c r="BU33" i="1"/>
  <c r="BW32" i="1"/>
  <c r="BV32" i="1"/>
  <c r="BU32" i="1"/>
  <c r="BW31" i="1"/>
  <c r="BV31" i="1"/>
  <c r="BU31" i="1"/>
  <c r="BW30" i="1"/>
  <c r="BV30" i="1"/>
  <c r="BU30" i="1"/>
  <c r="BW29" i="1"/>
  <c r="BV29" i="1"/>
  <c r="BU29" i="1"/>
  <c r="BW27" i="1"/>
  <c r="BV27" i="1"/>
  <c r="BU27" i="1"/>
  <c r="BW26" i="1"/>
  <c r="BV26" i="1"/>
  <c r="BU26" i="1"/>
  <c r="BW25" i="1"/>
  <c r="BV25" i="1"/>
  <c r="BU25" i="1"/>
  <c r="BW24" i="1"/>
  <c r="BV24" i="1"/>
  <c r="BU24" i="1"/>
  <c r="BW23" i="1"/>
  <c r="BV23" i="1"/>
  <c r="BU23" i="1"/>
  <c r="BW22" i="1"/>
  <c r="BV22" i="1"/>
  <c r="BU22" i="1"/>
  <c r="BW21" i="1"/>
  <c r="BV21" i="1"/>
  <c r="BU21" i="1"/>
  <c r="BW20" i="1"/>
  <c r="BV20" i="1"/>
  <c r="BU20" i="1"/>
  <c r="BW19" i="1"/>
  <c r="BV19" i="1"/>
  <c r="BU19" i="1"/>
  <c r="BW18" i="1"/>
  <c r="BV18" i="1"/>
  <c r="BU18" i="1"/>
  <c r="BW17" i="1"/>
  <c r="BV17" i="1"/>
  <c r="BU17" i="1"/>
  <c r="BW16" i="1"/>
  <c r="BV16" i="1"/>
  <c r="BU16" i="1"/>
  <c r="BW15" i="1"/>
  <c r="BV15" i="1"/>
  <c r="BU15" i="1"/>
  <c r="BW14" i="1"/>
  <c r="BV14" i="1"/>
  <c r="BU14" i="1"/>
  <c r="BW13" i="1"/>
  <c r="BV13" i="1"/>
  <c r="BU13" i="1"/>
  <c r="BW12" i="1"/>
  <c r="BV12" i="1"/>
  <c r="BU12" i="1"/>
  <c r="BW11" i="1"/>
  <c r="BV11" i="1"/>
  <c r="BU11" i="1"/>
  <c r="BW10" i="1"/>
  <c r="BV10" i="1"/>
  <c r="BU10" i="1"/>
  <c r="BS38" i="2" l="1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24" i="3"/>
  <c r="BR24" i="3"/>
  <c r="BQ24" i="3"/>
  <c r="BS22" i="3"/>
  <c r="BR22" i="3"/>
  <c r="BQ22" i="3"/>
  <c r="BS21" i="3"/>
  <c r="BR21" i="3"/>
  <c r="BQ21" i="3"/>
  <c r="BS20" i="3"/>
  <c r="BR20" i="3"/>
  <c r="BQ20" i="3"/>
  <c r="BS19" i="3"/>
  <c r="BR19" i="3"/>
  <c r="BQ19" i="3"/>
  <c r="BS18" i="3"/>
  <c r="BR18" i="3"/>
  <c r="BQ18" i="3"/>
  <c r="BS17" i="3"/>
  <c r="BR17" i="3"/>
  <c r="BQ17" i="3"/>
  <c r="BS16" i="3"/>
  <c r="BR16" i="3"/>
  <c r="BQ16" i="3"/>
  <c r="BS15" i="3"/>
  <c r="BR15" i="3"/>
  <c r="BQ15" i="3"/>
  <c r="BS14" i="3"/>
  <c r="BR14" i="3"/>
  <c r="BQ14" i="3"/>
  <c r="BS13" i="3"/>
  <c r="BR13" i="3"/>
  <c r="BQ13" i="3"/>
  <c r="BS12" i="3"/>
  <c r="BR12" i="3"/>
  <c r="BQ12" i="3"/>
  <c r="BS11" i="3"/>
  <c r="BR11" i="3"/>
  <c r="BQ11" i="3"/>
  <c r="BS10" i="3"/>
  <c r="BR10" i="3"/>
  <c r="BQ10" i="3"/>
  <c r="BS9" i="3"/>
  <c r="BR9" i="3"/>
  <c r="BQ9" i="3"/>
  <c r="BS8" i="3"/>
  <c r="BR8" i="3"/>
  <c r="BQ8" i="3"/>
  <c r="B2" i="3" l="1"/>
  <c r="B4" i="2" l="1"/>
  <c r="D2" i="3"/>
  <c r="B2" i="6"/>
  <c r="B2" i="4"/>
  <c r="B2" i="5"/>
  <c r="C2" i="5" l="1"/>
  <c r="E2" i="6"/>
  <c r="D2" i="6"/>
  <c r="D2" i="4" l="1"/>
  <c r="D2" i="5"/>
  <c r="C2" i="4"/>
  <c r="E66" i="6"/>
  <c r="U46" i="6" s="1"/>
  <c r="D66" i="6"/>
  <c r="T45" i="6" s="1"/>
  <c r="E65" i="6"/>
  <c r="D65" i="6"/>
  <c r="E64" i="6"/>
  <c r="D64" i="6"/>
  <c r="B66" i="6"/>
  <c r="D46" i="6" s="1"/>
  <c r="B65" i="6"/>
  <c r="B64" i="6"/>
  <c r="C66" i="6"/>
  <c r="C65" i="6"/>
  <c r="C64" i="6"/>
  <c r="Z32" i="6" l="1"/>
  <c r="Y32" i="6"/>
  <c r="AA31" i="6"/>
  <c r="Z31" i="6"/>
  <c r="D33" i="6"/>
  <c r="I32" i="6"/>
  <c r="I31" i="6"/>
  <c r="D31" i="6"/>
  <c r="D43" i="6"/>
  <c r="D32" i="6"/>
  <c r="W45" i="6"/>
  <c r="X46" i="6"/>
  <c r="X43" i="6" s="1"/>
  <c r="X45" i="6"/>
  <c r="W46" i="6"/>
  <c r="W43" i="6" s="1"/>
  <c r="Y45" i="6"/>
  <c r="V45" i="6"/>
  <c r="Y46" i="6"/>
  <c r="Y43" i="6" s="1"/>
  <c r="V46" i="6"/>
  <c r="V43" i="6" s="1"/>
  <c r="V42" i="6"/>
  <c r="U38" i="6"/>
  <c r="T35" i="6"/>
  <c r="X41" i="6"/>
  <c r="T38" i="6"/>
  <c r="AA34" i="6"/>
  <c r="AA37" i="6"/>
  <c r="V41" i="6"/>
  <c r="U41" i="6"/>
  <c r="X33" i="6"/>
  <c r="X36" i="6"/>
  <c r="AA42" i="6"/>
  <c r="W32" i="6"/>
  <c r="Y42" i="6"/>
  <c r="X38" i="6"/>
  <c r="W35" i="6"/>
  <c r="V32" i="6"/>
  <c r="T37" i="6"/>
  <c r="Y33" i="6"/>
  <c r="T40" i="6"/>
  <c r="W36" i="6"/>
  <c r="X32" i="6"/>
  <c r="X35" i="6"/>
  <c r="X42" i="6"/>
  <c r="W38" i="6"/>
  <c r="V35" i="6"/>
  <c r="U32" i="6"/>
  <c r="W41" i="6"/>
  <c r="T34" i="6"/>
  <c r="AA33" i="6"/>
  <c r="AA36" i="6"/>
  <c r="T41" i="6"/>
  <c r="Y36" i="6"/>
  <c r="W33" i="6"/>
  <c r="W42" i="6"/>
  <c r="V38" i="6"/>
  <c r="U35" i="6"/>
  <c r="T32" i="6"/>
  <c r="V36" i="6"/>
  <c r="T42" i="6"/>
  <c r="T39" i="6"/>
  <c r="X37" i="6"/>
  <c r="T36" i="6"/>
  <c r="X34" i="6"/>
  <c r="T33" i="6"/>
  <c r="W31" i="6"/>
  <c r="U42" i="6"/>
  <c r="Y37" i="6"/>
  <c r="X31" i="6"/>
  <c r="W37" i="6"/>
  <c r="W34" i="6"/>
  <c r="V31" i="6"/>
  <c r="V33" i="6"/>
  <c r="Y31" i="6"/>
  <c r="U39" i="6"/>
  <c r="U36" i="6"/>
  <c r="Y34" i="6"/>
  <c r="U33" i="6"/>
  <c r="AA41" i="6"/>
  <c r="AA38" i="6"/>
  <c r="V37" i="6"/>
  <c r="AA35" i="6"/>
  <c r="V34" i="6"/>
  <c r="AA32" i="6"/>
  <c r="U31" i="6"/>
  <c r="Y41" i="6"/>
  <c r="U40" i="6"/>
  <c r="Y38" i="6"/>
  <c r="U37" i="6"/>
  <c r="Y35" i="6"/>
  <c r="U34" i="6"/>
  <c r="T31" i="6"/>
  <c r="U44" i="6"/>
  <c r="U43" i="6"/>
  <c r="T46" i="6"/>
  <c r="AA46" i="6"/>
  <c r="AA45" i="6"/>
  <c r="Z46" i="6"/>
  <c r="Z45" i="6"/>
  <c r="Z42" i="6"/>
  <c r="Z41" i="6"/>
  <c r="Z38" i="6"/>
  <c r="Z37" i="6"/>
  <c r="Z36" i="6"/>
  <c r="Z35" i="6"/>
  <c r="Z34" i="6"/>
  <c r="Z33" i="6"/>
  <c r="U45" i="6"/>
  <c r="V44" i="6" l="1"/>
  <c r="X44" i="6"/>
  <c r="W44" i="6"/>
  <c r="H32" i="6"/>
  <c r="H40" i="6" s="1"/>
  <c r="D36" i="6"/>
  <c r="R36" i="6"/>
  <c r="R32" i="6"/>
  <c r="R40" i="6" s="1"/>
  <c r="L33" i="6"/>
  <c r="R42" i="6"/>
  <c r="D42" i="6"/>
  <c r="L32" i="6"/>
  <c r="P36" i="6"/>
  <c r="P42" i="6"/>
  <c r="H35" i="6"/>
  <c r="F33" i="6"/>
  <c r="F39" i="6" s="1"/>
  <c r="F37" i="6"/>
  <c r="H33" i="6"/>
  <c r="H39" i="6" s="1"/>
  <c r="N34" i="6"/>
  <c r="N38" i="6"/>
  <c r="L38" i="6"/>
  <c r="D37" i="6"/>
  <c r="D39" i="6" s="1"/>
  <c r="H36" i="6"/>
  <c r="H38" i="6"/>
  <c r="R33" i="6"/>
  <c r="R39" i="6" s="1"/>
  <c r="R37" i="6"/>
  <c r="H34" i="6"/>
  <c r="L36" i="6"/>
  <c r="L35" i="6"/>
  <c r="P37" i="6"/>
  <c r="N35" i="6"/>
  <c r="P34" i="6"/>
  <c r="P38" i="6"/>
  <c r="J37" i="6"/>
  <c r="J41" i="6"/>
  <c r="F35" i="6"/>
  <c r="F41" i="6"/>
  <c r="N36" i="6"/>
  <c r="N42" i="6"/>
  <c r="J34" i="6"/>
  <c r="P33" i="6"/>
  <c r="P39" i="6" s="1"/>
  <c r="H37" i="6"/>
  <c r="F34" i="6"/>
  <c r="J32" i="6"/>
  <c r="J40" i="6" s="1"/>
  <c r="H42" i="6"/>
  <c r="D34" i="6"/>
  <c r="J33" i="6"/>
  <c r="J39" i="6" s="1"/>
  <c r="R38" i="6"/>
  <c r="L42" i="6"/>
  <c r="D35" i="6"/>
  <c r="D41" i="6"/>
  <c r="J38" i="6"/>
  <c r="R35" i="6"/>
  <c r="R41" i="6"/>
  <c r="N32" i="6"/>
  <c r="N40" i="6" s="1"/>
  <c r="J35" i="6"/>
  <c r="L41" i="6"/>
  <c r="P32" i="6"/>
  <c r="P40" i="6" s="1"/>
  <c r="H41" i="6"/>
  <c r="F38" i="6"/>
  <c r="N41" i="6"/>
  <c r="L34" i="6"/>
  <c r="D38" i="6"/>
  <c r="R34" i="6"/>
  <c r="J36" i="6"/>
  <c r="L37" i="6"/>
  <c r="L39" i="6" s="1"/>
  <c r="P35" i="6"/>
  <c r="P41" i="6"/>
  <c r="J42" i="6"/>
  <c r="F32" i="6"/>
  <c r="F40" i="6" s="1"/>
  <c r="F36" i="6"/>
  <c r="F42" i="6"/>
  <c r="N33" i="6"/>
  <c r="N39" i="6" s="1"/>
  <c r="N37" i="6"/>
  <c r="Y44" i="6"/>
  <c r="D45" i="6"/>
  <c r="P45" i="6"/>
  <c r="H46" i="6"/>
  <c r="N46" i="6"/>
  <c r="L45" i="6"/>
  <c r="P46" i="6"/>
  <c r="N45" i="6"/>
  <c r="F46" i="6"/>
  <c r="R46" i="6"/>
  <c r="R45" i="6"/>
  <c r="F45" i="6"/>
  <c r="J46" i="6"/>
  <c r="H45" i="6"/>
  <c r="L46" i="6"/>
  <c r="J45" i="6"/>
  <c r="I45" i="6"/>
  <c r="M45" i="6"/>
  <c r="Q46" i="6"/>
  <c r="O45" i="6"/>
  <c r="G46" i="6"/>
  <c r="S46" i="6"/>
  <c r="E45" i="6"/>
  <c r="Q45" i="6"/>
  <c r="I46" i="6"/>
  <c r="M46" i="6"/>
  <c r="K45" i="6"/>
  <c r="S45" i="6"/>
  <c r="K46" i="6"/>
  <c r="O46" i="6"/>
  <c r="E46" i="6"/>
  <c r="G45" i="6"/>
  <c r="AA39" i="6"/>
  <c r="AA40" i="6"/>
  <c r="V40" i="6"/>
  <c r="V39" i="6"/>
  <c r="W40" i="6"/>
  <c r="W39" i="6"/>
  <c r="X40" i="6"/>
  <c r="X39" i="6"/>
  <c r="Y39" i="6"/>
  <c r="Y40" i="6"/>
  <c r="Z39" i="6"/>
  <c r="Z40" i="6"/>
  <c r="AA43" i="6"/>
  <c r="AA44" i="6"/>
  <c r="T43" i="6"/>
  <c r="T44" i="6"/>
  <c r="P31" i="6"/>
  <c r="J31" i="6"/>
  <c r="F31" i="6"/>
  <c r="R31" i="6"/>
  <c r="H31" i="6"/>
  <c r="N31" i="6"/>
  <c r="L31" i="6"/>
  <c r="Z43" i="6"/>
  <c r="Z44" i="6"/>
  <c r="D40" i="6" l="1"/>
  <c r="L40" i="6"/>
  <c r="S43" i="6"/>
  <c r="S44" i="6"/>
  <c r="R43" i="6"/>
  <c r="R44" i="6"/>
  <c r="F43" i="6"/>
  <c r="F44" i="6"/>
  <c r="Q43" i="6"/>
  <c r="Q44" i="6"/>
  <c r="K44" i="6"/>
  <c r="K43" i="6"/>
  <c r="N43" i="6"/>
  <c r="N44" i="6"/>
  <c r="M43" i="6"/>
  <c r="M44" i="6"/>
  <c r="L43" i="6"/>
  <c r="L44" i="6"/>
  <c r="I43" i="6"/>
  <c r="I44" i="6"/>
  <c r="G44" i="6"/>
  <c r="G43" i="6"/>
  <c r="E43" i="6"/>
  <c r="E44" i="6"/>
  <c r="O43" i="6"/>
  <c r="O44" i="6"/>
  <c r="P43" i="6"/>
  <c r="P44" i="6"/>
  <c r="D44" i="6"/>
  <c r="H44" i="6"/>
  <c r="H43" i="6"/>
  <c r="J43" i="6"/>
  <c r="J44" i="6"/>
  <c r="M31" i="6"/>
  <c r="E31" i="6"/>
  <c r="Q31" i="6"/>
  <c r="S31" i="6"/>
  <c r="K31" i="6"/>
  <c r="G31" i="6"/>
  <c r="O31" i="6"/>
  <c r="S32" i="6" l="1"/>
  <c r="S40" i="6" s="1"/>
  <c r="G33" i="6"/>
  <c r="G39" i="6" s="1"/>
  <c r="S34" i="6"/>
  <c r="G36" i="6"/>
  <c r="S37" i="6"/>
  <c r="G42" i="6"/>
  <c r="K35" i="6"/>
  <c r="K37" i="6"/>
  <c r="M33" i="6"/>
  <c r="E32" i="6"/>
  <c r="Q32" i="6"/>
  <c r="Q40" i="6" s="1"/>
  <c r="E33" i="6"/>
  <c r="Q33" i="6"/>
  <c r="Q39" i="6" s="1"/>
  <c r="E34" i="6"/>
  <c r="Q34" i="6"/>
  <c r="E35" i="6"/>
  <c r="Q35" i="6"/>
  <c r="E36" i="6"/>
  <c r="Q36" i="6"/>
  <c r="E37" i="6"/>
  <c r="Q37" i="6"/>
  <c r="E38" i="6"/>
  <c r="Q38" i="6"/>
  <c r="E41" i="6"/>
  <c r="Q41" i="6"/>
  <c r="E42" i="6"/>
  <c r="Q42" i="6"/>
  <c r="G32" i="6"/>
  <c r="G40" i="6" s="1"/>
  <c r="S33" i="6"/>
  <c r="S39" i="6" s="1"/>
  <c r="G35" i="6"/>
  <c r="S36" i="6"/>
  <c r="G38" i="6"/>
  <c r="G41" i="6"/>
  <c r="S42" i="6"/>
  <c r="I40" i="6"/>
  <c r="I35" i="6"/>
  <c r="K32" i="6"/>
  <c r="K40" i="6" s="1"/>
  <c r="K33" i="6"/>
  <c r="K39" i="6" s="1"/>
  <c r="K36" i="6"/>
  <c r="K38" i="6"/>
  <c r="M38" i="6"/>
  <c r="M42" i="6"/>
  <c r="G34" i="6"/>
  <c r="S35" i="6"/>
  <c r="G37" i="6"/>
  <c r="S38" i="6"/>
  <c r="S41" i="6"/>
  <c r="I33" i="6"/>
  <c r="I39" i="6" s="1"/>
  <c r="I37" i="6"/>
  <c r="I41" i="6"/>
  <c r="K34" i="6"/>
  <c r="K42" i="6"/>
  <c r="M36" i="6"/>
  <c r="M37" i="6"/>
  <c r="M41" i="6"/>
  <c r="O32" i="6"/>
  <c r="O40" i="6" s="1"/>
  <c r="O33" i="6"/>
  <c r="O39" i="6" s="1"/>
  <c r="O34" i="6"/>
  <c r="O35" i="6"/>
  <c r="O36" i="6"/>
  <c r="O37" i="6"/>
  <c r="O38" i="6"/>
  <c r="O41" i="6"/>
  <c r="O42" i="6"/>
  <c r="I34" i="6"/>
  <c r="I36" i="6"/>
  <c r="I38" i="6"/>
  <c r="I42" i="6"/>
  <c r="K41" i="6"/>
  <c r="M32" i="6"/>
  <c r="M34" i="6"/>
  <c r="M35" i="6"/>
  <c r="E39" i="6" l="1"/>
  <c r="E40" i="6"/>
  <c r="M40" i="6"/>
  <c r="M39" i="6"/>
</calcChain>
</file>

<file path=xl/sharedStrings.xml><?xml version="1.0" encoding="utf-8"?>
<sst xmlns="http://schemas.openxmlformats.org/spreadsheetml/2006/main" count="1186" uniqueCount="519">
  <si>
    <t>LAWC FAK Guideline rates</t>
  </si>
  <si>
    <t>From</t>
  </si>
  <si>
    <t>To</t>
  </si>
  <si>
    <t xml:space="preserve">Validity period </t>
  </si>
  <si>
    <t>POD</t>
  </si>
  <si>
    <t xml:space="preserve">Manzanillo,MX </t>
  </si>
  <si>
    <t>Lazaro Cardenas, MX</t>
  </si>
  <si>
    <t xml:space="preserve">Callao, PE </t>
  </si>
  <si>
    <t xml:space="preserve"> Lirquen, CL</t>
  </si>
  <si>
    <t xml:space="preserve">San Antonio, CL </t>
  </si>
  <si>
    <t>Valparaiso, CL</t>
  </si>
  <si>
    <t xml:space="preserve">Buenaventura, CO </t>
  </si>
  <si>
    <t>Guayaquil, EC</t>
  </si>
  <si>
    <t xml:space="preserve"> Iquique, CL</t>
  </si>
  <si>
    <t>Antofagasta, CL</t>
  </si>
  <si>
    <t>Puerto Angamos, CL</t>
  </si>
  <si>
    <t>Ensenada, MX</t>
  </si>
  <si>
    <t>Puerto Quetzal, GT</t>
  </si>
  <si>
    <t xml:space="preserve"> Rodman , PA</t>
  </si>
  <si>
    <t>Panama City, PA (Door) (via  Rodman, PA)</t>
  </si>
  <si>
    <t xml:space="preserve"> Puerto Caldera, CR</t>
  </si>
  <si>
    <t xml:space="preserve">Acajutla, SV </t>
  </si>
  <si>
    <t xml:space="preserve"> Corinto, NI </t>
  </si>
  <si>
    <t>MXZLO</t>
  </si>
  <si>
    <t>MXLZC</t>
  </si>
  <si>
    <t xml:space="preserve">PECLL </t>
  </si>
  <si>
    <t>CLLQN</t>
  </si>
  <si>
    <t xml:space="preserve"> CLSAI</t>
  </si>
  <si>
    <t xml:space="preserve"> CLVAP</t>
  </si>
  <si>
    <t xml:space="preserve"> COBUN</t>
  </si>
  <si>
    <t xml:space="preserve">ECGYE </t>
  </si>
  <si>
    <t>CLIQQ</t>
  </si>
  <si>
    <t>CLANF</t>
  </si>
  <si>
    <t>CLPAG</t>
  </si>
  <si>
    <t>MXESE</t>
  </si>
  <si>
    <t>GTPRQ</t>
  </si>
  <si>
    <t>PAROD</t>
  </si>
  <si>
    <t>PAPTY</t>
  </si>
  <si>
    <t>CRCAL</t>
  </si>
  <si>
    <t xml:space="preserve">SVAQJ </t>
  </si>
  <si>
    <t xml:space="preserve"> NICIO </t>
  </si>
  <si>
    <t>HNSLO</t>
  </si>
  <si>
    <t>POR</t>
  </si>
  <si>
    <t xml:space="preserve">Via </t>
  </si>
  <si>
    <t>POR CODE</t>
  </si>
  <si>
    <t>20'</t>
  </si>
  <si>
    <t>40'</t>
  </si>
  <si>
    <t>HCD</t>
  </si>
  <si>
    <t>Pusan</t>
  </si>
  <si>
    <t>KRPUS</t>
  </si>
  <si>
    <t>Hong Kong</t>
  </si>
  <si>
    <t>HKHKG</t>
  </si>
  <si>
    <t>Singapore</t>
  </si>
  <si>
    <t>SGSIN</t>
  </si>
  <si>
    <t>Shanghai</t>
  </si>
  <si>
    <t>CNSHA</t>
  </si>
  <si>
    <t>Ningbo</t>
  </si>
  <si>
    <t>CNNGB</t>
  </si>
  <si>
    <t>Yantian</t>
  </si>
  <si>
    <t>CNYTN</t>
  </si>
  <si>
    <t>Shekou</t>
  </si>
  <si>
    <t>CNSHK</t>
  </si>
  <si>
    <t>Xiamen</t>
  </si>
  <si>
    <t>CNXMN</t>
  </si>
  <si>
    <t>Keelung</t>
  </si>
  <si>
    <t>TWKEL</t>
  </si>
  <si>
    <t>Kaohsiung</t>
  </si>
  <si>
    <t>TWKHH</t>
  </si>
  <si>
    <t>Taichung</t>
  </si>
  <si>
    <t>TWTXG</t>
  </si>
  <si>
    <t>Dalian</t>
  </si>
  <si>
    <t>CNDLC</t>
  </si>
  <si>
    <t>Xingang</t>
  </si>
  <si>
    <t>CNTXG</t>
  </si>
  <si>
    <t xml:space="preserve">Qingdao </t>
  </si>
  <si>
    <t>CNTAO</t>
  </si>
  <si>
    <t>Huangpu</t>
  </si>
  <si>
    <t>CNHUA</t>
  </si>
  <si>
    <t>Changsha</t>
  </si>
  <si>
    <t>CNCSX</t>
  </si>
  <si>
    <t>Changzhou</t>
  </si>
  <si>
    <t>CNCZX</t>
  </si>
  <si>
    <t xml:space="preserve">Chongqing </t>
  </si>
  <si>
    <t>Via SHA</t>
  </si>
  <si>
    <t>CNCKG</t>
  </si>
  <si>
    <t>Via NGB</t>
  </si>
  <si>
    <t>Changshu</t>
  </si>
  <si>
    <t>CNCGU</t>
  </si>
  <si>
    <t>Foshan</t>
  </si>
  <si>
    <t>CNFOS</t>
  </si>
  <si>
    <t>Sanshui</t>
  </si>
  <si>
    <t>CNSJQ</t>
  </si>
  <si>
    <t>Beijiao</t>
  </si>
  <si>
    <t>CNYQS</t>
  </si>
  <si>
    <t>Leliu</t>
  </si>
  <si>
    <t>CNLUU</t>
  </si>
  <si>
    <t>Rongqi</t>
  </si>
  <si>
    <t>CNROQ</t>
  </si>
  <si>
    <t>Xiaolan</t>
  </si>
  <si>
    <t>CNXIL</t>
  </si>
  <si>
    <t>Gaoming</t>
  </si>
  <si>
    <t>CNGOM</t>
  </si>
  <si>
    <t>Nanhai</t>
  </si>
  <si>
    <t>CNNAH</t>
  </si>
  <si>
    <t>Shunde</t>
  </si>
  <si>
    <t>CNSUD</t>
  </si>
  <si>
    <t>Nansha</t>
  </si>
  <si>
    <t>CNNSA</t>
  </si>
  <si>
    <t>Zhongshan</t>
  </si>
  <si>
    <t>CNZSN</t>
  </si>
  <si>
    <t>Doumen</t>
  </si>
  <si>
    <t>CNDOU</t>
  </si>
  <si>
    <t>Jiujiang, Guangdong</t>
  </si>
  <si>
    <t>CNJJG</t>
  </si>
  <si>
    <t>Qinzhou</t>
  </si>
  <si>
    <t>CNQZH</t>
  </si>
  <si>
    <t>FangCheng</t>
  </si>
  <si>
    <t>CNFAN</t>
  </si>
  <si>
    <t>Jiangmen</t>
  </si>
  <si>
    <t>CNJMN</t>
  </si>
  <si>
    <t>Yunfu</t>
  </si>
  <si>
    <t>CNYNF</t>
  </si>
  <si>
    <t>Zhanjiang</t>
  </si>
  <si>
    <t>CNZHA</t>
  </si>
  <si>
    <t>Jiujiang, Jiangxi</t>
  </si>
  <si>
    <t>CNJIU</t>
  </si>
  <si>
    <t>Nanchang</t>
  </si>
  <si>
    <t>CNKHN</t>
  </si>
  <si>
    <t>Nanjing</t>
  </si>
  <si>
    <t>CNNKG</t>
  </si>
  <si>
    <t>Nantong</t>
  </si>
  <si>
    <t>CNNTG</t>
  </si>
  <si>
    <t>Qinhuangdao</t>
  </si>
  <si>
    <t>CNSHP</t>
  </si>
  <si>
    <t>SanShan</t>
  </si>
  <si>
    <t>CNSHG</t>
  </si>
  <si>
    <t>Shantou</t>
  </si>
  <si>
    <t>CNSWA</t>
  </si>
  <si>
    <t>Taizhou, Jiangsu</t>
  </si>
  <si>
    <t>CNTZO</t>
  </si>
  <si>
    <t>WEIFANG, Shangdong</t>
  </si>
  <si>
    <t>CNWFN</t>
  </si>
  <si>
    <t xml:space="preserve">YANTAI </t>
  </si>
  <si>
    <t>Via TAO</t>
  </si>
  <si>
    <t>CNYNT</t>
  </si>
  <si>
    <t xml:space="preserve">WEIHAI </t>
  </si>
  <si>
    <t>Via TAO to</t>
  </si>
  <si>
    <t>CNWEI</t>
  </si>
  <si>
    <t>RIZHAO</t>
  </si>
  <si>
    <t>CNRZH</t>
  </si>
  <si>
    <t>TAI´AN</t>
  </si>
  <si>
    <t>CNTAA</t>
  </si>
  <si>
    <t>Jiangyin</t>
  </si>
  <si>
    <t>CNJIA</t>
  </si>
  <si>
    <t>Wuhu</t>
  </si>
  <si>
    <t>CNWHI</t>
  </si>
  <si>
    <t>Wuzhou</t>
  </si>
  <si>
    <t>CNWUZ</t>
  </si>
  <si>
    <t>Wuhan</t>
  </si>
  <si>
    <t>CNWUH</t>
  </si>
  <si>
    <t>Taicang</t>
  </si>
  <si>
    <t>CNTAG</t>
  </si>
  <si>
    <t xml:space="preserve">Taicang </t>
  </si>
  <si>
    <t>Yangzhou</t>
  </si>
  <si>
    <t>CNYZH</t>
  </si>
  <si>
    <t>Zhenjiang</t>
  </si>
  <si>
    <t xml:space="preserve">Via SHA </t>
  </si>
  <si>
    <t>CNZHE</t>
  </si>
  <si>
    <t xml:space="preserve">Zhenjiang </t>
  </si>
  <si>
    <t xml:space="preserve">Zhangjiagang </t>
  </si>
  <si>
    <t>CNZJG</t>
  </si>
  <si>
    <t>Zhangjiagang</t>
  </si>
  <si>
    <t>Wuxi</t>
  </si>
  <si>
    <t>CNWUX</t>
  </si>
  <si>
    <t>Dafeng</t>
  </si>
  <si>
    <t>CNDFG</t>
  </si>
  <si>
    <t>Anqing</t>
  </si>
  <si>
    <t>CNAQG</t>
  </si>
  <si>
    <t>Hefei</t>
  </si>
  <si>
    <t>CNHFE</t>
  </si>
  <si>
    <t>Huangshi</t>
  </si>
  <si>
    <t>CNHSI</t>
  </si>
  <si>
    <t>Yueyang (Chenglingji)</t>
  </si>
  <si>
    <t>CNYUY</t>
  </si>
  <si>
    <t>Lianyungang</t>
  </si>
  <si>
    <t>CNLYG</t>
  </si>
  <si>
    <t xml:space="preserve">Zhapu </t>
  </si>
  <si>
    <t>CNZAP</t>
  </si>
  <si>
    <t>Wenzhou</t>
  </si>
  <si>
    <t>CNWNZ</t>
  </si>
  <si>
    <t>CY/CY, Non - DG</t>
  </si>
  <si>
    <t>LSF will be zero wef 01 Jan 2020 as we incorporated into OBS.</t>
  </si>
  <si>
    <t>** This is not deactivate as we will resume once CN costal regulation become 0.1%</t>
  </si>
  <si>
    <t>HEA Quantum (Applicable for Ax1/2/3)</t>
  </si>
  <si>
    <t>POD: VAP/BUN/CLL/ZLO</t>
  </si>
  <si>
    <t>POD: All POD (exclude VAP/BUN/CLL/ZLO)</t>
  </si>
  <si>
    <t>Weight</t>
  </si>
  <si>
    <t>POL</t>
  </si>
  <si>
    <t>&gt;18-21 mtons</t>
  </si>
  <si>
    <t>&gt;21.01 Mtons and above</t>
  </si>
  <si>
    <t>Ex CN</t>
  </si>
  <si>
    <t>USD 150/20'</t>
  </si>
  <si>
    <t>USD 200/20'</t>
  </si>
  <si>
    <t>All POL (exclude CN)</t>
  </si>
  <si>
    <t>Our FAK rates are for Non- DG cargo, Our HAZ top up is - Usd 200/ TEUS, IMO 8/9 is USD 100/ TEUS</t>
  </si>
  <si>
    <t>Free line detention combine (port storage and demurrage under cnee own negotiation with terminal)</t>
  </si>
  <si>
    <t>Peru</t>
  </si>
  <si>
    <t>Mexico</t>
  </si>
  <si>
    <t>Colombia</t>
  </si>
  <si>
    <t>Ecuador</t>
  </si>
  <si>
    <t>Guatemala</t>
  </si>
  <si>
    <t>Nicaragua</t>
  </si>
  <si>
    <t>Costa Rica</t>
  </si>
  <si>
    <t>El Salvador</t>
  </si>
  <si>
    <t>Hondura</t>
  </si>
  <si>
    <t>Panama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</si>
  <si>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</si>
  <si>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</si>
  <si>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</si>
  <si>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</si>
  <si>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</si>
  <si>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</si>
  <si>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</si>
  <si>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</si>
  <si>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Port Klang</t>
  </si>
  <si>
    <t>MYPKG</t>
  </si>
  <si>
    <t>Penang</t>
  </si>
  <si>
    <t>MYPEN</t>
  </si>
  <si>
    <t>Tanjong Pelepas</t>
  </si>
  <si>
    <t>MYTPP</t>
  </si>
  <si>
    <t>Pasir Gudang</t>
  </si>
  <si>
    <t>MYPGU</t>
  </si>
  <si>
    <t>Jakarta</t>
  </si>
  <si>
    <t>IDJKT</t>
  </si>
  <si>
    <t>Surabaya</t>
  </si>
  <si>
    <t>IDSUB</t>
  </si>
  <si>
    <t>Belawan</t>
  </si>
  <si>
    <t>IDBLW</t>
  </si>
  <si>
    <t>Semarang</t>
  </si>
  <si>
    <t>IDSRG</t>
  </si>
  <si>
    <t>Manila</t>
  </si>
  <si>
    <t>PHMNL</t>
  </si>
  <si>
    <t>Davao</t>
  </si>
  <si>
    <t>PHDVO</t>
  </si>
  <si>
    <t>Cebu</t>
  </si>
  <si>
    <t>PHCEB</t>
  </si>
  <si>
    <t>General Santos</t>
  </si>
  <si>
    <t>PHGES</t>
  </si>
  <si>
    <t>Ho Chi Minh City</t>
  </si>
  <si>
    <t>VNSGN, VNCMP, VNDIA, VNBHA</t>
  </si>
  <si>
    <t>Danang</t>
  </si>
  <si>
    <t>VNDAD/ VNUIH</t>
  </si>
  <si>
    <t>Haiphong</t>
  </si>
  <si>
    <t>VNHPH</t>
  </si>
  <si>
    <t>Jeddah</t>
  </si>
  <si>
    <t>SAJED</t>
  </si>
  <si>
    <t>Melbourne</t>
  </si>
  <si>
    <t>AUMEL</t>
  </si>
  <si>
    <t>Adelaide</t>
  </si>
  <si>
    <t>AUADL</t>
  </si>
  <si>
    <t>Sydney</t>
  </si>
  <si>
    <t>AUSYD</t>
  </si>
  <si>
    <t>Brisbane</t>
  </si>
  <si>
    <t>AUBNE</t>
  </si>
  <si>
    <t>Fremantle</t>
  </si>
  <si>
    <t>AUFRE</t>
  </si>
  <si>
    <t>Auckland</t>
  </si>
  <si>
    <t>NZAKL</t>
  </si>
  <si>
    <t>Tauranga</t>
  </si>
  <si>
    <t>NZTRG</t>
  </si>
  <si>
    <t>Lyttelton</t>
  </si>
  <si>
    <t>NZLYT</t>
  </si>
  <si>
    <t>Napier</t>
  </si>
  <si>
    <t>NZNPE</t>
  </si>
  <si>
    <t>Yokohama</t>
  </si>
  <si>
    <t>JPYOK</t>
  </si>
  <si>
    <t>Tokyo</t>
  </si>
  <si>
    <t>JPTYO</t>
  </si>
  <si>
    <t>Nagoya*</t>
  </si>
  <si>
    <t>JPNGO</t>
  </si>
  <si>
    <t>Kobe*</t>
  </si>
  <si>
    <t>JPUKB</t>
  </si>
  <si>
    <t>Osaka*</t>
  </si>
  <si>
    <t>JPOSA</t>
  </si>
  <si>
    <t>Hakata*</t>
  </si>
  <si>
    <t>JPHKT</t>
  </si>
  <si>
    <t>*via Pusan only</t>
  </si>
  <si>
    <t xml:space="preserve">Ex  JPN : Rates are inclusive of BRS/ BAF / LSF  only subj OBS , HEA ** CSS, SLF, THCS both end , Doc fees, PSS  both end , prevailing surcharges in Opus and local charges
</t>
  </si>
  <si>
    <t>HEA Quantum** (Applicable for Ax1 /2/3)</t>
  </si>
  <si>
    <t>18- 21 mtons - USD 150/20'</t>
  </si>
  <si>
    <t>21.01 mtons and above - 200/20'</t>
  </si>
  <si>
    <t xml:space="preserve"> Lazaro Cardenas, MX</t>
  </si>
  <si>
    <t xml:space="preserve"> San Antonio, CL </t>
  </si>
  <si>
    <t xml:space="preserve">Liquren, CL  </t>
  </si>
  <si>
    <t>Puerto Caldera, CR</t>
  </si>
  <si>
    <t>Acajutla, SV</t>
  </si>
  <si>
    <t xml:space="preserve"> MXLZC</t>
  </si>
  <si>
    <t>CLSAI</t>
  </si>
  <si>
    <t>PECLL</t>
  </si>
  <si>
    <t xml:space="preserve"> CRCAL</t>
  </si>
  <si>
    <t>Colombo</t>
  </si>
  <si>
    <t>LKCMB</t>
  </si>
  <si>
    <t>Chennai</t>
  </si>
  <si>
    <t>INMAA</t>
  </si>
  <si>
    <t>Kattupalli</t>
  </si>
  <si>
    <t>INKTP</t>
  </si>
  <si>
    <t>Cochin</t>
  </si>
  <si>
    <t>INCOK</t>
  </si>
  <si>
    <t>Mangalore</t>
  </si>
  <si>
    <t>INXIE</t>
  </si>
  <si>
    <t>Tuticorin</t>
  </si>
  <si>
    <t>INTUT</t>
  </si>
  <si>
    <t>Calcutta</t>
  </si>
  <si>
    <t>INCCU</t>
  </si>
  <si>
    <t>Haldia</t>
  </si>
  <si>
    <t>INHAL</t>
  </si>
  <si>
    <t>Mundra</t>
  </si>
  <si>
    <t>INMUN</t>
  </si>
  <si>
    <t>Pipavav</t>
  </si>
  <si>
    <t>INPAV</t>
  </si>
  <si>
    <t>Vizag</t>
  </si>
  <si>
    <t>INVTZ</t>
  </si>
  <si>
    <t>Nhava Sheva</t>
  </si>
  <si>
    <t>INNSA</t>
  </si>
  <si>
    <t>Chittagong</t>
  </si>
  <si>
    <t>BDCGP</t>
  </si>
  <si>
    <t>Mongla</t>
  </si>
  <si>
    <t>BDMGL</t>
  </si>
  <si>
    <t>Jebel Ali</t>
  </si>
  <si>
    <t>AEJEA</t>
  </si>
  <si>
    <t>Karachi</t>
  </si>
  <si>
    <t>PKKHI</t>
  </si>
  <si>
    <t xml:space="preserve">  Manzanillo, MX </t>
  </si>
  <si>
    <t xml:space="preserve">   Lazaro Cardenas, MX </t>
  </si>
  <si>
    <t xml:space="preserve">  Callao, PE </t>
  </si>
  <si>
    <t xml:space="preserve"> Buenaventura, CO</t>
  </si>
  <si>
    <t xml:space="preserve">  Guayaquil, EC  </t>
  </si>
  <si>
    <t xml:space="preserve">Paita, PE </t>
  </si>
  <si>
    <t>Ensenada,MX</t>
  </si>
  <si>
    <t xml:space="preserve"> Puerto Quetzal, GT </t>
  </si>
  <si>
    <t xml:space="preserve">Puerto Caldera, CR   </t>
  </si>
  <si>
    <t>Lirquen, CL</t>
  </si>
  <si>
    <t xml:space="preserve"> Valparaiso, CL </t>
  </si>
  <si>
    <t xml:space="preserve">  San Antonio, CL </t>
  </si>
  <si>
    <t xml:space="preserve">  Iquique, CL </t>
  </si>
  <si>
    <t xml:space="preserve"> PECLL </t>
  </si>
  <si>
    <t xml:space="preserve"> ECGYE </t>
  </si>
  <si>
    <t xml:space="preserve">PEPAI </t>
  </si>
  <si>
    <t xml:space="preserve">CRCAL  </t>
  </si>
  <si>
    <t xml:space="preserve"> CLLQN</t>
  </si>
  <si>
    <t>CLVAP</t>
  </si>
  <si>
    <t>40NOR</t>
  </si>
  <si>
    <t>Qingdao</t>
  </si>
  <si>
    <t>CNXGG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</si>
  <si>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</si>
  <si>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Manzanillo, MX </t>
  </si>
  <si>
    <t xml:space="preserve"> Lazaro Cardenas, MX </t>
  </si>
  <si>
    <t xml:space="preserve"> Callao, PE </t>
  </si>
  <si>
    <t xml:space="preserve">Valparaiso, CL </t>
  </si>
  <si>
    <t xml:space="preserve"> Guayaquil, EC</t>
  </si>
  <si>
    <t xml:space="preserve">Lirquen, CL </t>
  </si>
  <si>
    <t>Paita, PE</t>
  </si>
  <si>
    <t xml:space="preserve">Corinto, NI </t>
  </si>
  <si>
    <t xml:space="preserve"> Iquique, CL </t>
  </si>
  <si>
    <t xml:space="preserve"> MXLZC </t>
  </si>
  <si>
    <t xml:space="preserve"> COBUN </t>
  </si>
  <si>
    <t xml:space="preserve">CLSAI </t>
  </si>
  <si>
    <t>PEPAI</t>
  </si>
  <si>
    <t xml:space="preserve"> GTPRQ </t>
  </si>
  <si>
    <t xml:space="preserve">NICIO </t>
  </si>
  <si>
    <t xml:space="preserve"> CRCAL </t>
  </si>
  <si>
    <t xml:space="preserve">CLIQQ </t>
  </si>
  <si>
    <t>40RH</t>
  </si>
  <si>
    <t xml:space="preserve"> CNSHK</t>
  </si>
  <si>
    <t>Kaohshiung</t>
  </si>
  <si>
    <t>Latkrabang</t>
  </si>
  <si>
    <t>Laemchabang</t>
  </si>
  <si>
    <t>Above rates are not applicable for Pharma products, Pls check with MKTG for Pharma commodity</t>
  </si>
  <si>
    <t>Manzanillo,MX /Lazaro Cardenas, MX/ Callao, PE/ Coronel, CL/ Lirquen, CL/San Antonio, CL /Valparaiso, CL/Buenaventura, CO /Antofagasta, CL/Puerto Angamos, CL</t>
  </si>
  <si>
    <t>Guayaquil, EC/  Iquique, CL/Ensenada, MX/Puerto Quetzal, GT/ Rodman , PA</t>
  </si>
  <si>
    <t xml:space="preserve"> Puerto Caldera, CR/Acajutla, SV / Corinto, NI </t>
  </si>
  <si>
    <t>MXZLO/ MXLZC/ PECLL/ CLCNL/ CLLQN/ CLSAI/ CLVAP/ COBUN/CLANF/CLPAG</t>
  </si>
  <si>
    <t>CRCAL/ SVAQJ/NICIO</t>
  </si>
  <si>
    <t>20 OT/   20FR (inguage)</t>
  </si>
  <si>
    <t>40 OT/   40FR (inguage)</t>
  </si>
  <si>
    <t>20 OT/ 20 FR (OH)</t>
  </si>
  <si>
    <t>40 OT/ 40 FR (OH)</t>
  </si>
  <si>
    <t>20 FR (OWOH)</t>
  </si>
  <si>
    <t>40 FR (OWOH)</t>
  </si>
  <si>
    <t>20 FR (OW)</t>
  </si>
  <si>
    <t>40 FR (OW)</t>
  </si>
  <si>
    <t>20 OT/  20FR/  (inguage)</t>
  </si>
  <si>
    <t>ECGYE /CLIQQ/ MXSSE/ GTPRQ/PAROD</t>
  </si>
  <si>
    <t>20 OT/  20FR/ (inguage)</t>
  </si>
  <si>
    <t xml:space="preserve">Subject to space &amp; equipment availability </t>
  </si>
  <si>
    <t>Subject to Dims/ Weight of Cargo as presented</t>
  </si>
  <si>
    <t>Subject to proper* load/block/brace to OT/FR at origin by shipper</t>
  </si>
  <si>
    <t>Both side end walls of Flat rack container must be in standing positio</t>
  </si>
  <si>
    <t>Subject to dunnage/lashing/chocking arrangement is fulfill the safety shipment</t>
  </si>
  <si>
    <t>If there is no nomination within 7 days of the time of offer, our rates will be null and void immediately</t>
  </si>
  <si>
    <t>WCCA</t>
  </si>
  <si>
    <t>BP</t>
  </si>
  <si>
    <t>CM (SHA/MXZLO)</t>
  </si>
  <si>
    <t>CM (NSA/MXZLO)</t>
  </si>
  <si>
    <t>Inguage add on</t>
  </si>
  <si>
    <t>India inguage</t>
  </si>
  <si>
    <t>India T/s</t>
  </si>
  <si>
    <t>Hazira</t>
  </si>
  <si>
    <t>INHZA</t>
  </si>
  <si>
    <r>
      <t>For China OOG cargo (both import or export),</t>
    </r>
    <r>
      <rPr>
        <b/>
        <u/>
        <sz val="11"/>
        <rFont val="Calibri"/>
        <family val="2"/>
      </rPr>
      <t>DOUBLE</t>
    </r>
    <r>
      <rPr>
        <sz val="11"/>
        <rFont val="Calibri"/>
        <family val="2"/>
      </rPr>
      <t xml:space="preserve"> THC will be charged</t>
    </r>
  </si>
  <si>
    <t>Ex  JPN : Rates are inclusive of BRS/PSS/ BAF / LSF subj OBS , HEA ** CSS, SLF, THCS both end , Doc fees both end , prevailing surcharges in Opus and local charges</t>
  </si>
  <si>
    <t>CLARI</t>
  </si>
  <si>
    <t>Arica</t>
  </si>
  <si>
    <t>CM (PUS/MXZLO)</t>
  </si>
  <si>
    <t>Barge via Sha</t>
  </si>
  <si>
    <t>Via SHA Barge</t>
  </si>
  <si>
    <t>40FR OWOH - 10 TEUS slot kill + 2 TEUS utilise</t>
  </si>
  <si>
    <t>20FR OWOH - 10 TEUS slot kill +1 TEUS utilise</t>
  </si>
  <si>
    <t>20FR OW - 8 TEUS slot kill + 1 TEUS utilise </t>
  </si>
  <si>
    <t>40FR OW - 4 TEUS slot kill +2 TEUS utilise </t>
  </si>
  <si>
    <t>20OH/OT - 2 TEUS slot kill + 1 TEUS utilise</t>
  </si>
  <si>
    <t>40OH/OT - 2 TEUS slot kill + 2 TEUS utilise </t>
  </si>
  <si>
    <t>In the event the OOG cargo is sent to terminal and VO found that customer is not giving the correct dimension or due to stowage issue , more slot kill is to be utilise , the OOG rates will change accordingly to VO's calculation of slot kill</t>
  </si>
  <si>
    <t xml:space="preserve">MRG rates given is basing on customer's given dimension after packing and slashing </t>
  </si>
  <si>
    <t>San Lorenzo CY/CY , HN (Via SVAQJ using Marex service - Trucking )</t>
  </si>
  <si>
    <t>Haikou/ Yangpu</t>
  </si>
  <si>
    <t>CNHAK/ CNYPG</t>
  </si>
  <si>
    <t xml:space="preserve">Fuzhou/ Fuqing </t>
  </si>
  <si>
    <t>CNFOC/ CNFUG</t>
  </si>
  <si>
    <t>Zhuhai/ Gaolan</t>
  </si>
  <si>
    <t>CNZUH/ CNGON</t>
  </si>
  <si>
    <t xml:space="preserve">Via NGB Barge </t>
  </si>
  <si>
    <t xml:space="preserve">Via SHA Rail </t>
  </si>
  <si>
    <t>Via SHA BARGE</t>
  </si>
  <si>
    <t>Via NGB RAIL</t>
  </si>
  <si>
    <t xml:space="preserve">Via SHA Barge </t>
  </si>
  <si>
    <t>Yiwu</t>
  </si>
  <si>
    <t xml:space="preserve">Via NGB Rail </t>
  </si>
  <si>
    <t>CNYIU</t>
  </si>
  <si>
    <t>CNHAK</t>
  </si>
  <si>
    <t>Rail via SHA</t>
  </si>
  <si>
    <t>Chuzhou</t>
  </si>
  <si>
    <t>Bengbu</t>
  </si>
  <si>
    <t>Huaian</t>
  </si>
  <si>
    <t xml:space="preserve">Yancheng </t>
  </si>
  <si>
    <t>CNCZH</t>
  </si>
  <si>
    <t>CNBFU</t>
  </si>
  <si>
    <t>CNHUN</t>
  </si>
  <si>
    <t>CNYNC</t>
  </si>
  <si>
    <t xml:space="preserve">DG Cargo T/s SIN port , will be subj to PSA DG surcharge accordingly to the DG class no. </t>
  </si>
  <si>
    <t xml:space="preserve"> CLCNL </t>
  </si>
  <si>
    <t xml:space="preserve">  San Vicente CL</t>
  </si>
  <si>
    <t xml:space="preserve"> CLSVE</t>
  </si>
  <si>
    <t xml:space="preserve"> Coronel CL</t>
  </si>
  <si>
    <t xml:space="preserve"> CLCNL</t>
  </si>
  <si>
    <t xml:space="preserve"> San Vicente CL</t>
  </si>
  <si>
    <t xml:space="preserve">  CLSVE</t>
  </si>
  <si>
    <t>San Vicente CL</t>
  </si>
  <si>
    <t>MXZLO/ MXLZC/ PECLL/CLSVE/CLCNL/ CLLQN/ CLSAI/ CLVAP/ COBUN/CLPAG</t>
  </si>
  <si>
    <t>Manzanillo,MX /Lazaro Cardenas, MX/ Callao, PE/ San Vicente/Coronel/ Lirquen, CL/San Antonio, CL /Valparaiso, CL/Buenaventura, CO /Puerto Angamos, CL</t>
  </si>
  <si>
    <t>Ganzhou, Jiangxi</t>
  </si>
  <si>
    <t>Rail via YTN</t>
  </si>
  <si>
    <t>CNGAN</t>
  </si>
  <si>
    <t>Nhava Sheva / Mundra / Chennai /Kattupalli</t>
  </si>
  <si>
    <t>INNSA/INMUN/INMAA/INKTP</t>
  </si>
  <si>
    <t>Taoyuan</t>
  </si>
  <si>
    <t>TWTYN</t>
  </si>
  <si>
    <t>Arica, CL</t>
  </si>
  <si>
    <t>Rail via SHK</t>
  </si>
  <si>
    <t>Rail via XMN</t>
  </si>
  <si>
    <t>KCI service only</t>
  </si>
  <si>
    <t>Via YTN RAIL (move in pair only for D2)</t>
  </si>
  <si>
    <t xml:space="preserve"> COBUN                        (on AX3 only)</t>
  </si>
  <si>
    <r>
      <t xml:space="preserve">Nhava Sheva / </t>
    </r>
    <r>
      <rPr>
        <sz val="11"/>
        <color rgb="FFFF0000"/>
        <rFont val="Arial"/>
        <family val="2"/>
      </rPr>
      <t>Mundra</t>
    </r>
  </si>
  <si>
    <t>INNSA, INMUN</t>
  </si>
  <si>
    <r>
      <t xml:space="preserve">INNSA , </t>
    </r>
    <r>
      <rPr>
        <sz val="11"/>
        <color rgb="FFFF0000"/>
        <rFont val="Arial"/>
        <family val="2"/>
      </rPr>
      <t>INMUN</t>
    </r>
  </si>
  <si>
    <t>San Lorenzo CY/CY , HN (Via NICIO using Marex service - Trucking )</t>
  </si>
  <si>
    <t>https://www.one-line.com/en/news/notice-emergency-fuel-surcharge-efs-implementation</t>
  </si>
  <si>
    <t>Xingang**</t>
  </si>
  <si>
    <t>Dalian**</t>
  </si>
  <si>
    <t>Qingdao**</t>
  </si>
  <si>
    <t>Hong Kong**</t>
  </si>
  <si>
    <t>Shekou**</t>
  </si>
  <si>
    <t>Yantain**</t>
  </si>
  <si>
    <t>Xiamen**</t>
  </si>
  <si>
    <t>Haikou**</t>
  </si>
  <si>
    <t>Zhanjiang**</t>
  </si>
  <si>
    <t>Ex  JPN : Rates are inclusive of BRS/ BAF / LSF subj PSS , OBS, EFS, HEA ** CSS, SLF, THCS both end , Doc fees both end , prevailing surcharges in Opus and local charges</t>
  </si>
  <si>
    <t>Posorja, EC</t>
  </si>
  <si>
    <t>ECPSJ</t>
  </si>
  <si>
    <t>Guayaquil, EC / Posorja, EC / Iquique, CL / Ensenada, MX / Puerto Quetzal, GT/ Rodman , PA</t>
  </si>
  <si>
    <t>ECGYE / ECPSJ / CLIQQ** / MXESE/ GTPRQ/PAROD</t>
  </si>
  <si>
    <r>
      <t xml:space="preserve">All POL except Ex  JPN : Rates are inclusive of BRS/PSS/ BAF / OBS / MBS / </t>
    </r>
    <r>
      <rPr>
        <u/>
        <sz val="10"/>
        <color theme="4" tint="-0.499984740745262"/>
        <rFont val="Tahoma"/>
        <family val="2"/>
      </rPr>
      <t>EFS</t>
    </r>
    <r>
      <rPr>
        <u/>
        <sz val="10"/>
        <rFont val="Tahoma"/>
        <family val="2"/>
      </rPr>
      <t xml:space="preserve"> subj HEA, LSF , CSS, SLF, THCS both end , Doc fees both end , prevailing surcharges in Opus and local charges</t>
    </r>
  </si>
  <si>
    <t>All POL except Ex  JPN : Rates are inclusive of BRS/PSS/BAF/OBS/MBS/EFS   subj HEA.  LSF , CSS, SLF, THCS both end , Doc fees both end , prevailing surcharges in Opus and local charges</t>
  </si>
  <si>
    <t>Rates are inclusive of BRS/PSS/ BAF/OBS/MBS/EFS subj HEA, LSF ,  CSS, SLF, THCS both end , Doc fees both end , prevailing surcharges in Opus and local charges</t>
  </si>
  <si>
    <r>
      <t xml:space="preserve">Rates are inclusive of BRS/PSS/ BAF/ OBS / MBS / </t>
    </r>
    <r>
      <rPr>
        <b/>
        <u/>
        <sz val="10"/>
        <rFont val="Tahoma"/>
        <family val="2"/>
      </rPr>
      <t>EFS**</t>
    </r>
    <r>
      <rPr>
        <u/>
        <sz val="10"/>
        <rFont val="Tahoma"/>
        <family val="2"/>
      </rPr>
      <t xml:space="preserve">  subj LSF , CSS, SLF, THCS both end , Doc fees both end , prevailing surcharges in Opus and local charges</t>
    </r>
  </si>
  <si>
    <r>
      <t xml:space="preserve">Rates are inclusive of BRS/PSS/ BAF/ OBS / MBS / </t>
    </r>
    <r>
      <rPr>
        <b/>
        <u/>
        <sz val="10"/>
        <color theme="4" tint="-0.499984740745262"/>
        <rFont val="Tahoma"/>
        <family val="2"/>
      </rPr>
      <t>EFS </t>
    </r>
    <r>
      <rPr>
        <u/>
        <sz val="10"/>
        <rFont val="Tahoma"/>
        <family val="2"/>
      </rPr>
      <t xml:space="preserve"> subj LSF , CSS, SLF, THCS both end , Doc fees both end , prevailing surcharges in Opus and local charges</t>
    </r>
  </si>
  <si>
    <r>
      <t>Rates are incl. BAF/HEA/BRS OR PSS/OBS/MBS/</t>
    </r>
    <r>
      <rPr>
        <b/>
        <sz val="11"/>
        <color theme="4" tint="-0.499984740745262"/>
        <rFont val="Calibri"/>
        <family val="2"/>
      </rPr>
      <t>EFS</t>
    </r>
    <r>
      <rPr>
        <sz val="11"/>
        <rFont val="Calibri"/>
        <family val="2"/>
      </rPr>
      <t>, subject to LSF(ex. China) /CSS/THL/THD/Tariff Surcharges both ends</t>
    </r>
  </si>
  <si>
    <t>Changxing</t>
  </si>
  <si>
    <t>CNCH1</t>
  </si>
  <si>
    <t>Huzhou</t>
  </si>
  <si>
    <t>CNHUZ</t>
  </si>
  <si>
    <t>Via NGB rail</t>
  </si>
  <si>
    <t>** Ex Colombo , terms are Rates inclusive BAF , BRS, PSS, CSS, OTHC, ODOC FEE/OBS/MBS/EFS/CDD and rate are subject to DTHC/Local charges at destination.</t>
  </si>
  <si>
    <t>V</t>
  </si>
  <si>
    <t>FAK</t>
  </si>
  <si>
    <t>San Lorenzo CY/CY, HN (Via NICIO using MAR service - Trucking)</t>
  </si>
  <si>
    <t>Jingzhou</t>
  </si>
  <si>
    <t>CNJGZ</t>
  </si>
  <si>
    <t>Chengdu</t>
  </si>
  <si>
    <t>CNCTU</t>
  </si>
  <si>
    <t>via CNYTN RAIL</t>
  </si>
  <si>
    <t>CNYIC</t>
  </si>
  <si>
    <t>Yichang</t>
  </si>
  <si>
    <t>Free days for FAK Dry, non-DG  cargo</t>
  </si>
  <si>
    <t>Validty</t>
  </si>
  <si>
    <t>Chile </t>
  </si>
  <si>
    <t>1 July 2026 to 30 Sept 2026</t>
  </si>
  <si>
    <t>Free days for NOR, non-DG 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</si>
</sst>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809]d\ mmmm\ yyyy"/>
    <numFmt numFmtId="165" formatCode="#,##0_ "/>
    <numFmt numFmtId="166" formatCode="[$-14809]d\ mmm\ yyyy;@"/>
  </numFmts>
  <fonts count="4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name val="Tahoma"/>
      <family val="2"/>
    </font>
    <font>
      <strike/>
      <sz val="11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trike/>
      <u/>
      <sz val="10"/>
      <name val="Tahoma"/>
      <family val="2"/>
    </font>
    <font>
      <sz val="11"/>
      <color rgb="FFFF000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b/>
      <strike/>
      <sz val="12"/>
      <name val="Calibri"/>
      <family val="2"/>
    </font>
    <font>
      <sz val="11"/>
      <color theme="1"/>
      <name val="Arial"/>
      <family val="2"/>
    </font>
    <font>
      <sz val="12"/>
      <color rgb="FF22222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30"/>
      <name val="Arial"/>
      <family val="2"/>
    </font>
    <font>
      <b/>
      <sz val="3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4" tint="-0.499984740745262"/>
      <name val="Tahoma"/>
      <family val="2"/>
    </font>
    <font>
      <b/>
      <u/>
      <sz val="10"/>
      <name val="Tahoma"/>
      <family val="2"/>
    </font>
    <font>
      <b/>
      <u/>
      <sz val="10"/>
      <color theme="4" tint="-0.499984740745262"/>
      <name val="Tahoma"/>
      <family val="2"/>
    </font>
    <font>
      <b/>
      <sz val="11"/>
      <color theme="4" tint="-0.499984740745262"/>
      <name val="Calibri"/>
      <family val="2"/>
    </font>
    <font>
      <sz val="11"/>
      <color rgb="FF000000"/>
      <name val="Calibri"/>
      <family val="2"/>
      <scheme val="minor"/>
    </font>
    <font>
      <strike/>
      <u/>
      <sz val="10"/>
      <name val="Calibri"/>
      <family val="2"/>
    </font>
    <font>
      <sz val="11"/>
      <color theme="4"/>
      <name val="Arial"/>
      <family val="2"/>
    </font>
    <font>
      <sz val="11"/>
      <color theme="4"/>
      <name val="Calibri"/>
      <family val="2"/>
    </font>
    <font>
      <sz val="10"/>
      <color rgb="FF000000"/>
      <name val="Arial"/>
      <family val="2"/>
    </font>
    <font>
      <b/>
      <sz val="12"/>
      <color rgb="FF222222"/>
      <name val="Roboto"/>
    </font>
    <font>
      <b/>
      <sz val="12"/>
      <color rgb="FF000000"/>
      <name val="Roboto"/>
    </font>
    <font>
      <sz val="10"/>
      <color rgb="FF22222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theme="3"/>
        <bgColor rgb="FFFEF2CB"/>
      </patternFill>
    </fill>
    <fill>
      <patternFill patternType="solid">
        <fgColor theme="1"/>
        <bgColor rgb="FF525252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rgb="FFFEF2CB"/>
      </patternFill>
    </fill>
    <fill>
      <patternFill patternType="solid">
        <fgColor theme="1"/>
        <bgColor rgb="FFD9E2F3"/>
      </patternFill>
    </fill>
    <fill>
      <patternFill patternType="solid">
        <fgColor rgb="FFFFFFFF"/>
        <bgColor indexed="64"/>
      </patternFill>
    </fill>
    <fill>
      <patternFill patternType="solid">
        <fgColor rgb="FFFFD965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0" fontId="35" fillId="0" borderId="1"/>
    <xf numFmtId="0" fontId="30" fillId="0" borderId="1" applyNumberFormat="0" applyFill="0" applyBorder="0" applyAlignment="0" applyProtection="0"/>
    <xf numFmtId="0" fontId="35" fillId="0" borderId="1"/>
    <xf numFmtId="0" fontId="35" fillId="0" borderId="1"/>
    <xf numFmtId="0" fontId="35" fillId="0" borderId="1"/>
  </cellStyleXfs>
  <cellXfs count="408">
    <xf numFmtId="0" fontId="0" fillId="0" borderId="0" xfId="0"/>
    <xf numFmtId="0" fontId="7" fillId="0" borderId="0" xfId="0" applyFont="1"/>
    <xf numFmtId="0" fontId="5" fillId="0" borderId="0" xfId="0" applyFont="1"/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5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10" fillId="0" borderId="0" xfId="0" applyFont="1"/>
    <xf numFmtId="0" fontId="9" fillId="2" borderId="2" xfId="0" applyFont="1" applyFill="1" applyBorder="1"/>
    <xf numFmtId="0" fontId="9" fillId="2" borderId="6" xfId="0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wrapText="1"/>
    </xf>
    <xf numFmtId="0" fontId="11" fillId="4" borderId="2" xfId="0" applyFont="1" applyFill="1" applyBorder="1" applyAlignment="1">
      <alignment horizontal="left" wrapText="1"/>
    </xf>
    <xf numFmtId="165" fontId="6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3" borderId="13" xfId="0" applyFont="1" applyFill="1" applyBorder="1" applyAlignment="1">
      <alignment horizontal="left"/>
    </xf>
    <xf numFmtId="14" fontId="5" fillId="0" borderId="0" xfId="0" applyNumberFormat="1" applyFont="1"/>
    <xf numFmtId="0" fontId="5" fillId="0" borderId="2" xfId="0" applyFont="1" applyBorder="1"/>
    <xf numFmtId="164" fontId="5" fillId="0" borderId="0" xfId="0" applyNumberFormat="1" applyFont="1" applyAlignment="1">
      <alignment horizontal="center"/>
    </xf>
    <xf numFmtId="0" fontId="9" fillId="2" borderId="16" xfId="0" applyFont="1" applyFill="1" applyBorder="1"/>
    <xf numFmtId="0" fontId="16" fillId="3" borderId="16" xfId="0" applyFont="1" applyFill="1" applyBorder="1" applyAlignment="1">
      <alignment horizontal="center" wrapText="1"/>
    </xf>
    <xf numFmtId="0" fontId="16" fillId="4" borderId="16" xfId="0" applyFont="1" applyFill="1" applyBorder="1" applyAlignment="1">
      <alignment horizont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15" fillId="0" borderId="0" xfId="0" applyFont="1"/>
    <xf numFmtId="0" fontId="11" fillId="3" borderId="16" xfId="0" applyFont="1" applyFill="1" applyBorder="1" applyAlignment="1">
      <alignment horizontal="center" wrapText="1"/>
    </xf>
    <xf numFmtId="0" fontId="9" fillId="3" borderId="16" xfId="0" applyFont="1" applyFill="1" applyBorder="1" applyAlignment="1">
      <alignment horizontal="center" wrapText="1"/>
    </xf>
    <xf numFmtId="0" fontId="9" fillId="4" borderId="16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/>
    </xf>
    <xf numFmtId="0" fontId="6" fillId="0" borderId="3" xfId="0" applyFont="1" applyBorder="1"/>
    <xf numFmtId="0" fontId="17" fillId="0" borderId="0" xfId="0" applyFont="1"/>
    <xf numFmtId="0" fontId="5" fillId="0" borderId="2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2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11" fillId="7" borderId="12" xfId="0" applyFont="1" applyFill="1" applyBorder="1" applyAlignment="1">
      <alignment horizontal="left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19" fillId="0" borderId="0" xfId="0" applyFont="1"/>
    <xf numFmtId="0" fontId="6" fillId="0" borderId="1" xfId="0" applyFont="1" applyBorder="1"/>
    <xf numFmtId="0" fontId="6" fillId="0" borderId="25" xfId="0" applyFont="1" applyBorder="1"/>
    <xf numFmtId="0" fontId="10" fillId="0" borderId="0" xfId="0" applyFont="1" applyAlignment="1">
      <alignment horizontal="left" vertical="center"/>
    </xf>
    <xf numFmtId="0" fontId="20" fillId="0" borderId="0" xfId="0" applyFont="1"/>
    <xf numFmtId="0" fontId="6" fillId="0" borderId="20" xfId="0" applyFont="1" applyBorder="1"/>
    <xf numFmtId="0" fontId="9" fillId="0" borderId="0" xfId="0" applyFont="1"/>
    <xf numFmtId="0" fontId="21" fillId="0" borderId="0" xfId="0" applyFont="1"/>
    <xf numFmtId="0" fontId="7" fillId="0" borderId="1" xfId="0" applyFont="1" applyBorder="1"/>
    <xf numFmtId="0" fontId="6" fillId="10" borderId="3" xfId="0" applyFont="1" applyFill="1" applyBorder="1" applyAlignment="1">
      <alignment wrapText="1"/>
    </xf>
    <xf numFmtId="0" fontId="5" fillId="10" borderId="0" xfId="0" applyFont="1" applyFill="1"/>
    <xf numFmtId="0" fontId="7" fillId="10" borderId="0" xfId="0" applyFont="1" applyFill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10" borderId="2" xfId="0" applyFont="1" applyFill="1" applyBorder="1"/>
    <xf numFmtId="0" fontId="6" fillId="10" borderId="3" xfId="0" applyFont="1" applyFill="1" applyBorder="1"/>
    <xf numFmtId="0" fontId="7" fillId="10" borderId="1" xfId="0" applyFont="1" applyFill="1" applyBorder="1"/>
    <xf numFmtId="0" fontId="6" fillId="0" borderId="26" xfId="0" applyFont="1" applyBorder="1"/>
    <xf numFmtId="0" fontId="7" fillId="0" borderId="25" xfId="0" applyFont="1" applyBorder="1"/>
    <xf numFmtId="166" fontId="18" fillId="0" borderId="2" xfId="0" applyNumberFormat="1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6" fillId="0" borderId="0" xfId="0" quotePrefix="1" applyFont="1"/>
    <xf numFmtId="164" fontId="5" fillId="0" borderId="0" xfId="0" quotePrefix="1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6" fillId="14" borderId="2" xfId="0" applyFont="1" applyFill="1" applyBorder="1"/>
    <xf numFmtId="0" fontId="5" fillId="14" borderId="2" xfId="0" applyFont="1" applyFill="1" applyBorder="1"/>
    <xf numFmtId="1" fontId="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4" fillId="0" borderId="0" xfId="0" applyFont="1"/>
    <xf numFmtId="0" fontId="25" fillId="0" borderId="0" xfId="0" applyFont="1" applyAlignment="1">
      <alignment vertical="center" wrapText="1"/>
    </xf>
    <xf numFmtId="0" fontId="24" fillId="0" borderId="25" xfId="0" applyFont="1" applyBorder="1"/>
    <xf numFmtId="0" fontId="24" fillId="0" borderId="2" xfId="0" applyFont="1" applyBorder="1"/>
    <xf numFmtId="0" fontId="24" fillId="0" borderId="3" xfId="0" applyFont="1" applyBorder="1"/>
    <xf numFmtId="1" fontId="7" fillId="0" borderId="0" xfId="0" applyNumberFormat="1" applyFont="1"/>
    <xf numFmtId="1" fontId="18" fillId="0" borderId="1" xfId="0" applyNumberFormat="1" applyFont="1" applyBorder="1" applyAlignment="1">
      <alignment horizontal="center"/>
    </xf>
    <xf numFmtId="165" fontId="11" fillId="3" borderId="2" xfId="0" applyNumberFormat="1" applyFont="1" applyFill="1" applyBorder="1" applyAlignment="1">
      <alignment horizontal="left" wrapText="1"/>
    </xf>
    <xf numFmtId="165" fontId="11" fillId="3" borderId="2" xfId="0" applyNumberFormat="1" applyFont="1" applyFill="1" applyBorder="1" applyAlignment="1">
      <alignment horizontal="left"/>
    </xf>
    <xf numFmtId="165" fontId="11" fillId="4" borderId="2" xfId="0" applyNumberFormat="1" applyFont="1" applyFill="1" applyBorder="1" applyAlignment="1">
      <alignment horizontal="left" wrapText="1"/>
    </xf>
    <xf numFmtId="165" fontId="11" fillId="4" borderId="2" xfId="0" applyNumberFormat="1" applyFont="1" applyFill="1" applyBorder="1" applyAlignment="1">
      <alignment horizontal="left"/>
    </xf>
    <xf numFmtId="165" fontId="11" fillId="3" borderId="13" xfId="0" applyNumberFormat="1" applyFont="1" applyFill="1" applyBorder="1" applyAlignment="1">
      <alignment horizontal="left"/>
    </xf>
    <xf numFmtId="0" fontId="27" fillId="3" borderId="16" xfId="0" applyFont="1" applyFill="1" applyBorder="1" applyAlignment="1">
      <alignment horizontal="center" wrapText="1"/>
    </xf>
    <xf numFmtId="0" fontId="27" fillId="3" borderId="16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center"/>
    </xf>
    <xf numFmtId="0" fontId="27" fillId="4" borderId="1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/>
    </xf>
    <xf numFmtId="165" fontId="6" fillId="0" borderId="0" xfId="0" quotePrefix="1" applyNumberFormat="1" applyFont="1"/>
    <xf numFmtId="165" fontId="5" fillId="0" borderId="0" xfId="0" applyNumberFormat="1" applyFont="1" applyAlignment="1">
      <alignment horizontal="center"/>
    </xf>
    <xf numFmtId="0" fontId="24" fillId="13" borderId="2" xfId="0" applyFont="1" applyFill="1" applyBorder="1"/>
    <xf numFmtId="0" fontId="24" fillId="13" borderId="13" xfId="0" applyFont="1" applyFill="1" applyBorder="1"/>
    <xf numFmtId="0" fontId="3" fillId="9" borderId="0" xfId="0" applyFont="1" applyFill="1"/>
    <xf numFmtId="1" fontId="22" fillId="9" borderId="2" xfId="0" applyNumberFormat="1" applyFont="1" applyFill="1" applyBorder="1" applyAlignment="1">
      <alignment horizontal="center"/>
    </xf>
    <xf numFmtId="1" fontId="22" fillId="9" borderId="25" xfId="0" applyNumberFormat="1" applyFont="1" applyFill="1" applyBorder="1" applyAlignment="1">
      <alignment horizontal="center"/>
    </xf>
    <xf numFmtId="1" fontId="22" fillId="9" borderId="26" xfId="0" applyNumberFormat="1" applyFont="1" applyFill="1" applyBorder="1" applyAlignment="1">
      <alignment horizontal="center"/>
    </xf>
    <xf numFmtId="165" fontId="5" fillId="0" borderId="0" xfId="0" applyNumberFormat="1" applyFont="1"/>
    <xf numFmtId="3" fontId="18" fillId="0" borderId="1" xfId="0" applyNumberFormat="1" applyFont="1" applyBorder="1" applyAlignment="1">
      <alignment horizontal="center"/>
    </xf>
    <xf numFmtId="0" fontId="29" fillId="0" borderId="0" xfId="0" applyFont="1"/>
    <xf numFmtId="0" fontId="6" fillId="5" borderId="2" xfId="3" applyFont="1" applyFill="1" applyBorder="1"/>
    <xf numFmtId="0" fontId="5" fillId="0" borderId="1" xfId="3" applyFont="1"/>
    <xf numFmtId="0" fontId="6" fillId="5" borderId="13" xfId="3" applyFont="1" applyFill="1" applyBorder="1"/>
    <xf numFmtId="0" fontId="6" fillId="0" borderId="1" xfId="3" applyFont="1"/>
    <xf numFmtId="0" fontId="6" fillId="0" borderId="1" xfId="3" applyFont="1" applyAlignment="1">
      <alignment horizontal="center"/>
    </xf>
    <xf numFmtId="0" fontId="6" fillId="2" borderId="1" xfId="3" applyFont="1" applyFill="1"/>
    <xf numFmtId="0" fontId="8" fillId="2" borderId="1" xfId="3" applyFont="1" applyFill="1" applyAlignment="1">
      <alignment horizontal="center"/>
    </xf>
    <xf numFmtId="0" fontId="9" fillId="2" borderId="1" xfId="3" applyFont="1" applyFill="1" applyAlignment="1">
      <alignment horizontal="center"/>
    </xf>
    <xf numFmtId="14" fontId="6" fillId="0" borderId="1" xfId="3" applyNumberFormat="1" applyFont="1"/>
    <xf numFmtId="165" fontId="6" fillId="0" borderId="1" xfId="3" applyNumberFormat="1" applyFont="1"/>
    <xf numFmtId="0" fontId="10" fillId="0" borderId="1" xfId="3" applyFont="1"/>
    <xf numFmtId="0" fontId="9" fillId="2" borderId="2" xfId="3" applyFont="1" applyFill="1" applyBorder="1"/>
    <xf numFmtId="0" fontId="9" fillId="2" borderId="7" xfId="3" applyFont="1" applyFill="1" applyBorder="1"/>
    <xf numFmtId="0" fontId="9" fillId="2" borderId="2" xfId="3" applyFont="1" applyFill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left"/>
    </xf>
    <xf numFmtId="0" fontId="11" fillId="3" borderId="2" xfId="3" applyFont="1" applyFill="1" applyBorder="1" applyAlignment="1">
      <alignment horizontal="left"/>
    </xf>
    <xf numFmtId="0" fontId="11" fillId="4" borderId="2" xfId="3" applyFont="1" applyFill="1" applyBorder="1" applyAlignment="1">
      <alignment horizontal="left"/>
    </xf>
    <xf numFmtId="0" fontId="11" fillId="4" borderId="18" xfId="3" applyFont="1" applyFill="1" applyBorder="1" applyAlignment="1">
      <alignment horizontal="left"/>
    </xf>
    <xf numFmtId="0" fontId="12" fillId="0" borderId="1" xfId="3" applyFont="1"/>
    <xf numFmtId="0" fontId="12" fillId="0" borderId="1" xfId="3" applyFont="1" applyAlignment="1">
      <alignment horizontal="left" wrapText="1"/>
    </xf>
    <xf numFmtId="0" fontId="13" fillId="0" borderId="1" xfId="3" applyFont="1"/>
    <xf numFmtId="2" fontId="6" fillId="5" borderId="2" xfId="3" applyNumberFormat="1" applyFont="1" applyFill="1" applyBorder="1" applyAlignment="1">
      <alignment wrapText="1"/>
    </xf>
    <xf numFmtId="0" fontId="11" fillId="7" borderId="18" xfId="3" applyFont="1" applyFill="1" applyBorder="1" applyAlignment="1">
      <alignment horizontal="left"/>
    </xf>
    <xf numFmtId="0" fontId="5" fillId="0" borderId="18" xfId="3" applyFont="1" applyBorder="1" applyAlignment="1">
      <alignment horizontal="center"/>
    </xf>
    <xf numFmtId="0" fontId="6" fillId="0" borderId="25" xfId="3" applyFont="1" applyBorder="1"/>
    <xf numFmtId="0" fontId="6" fillId="4" borderId="2" xfId="3" applyFont="1" applyFill="1" applyBorder="1"/>
    <xf numFmtId="0" fontId="6" fillId="14" borderId="25" xfId="3" applyFont="1" applyFill="1" applyBorder="1"/>
    <xf numFmtId="0" fontId="24" fillId="5" borderId="2" xfId="3" applyFont="1" applyFill="1" applyBorder="1"/>
    <xf numFmtId="0" fontId="11" fillId="4" borderId="20" xfId="3" applyFont="1" applyFill="1" applyBorder="1" applyAlignment="1">
      <alignment horizontal="left"/>
    </xf>
    <xf numFmtId="0" fontId="11" fillId="7" borderId="22" xfId="3" applyFont="1" applyFill="1" applyBorder="1" applyAlignment="1">
      <alignment horizontal="left"/>
    </xf>
    <xf numFmtId="0" fontId="11" fillId="4" borderId="33" xfId="3" applyFont="1" applyFill="1" applyBorder="1" applyAlignment="1">
      <alignment horizontal="left"/>
    </xf>
    <xf numFmtId="0" fontId="11" fillId="4" borderId="34" xfId="3" applyFont="1" applyFill="1" applyBorder="1" applyAlignment="1">
      <alignment horizontal="left"/>
    </xf>
    <xf numFmtId="49" fontId="9" fillId="2" borderId="1" xfId="3" applyNumberFormat="1" applyFont="1" applyFill="1" applyAlignment="1">
      <alignment horizontal="center"/>
    </xf>
    <xf numFmtId="49" fontId="6" fillId="2" borderId="1" xfId="3" applyNumberFormat="1" applyFont="1" applyFill="1"/>
    <xf numFmtId="49" fontId="6" fillId="0" borderId="1" xfId="3" applyNumberFormat="1" applyFont="1"/>
    <xf numFmtId="49" fontId="5" fillId="0" borderId="1" xfId="3" applyNumberFormat="1" applyFont="1"/>
    <xf numFmtId="0" fontId="28" fillId="0" borderId="1" xfId="3" applyFont="1"/>
    <xf numFmtId="165" fontId="28" fillId="0" borderId="1" xfId="3" applyNumberFormat="1" applyFont="1"/>
    <xf numFmtId="0" fontId="28" fillId="0" borderId="1" xfId="3" applyFont="1" applyAlignment="1">
      <alignment horizontal="center"/>
    </xf>
    <xf numFmtId="0" fontId="30" fillId="0" borderId="1" xfId="2"/>
    <xf numFmtId="0" fontId="36" fillId="0" borderId="1" xfId="3" applyFont="1"/>
    <xf numFmtId="0" fontId="6" fillId="5" borderId="2" xfId="4" applyFont="1" applyFill="1" applyBorder="1"/>
    <xf numFmtId="0" fontId="5" fillId="0" borderId="1" xfId="4" applyFont="1"/>
    <xf numFmtId="0" fontId="6" fillId="5" borderId="13" xfId="4" applyFont="1" applyFill="1" applyBorder="1"/>
    <xf numFmtId="0" fontId="6" fillId="0" borderId="1" xfId="4" applyFont="1"/>
    <xf numFmtId="0" fontId="6" fillId="0" borderId="1" xfId="4" applyFont="1" applyAlignment="1">
      <alignment horizontal="center"/>
    </xf>
    <xf numFmtId="165" fontId="6" fillId="0" borderId="1" xfId="4" applyNumberFormat="1" applyFont="1"/>
    <xf numFmtId="164" fontId="6" fillId="0" borderId="1" xfId="4" applyNumberFormat="1" applyFont="1" applyAlignment="1">
      <alignment horizontal="center"/>
    </xf>
    <xf numFmtId="0" fontId="10" fillId="0" borderId="1" xfId="4" applyFont="1"/>
    <xf numFmtId="0" fontId="9" fillId="2" borderId="2" xfId="4" applyFont="1" applyFill="1" applyBorder="1"/>
    <xf numFmtId="0" fontId="9" fillId="2" borderId="7" xfId="4" applyFont="1" applyFill="1" applyBorder="1"/>
    <xf numFmtId="0" fontId="9" fillId="2" borderId="2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2" xfId="4" applyFont="1" applyFill="1" applyBorder="1" applyAlignment="1">
      <alignment horizontal="left"/>
    </xf>
    <xf numFmtId="0" fontId="12" fillId="0" borderId="1" xfId="4" applyFont="1"/>
    <xf numFmtId="0" fontId="13" fillId="0" borderId="1" xfId="4" applyFont="1"/>
    <xf numFmtId="0" fontId="5" fillId="0" borderId="1" xfId="4" applyFont="1" applyAlignment="1">
      <alignment horizontal="center"/>
    </xf>
    <xf numFmtId="165" fontId="6" fillId="0" borderId="1" xfId="4" applyNumberFormat="1" applyFont="1" applyAlignment="1">
      <alignment horizontal="center"/>
    </xf>
    <xf numFmtId="0" fontId="11" fillId="3" borderId="18" xfId="4" applyFont="1" applyFill="1" applyBorder="1" applyAlignment="1">
      <alignment horizontal="left"/>
    </xf>
    <xf numFmtId="0" fontId="6" fillId="0" borderId="13" xfId="4" applyFont="1" applyBorder="1"/>
    <xf numFmtId="0" fontId="11" fillId="3" borderId="18" xfId="4" applyFont="1" applyFill="1" applyBorder="1" applyAlignment="1">
      <alignment horizontal="center"/>
    </xf>
    <xf numFmtId="0" fontId="11" fillId="6" borderId="18" xfId="4" applyFont="1" applyFill="1" applyBorder="1" applyAlignment="1">
      <alignment horizontal="left"/>
    </xf>
    <xf numFmtId="0" fontId="11" fillId="7" borderId="18" xfId="4" applyFont="1" applyFill="1" applyBorder="1" applyAlignment="1">
      <alignment horizontal="left"/>
    </xf>
    <xf numFmtId="0" fontId="5" fillId="0" borderId="18" xfId="4" applyFont="1" applyBorder="1" applyAlignment="1">
      <alignment horizontal="center"/>
    </xf>
    <xf numFmtId="0" fontId="6" fillId="14" borderId="2" xfId="4" applyFont="1" applyFill="1" applyBorder="1"/>
    <xf numFmtId="165" fontId="6" fillId="5" borderId="2" xfId="4" applyNumberFormat="1" applyFont="1" applyFill="1" applyBorder="1"/>
    <xf numFmtId="165" fontId="6" fillId="5" borderId="13" xfId="4" applyNumberFormat="1" applyFont="1" applyFill="1" applyBorder="1"/>
    <xf numFmtId="0" fontId="28" fillId="0" borderId="1" xfId="4" applyFont="1"/>
    <xf numFmtId="165" fontId="28" fillId="0" borderId="1" xfId="4" applyNumberFormat="1" applyFont="1"/>
    <xf numFmtId="0" fontId="28" fillId="0" borderId="1" xfId="4" applyFont="1" applyAlignment="1">
      <alignment horizontal="center"/>
    </xf>
    <xf numFmtId="0" fontId="11" fillId="3" borderId="18" xfId="0" applyFont="1" applyFill="1" applyBorder="1" applyAlignment="1">
      <alignment horizontal="left"/>
    </xf>
    <xf numFmtId="0" fontId="6" fillId="16" borderId="2" xfId="3" applyFont="1" applyFill="1" applyBorder="1"/>
    <xf numFmtId="0" fontId="6" fillId="10" borderId="13" xfId="0" applyFont="1" applyFill="1" applyBorder="1"/>
    <xf numFmtId="0" fontId="5" fillId="5" borderId="2" xfId="4" applyFont="1" applyFill="1" applyBorder="1"/>
    <xf numFmtId="1" fontId="18" fillId="9" borderId="2" xfId="0" applyNumberFormat="1" applyFont="1" applyFill="1" applyBorder="1" applyAlignment="1">
      <alignment horizontal="center"/>
    </xf>
    <xf numFmtId="1" fontId="18" fillId="9" borderId="18" xfId="0" applyNumberFormat="1" applyFont="1" applyFill="1" applyBorder="1" applyAlignment="1">
      <alignment horizontal="center"/>
    </xf>
    <xf numFmtId="1" fontId="26" fillId="9" borderId="25" xfId="0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9" borderId="0" xfId="0" applyFont="1" applyFill="1"/>
    <xf numFmtId="0" fontId="1" fillId="0" borderId="0" xfId="0" applyFont="1"/>
    <xf numFmtId="0" fontId="6" fillId="10" borderId="2" xfId="0" applyFont="1" applyFill="1" applyBorder="1" applyAlignment="1">
      <alignment horizontal="center"/>
    </xf>
    <xf numFmtId="0" fontId="6" fillId="9" borderId="0" xfId="0" applyFont="1" applyFill="1"/>
    <xf numFmtId="0" fontId="6" fillId="9" borderId="1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6" fillId="10" borderId="18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10" borderId="25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6" fillId="10" borderId="22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2" xfId="3" applyNumberFormat="1" applyFont="1" applyBorder="1" applyAlignment="1">
      <alignment horizontal="center"/>
    </xf>
    <xf numFmtId="165" fontId="6" fillId="5" borderId="40" xfId="3" applyNumberFormat="1" applyFont="1" applyFill="1" applyBorder="1" applyAlignment="1">
      <alignment horizontal="center"/>
    </xf>
    <xf numFmtId="165" fontId="6" fillId="5" borderId="41" xfId="3" applyNumberFormat="1" applyFont="1" applyFill="1" applyBorder="1" applyAlignment="1">
      <alignment horizontal="center"/>
    </xf>
    <xf numFmtId="165" fontId="6" fillId="5" borderId="42" xfId="3" applyNumberFormat="1" applyFont="1" applyFill="1" applyBorder="1" applyAlignment="1">
      <alignment horizontal="center"/>
    </xf>
    <xf numFmtId="165" fontId="6" fillId="11" borderId="40" xfId="3" applyNumberFormat="1" applyFont="1" applyFill="1" applyBorder="1" applyAlignment="1">
      <alignment horizontal="center"/>
    </xf>
    <xf numFmtId="165" fontId="6" fillId="11" borderId="41" xfId="3" applyNumberFormat="1" applyFont="1" applyFill="1" applyBorder="1" applyAlignment="1">
      <alignment horizontal="center"/>
    </xf>
    <xf numFmtId="165" fontId="6" fillId="11" borderId="42" xfId="3" applyNumberFormat="1" applyFont="1" applyFill="1" applyBorder="1" applyAlignment="1">
      <alignment horizontal="center"/>
    </xf>
    <xf numFmtId="165" fontId="6" fillId="18" borderId="40" xfId="3" applyNumberFormat="1" applyFont="1" applyFill="1" applyBorder="1" applyAlignment="1">
      <alignment horizontal="center"/>
    </xf>
    <xf numFmtId="165" fontId="6" fillId="18" borderId="41" xfId="3" applyNumberFormat="1" applyFont="1" applyFill="1" applyBorder="1" applyAlignment="1">
      <alignment horizontal="center"/>
    </xf>
    <xf numFmtId="165" fontId="6" fillId="18" borderId="42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/>
    </xf>
    <xf numFmtId="49" fontId="6" fillId="11" borderId="2" xfId="3" applyNumberFormat="1" applyFont="1" applyFill="1" applyBorder="1" applyAlignment="1">
      <alignment horizontal="center"/>
    </xf>
    <xf numFmtId="1" fontId="6" fillId="15" borderId="2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 vertical="center"/>
    </xf>
    <xf numFmtId="0" fontId="26" fillId="0" borderId="0" xfId="0" applyFont="1"/>
    <xf numFmtId="0" fontId="18" fillId="0" borderId="0" xfId="0" applyFont="1" applyAlignment="1">
      <alignment horizontal="center"/>
    </xf>
    <xf numFmtId="166" fontId="6" fillId="0" borderId="2" xfId="4" applyNumberFormat="1" applyFont="1" applyBorder="1" applyAlignment="1">
      <alignment horizontal="center"/>
    </xf>
    <xf numFmtId="165" fontId="6" fillId="5" borderId="2" xfId="4" applyNumberFormat="1" applyFont="1" applyFill="1" applyBorder="1" applyAlignment="1">
      <alignment horizontal="center"/>
    </xf>
    <xf numFmtId="165" fontId="6" fillId="11" borderId="2" xfId="4" applyNumberFormat="1" applyFont="1" applyFill="1" applyBorder="1" applyAlignment="1">
      <alignment horizontal="center"/>
    </xf>
    <xf numFmtId="0" fontId="7" fillId="0" borderId="1" xfId="4" applyFont="1"/>
    <xf numFmtId="1" fontId="5" fillId="9" borderId="2" xfId="0" applyNumberFormat="1" applyFont="1" applyFill="1" applyBorder="1" applyAlignment="1">
      <alignment horizontal="center"/>
    </xf>
    <xf numFmtId="1" fontId="5" fillId="9" borderId="18" xfId="0" applyNumberFormat="1" applyFont="1" applyFill="1" applyBorder="1" applyAlignment="1">
      <alignment horizontal="center"/>
    </xf>
    <xf numFmtId="0" fontId="6" fillId="9" borderId="2" xfId="0" applyFont="1" applyFill="1" applyBorder="1"/>
    <xf numFmtId="0" fontId="6" fillId="9" borderId="3" xfId="0" applyFont="1" applyFill="1" applyBorder="1"/>
    <xf numFmtId="0" fontId="6" fillId="9" borderId="18" xfId="0" applyFont="1" applyFill="1" applyBorder="1"/>
    <xf numFmtId="0" fontId="6" fillId="9" borderId="20" xfId="0" applyFont="1" applyFill="1" applyBorder="1"/>
    <xf numFmtId="0" fontId="6" fillId="9" borderId="2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49" fontId="6" fillId="5" borderId="2" xfId="3" applyNumberFormat="1" applyFont="1" applyFill="1" applyBorder="1" applyAlignment="1">
      <alignment horizontal="center"/>
    </xf>
    <xf numFmtId="49" fontId="6" fillId="12" borderId="2" xfId="3" applyNumberFormat="1" applyFont="1" applyFill="1" applyBorder="1" applyAlignment="1">
      <alignment horizontal="center"/>
    </xf>
    <xf numFmtId="49" fontId="6" fillId="5" borderId="18" xfId="3" applyNumberFormat="1" applyFont="1" applyFill="1" applyBorder="1" applyAlignment="1">
      <alignment horizontal="center"/>
    </xf>
    <xf numFmtId="49" fontId="6" fillId="12" borderId="18" xfId="3" applyNumberFormat="1" applyFont="1" applyFill="1" applyBorder="1" applyAlignment="1">
      <alignment horizontal="center"/>
    </xf>
    <xf numFmtId="49" fontId="6" fillId="5" borderId="16" xfId="3" applyNumberFormat="1" applyFont="1" applyFill="1" applyBorder="1" applyAlignment="1">
      <alignment horizontal="center"/>
    </xf>
    <xf numFmtId="49" fontId="6" fillId="12" borderId="16" xfId="3" applyNumberFormat="1" applyFont="1" applyFill="1" applyBorder="1" applyAlignment="1">
      <alignment horizontal="center"/>
    </xf>
    <xf numFmtId="49" fontId="6" fillId="11" borderId="13" xfId="3" applyNumberFormat="1" applyFont="1" applyFill="1" applyBorder="1" applyAlignment="1">
      <alignment horizontal="center"/>
    </xf>
    <xf numFmtId="49" fontId="6" fillId="11" borderId="17" xfId="3" applyNumberFormat="1" applyFont="1" applyFill="1" applyBorder="1" applyAlignment="1">
      <alignment horizontal="center"/>
    </xf>
    <xf numFmtId="49" fontId="6" fillId="11" borderId="16" xfId="3" applyNumberFormat="1" applyFont="1" applyFill="1" applyBorder="1" applyAlignment="1">
      <alignment horizontal="center"/>
    </xf>
    <xf numFmtId="49" fontId="6" fillId="17" borderId="2" xfId="3" applyNumberFormat="1" applyFont="1" applyFill="1" applyBorder="1" applyAlignment="1">
      <alignment horizontal="center"/>
    </xf>
    <xf numFmtId="49" fontId="6" fillId="19" borderId="2" xfId="3" applyNumberFormat="1" applyFont="1" applyFill="1" applyBorder="1" applyAlignment="1">
      <alignment horizontal="center"/>
    </xf>
    <xf numFmtId="49" fontId="6" fillId="18" borderId="2" xfId="3" applyNumberFormat="1" applyFont="1" applyFill="1" applyBorder="1" applyAlignment="1">
      <alignment horizontal="center"/>
    </xf>
    <xf numFmtId="49" fontId="6" fillId="17" borderId="16" xfId="3" applyNumberFormat="1" applyFont="1" applyFill="1" applyBorder="1" applyAlignment="1">
      <alignment horizontal="center"/>
    </xf>
    <xf numFmtId="165" fontId="6" fillId="5" borderId="13" xfId="4" applyNumberFormat="1" applyFont="1" applyFill="1" applyBorder="1" applyAlignment="1">
      <alignment horizontal="center"/>
    </xf>
    <xf numFmtId="165" fontId="6" fillId="5" borderId="15" xfId="4" applyNumberFormat="1" applyFont="1" applyFill="1" applyBorder="1" applyAlignment="1">
      <alignment horizontal="center"/>
    </xf>
    <xf numFmtId="165" fontId="6" fillId="5" borderId="16" xfId="4" applyNumberFormat="1" applyFont="1" applyFill="1" applyBorder="1" applyAlignment="1">
      <alignment horizontal="center"/>
    </xf>
    <xf numFmtId="165" fontId="6" fillId="11" borderId="16" xfId="4" applyNumberFormat="1" applyFont="1" applyFill="1" applyBorder="1" applyAlignment="1">
      <alignment horizontal="center"/>
    </xf>
    <xf numFmtId="165" fontId="6" fillId="5" borderId="7" xfId="4" applyNumberFormat="1" applyFont="1" applyFill="1" applyBorder="1" applyAlignment="1">
      <alignment horizontal="center"/>
    </xf>
    <xf numFmtId="165" fontId="6" fillId="5" borderId="17" xfId="4" applyNumberFormat="1" applyFont="1" applyFill="1" applyBorder="1" applyAlignment="1">
      <alignment horizontal="center"/>
    </xf>
    <xf numFmtId="165" fontId="6" fillId="11" borderId="18" xfId="4" applyNumberFormat="1" applyFont="1" applyFill="1" applyBorder="1" applyAlignment="1">
      <alignment horizontal="center"/>
    </xf>
    <xf numFmtId="165" fontId="6" fillId="11" borderId="20" xfId="4" applyNumberFormat="1" applyFont="1" applyFill="1" applyBorder="1" applyAlignment="1">
      <alignment horizontal="center"/>
    </xf>
    <xf numFmtId="165" fontId="6" fillId="11" borderId="22" xfId="4" applyNumberFormat="1" applyFont="1" applyFill="1" applyBorder="1" applyAlignment="1">
      <alignment horizontal="center"/>
    </xf>
    <xf numFmtId="0" fontId="37" fillId="2" borderId="2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10" borderId="2" xfId="0" applyFont="1" applyFill="1" applyBorder="1" applyAlignment="1">
      <alignment horizontal="center"/>
    </xf>
    <xf numFmtId="0" fontId="37" fillId="9" borderId="2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2" xfId="0" applyFont="1" applyBorder="1"/>
    <xf numFmtId="0" fontId="37" fillId="0" borderId="13" xfId="0" applyFont="1" applyBorder="1"/>
    <xf numFmtId="0" fontId="6" fillId="0" borderId="1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5" borderId="2" xfId="3" applyFont="1" applyFill="1" applyBorder="1" applyAlignment="1">
      <alignment horizontal="center"/>
    </xf>
    <xf numFmtId="0" fontId="6" fillId="5" borderId="13" xfId="3" applyFont="1" applyFill="1" applyBorder="1" applyAlignment="1">
      <alignment horizontal="center"/>
    </xf>
    <xf numFmtId="0" fontId="6" fillId="5" borderId="33" xfId="3" applyFont="1" applyFill="1" applyBorder="1" applyAlignment="1">
      <alignment horizontal="center"/>
    </xf>
    <xf numFmtId="0" fontId="6" fillId="5" borderId="18" xfId="3" applyFont="1" applyFill="1" applyBorder="1" applyAlignment="1">
      <alignment horizontal="center"/>
    </xf>
    <xf numFmtId="0" fontId="6" fillId="5" borderId="20" xfId="3" applyFont="1" applyFill="1" applyBorder="1" applyAlignment="1">
      <alignment horizontal="center"/>
    </xf>
    <xf numFmtId="0" fontId="6" fillId="5" borderId="35" xfId="3" applyFont="1" applyFill="1" applyBorder="1" applyAlignment="1">
      <alignment horizontal="center"/>
    </xf>
    <xf numFmtId="0" fontId="6" fillId="5" borderId="16" xfId="3" applyFont="1" applyFill="1" applyBorder="1" applyAlignment="1">
      <alignment horizontal="center"/>
    </xf>
    <xf numFmtId="0" fontId="6" fillId="5" borderId="7" xfId="3" applyFont="1" applyFill="1" applyBorder="1" applyAlignment="1">
      <alignment horizontal="center"/>
    </xf>
    <xf numFmtId="0" fontId="6" fillId="5" borderId="36" xfId="3" applyFont="1" applyFill="1" applyBorder="1" applyAlignment="1">
      <alignment horizontal="center"/>
    </xf>
    <xf numFmtId="0" fontId="6" fillId="5" borderId="37" xfId="3" applyFont="1" applyFill="1" applyBorder="1" applyAlignment="1">
      <alignment horizontal="center"/>
    </xf>
    <xf numFmtId="0" fontId="6" fillId="5" borderId="38" xfId="3" applyFont="1" applyFill="1" applyBorder="1" applyAlignment="1">
      <alignment horizontal="center"/>
    </xf>
    <xf numFmtId="0" fontId="6" fillId="5" borderId="39" xfId="3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1" fillId="7" borderId="7" xfId="0" applyFont="1" applyFill="1" applyBorder="1" applyAlignment="1">
      <alignment horizontal="center" wrapText="1"/>
    </xf>
    <xf numFmtId="0" fontId="6" fillId="8" borderId="24" xfId="0" applyFont="1" applyFill="1" applyBorder="1" applyAlignment="1">
      <alignment wrapText="1"/>
    </xf>
    <xf numFmtId="0" fontId="6" fillId="8" borderId="17" xfId="0" applyFont="1" applyFill="1" applyBorder="1" applyAlignment="1">
      <alignment wrapText="1"/>
    </xf>
    <xf numFmtId="0" fontId="11" fillId="7" borderId="7" xfId="0" applyFont="1" applyFill="1" applyBorder="1" applyAlignment="1">
      <alignment horizontal="center" vertical="center"/>
    </xf>
    <xf numFmtId="0" fontId="6" fillId="8" borderId="24" xfId="0" applyFont="1" applyFill="1" applyBorder="1"/>
    <xf numFmtId="0" fontId="6" fillId="8" borderId="17" xfId="0" applyFont="1" applyFill="1" applyBorder="1"/>
    <xf numFmtId="0" fontId="11" fillId="3" borderId="7" xfId="0" applyFont="1" applyFill="1" applyBorder="1" applyAlignment="1">
      <alignment horizontal="center" wrapText="1"/>
    </xf>
    <xf numFmtId="0" fontId="5" fillId="0" borderId="8" xfId="0" applyFont="1" applyBorder="1"/>
    <xf numFmtId="0" fontId="5" fillId="0" borderId="11" xfId="0" applyFont="1" applyBorder="1"/>
    <xf numFmtId="0" fontId="11" fillId="3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wrapText="1"/>
    </xf>
    <xf numFmtId="0" fontId="23" fillId="7" borderId="7" xfId="0" applyFont="1" applyFill="1" applyBorder="1" applyAlignment="1">
      <alignment horizontal="center" wrapText="1"/>
    </xf>
    <xf numFmtId="0" fontId="13" fillId="8" borderId="8" xfId="0" applyFont="1" applyFill="1" applyBorder="1" applyAlignment="1">
      <alignment wrapText="1"/>
    </xf>
    <xf numFmtId="0" fontId="13" fillId="8" borderId="11" xfId="0" applyFont="1" applyFill="1" applyBorder="1" applyAlignment="1">
      <alignment wrapText="1"/>
    </xf>
    <xf numFmtId="0" fontId="23" fillId="7" borderId="7" xfId="0" applyFont="1" applyFill="1" applyBorder="1" applyAlignment="1">
      <alignment horizontal="center" vertical="center"/>
    </xf>
    <xf numFmtId="0" fontId="13" fillId="8" borderId="8" xfId="0" applyFont="1" applyFill="1" applyBorder="1"/>
    <xf numFmtId="0" fontId="13" fillId="8" borderId="11" xfId="0" applyFont="1" applyFill="1" applyBorder="1"/>
    <xf numFmtId="0" fontId="11" fillId="3" borderId="7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11" fillId="3" borderId="3" xfId="0" applyFont="1" applyFill="1" applyBorder="1" applyAlignment="1">
      <alignment horizontal="center" vertical="center" wrapText="1"/>
    </xf>
    <xf numFmtId="0" fontId="15" fillId="0" borderId="4" xfId="0" applyFont="1" applyBorder="1"/>
    <xf numFmtId="0" fontId="15" fillId="0" borderId="10" xfId="0" applyFont="1" applyBorder="1"/>
    <xf numFmtId="0" fontId="11" fillId="4" borderId="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wrapText="1"/>
    </xf>
    <xf numFmtId="0" fontId="9" fillId="3" borderId="25" xfId="0" applyFont="1" applyFill="1" applyBorder="1" applyAlignment="1">
      <alignment horizontal="center"/>
    </xf>
    <xf numFmtId="0" fontId="5" fillId="0" borderId="25" xfId="0" applyFont="1" applyBorder="1"/>
    <xf numFmtId="0" fontId="0" fillId="0" borderId="25" xfId="0" applyBorder="1"/>
    <xf numFmtId="0" fontId="5" fillId="0" borderId="3" xfId="0" applyFont="1" applyBorder="1" applyAlignment="1">
      <alignment horizontal="center"/>
    </xf>
    <xf numFmtId="0" fontId="5" fillId="0" borderId="10" xfId="0" applyFont="1" applyBorder="1"/>
    <xf numFmtId="0" fontId="5" fillId="0" borderId="24" xfId="0" applyFont="1" applyBorder="1"/>
    <xf numFmtId="0" fontId="11" fillId="3" borderId="7" xfId="0" applyFont="1" applyFill="1" applyBorder="1" applyAlignment="1">
      <alignment horizontal="center"/>
    </xf>
    <xf numFmtId="0" fontId="11" fillId="3" borderId="13" xfId="3" applyFont="1" applyFill="1" applyBorder="1" applyAlignment="1">
      <alignment horizontal="center" vertical="center" wrapText="1"/>
    </xf>
    <xf numFmtId="0" fontId="5" fillId="0" borderId="5" xfId="3" applyFont="1" applyBorder="1"/>
    <xf numFmtId="0" fontId="5" fillId="0" borderId="15" xfId="3" applyFont="1" applyBorder="1"/>
    <xf numFmtId="0" fontId="11" fillId="3" borderId="13" xfId="3" applyFont="1" applyFill="1" applyBorder="1" applyAlignment="1">
      <alignment horizontal="center" vertical="center"/>
    </xf>
    <xf numFmtId="0" fontId="11" fillId="4" borderId="28" xfId="3" applyFont="1" applyFill="1" applyBorder="1" applyAlignment="1">
      <alignment horizontal="center" wrapText="1"/>
    </xf>
    <xf numFmtId="0" fontId="5" fillId="0" borderId="29" xfId="3" applyFont="1" applyBorder="1"/>
    <xf numFmtId="0" fontId="5" fillId="0" borderId="30" xfId="3" applyFont="1" applyBorder="1"/>
    <xf numFmtId="0" fontId="11" fillId="3" borderId="7" xfId="3" applyFont="1" applyFill="1" applyBorder="1" applyAlignment="1">
      <alignment horizontal="center" vertical="center" wrapText="1"/>
    </xf>
    <xf numFmtId="0" fontId="5" fillId="0" borderId="24" xfId="3" applyFont="1" applyBorder="1"/>
    <xf numFmtId="0" fontId="11" fillId="3" borderId="13" xfId="3" applyFont="1" applyFill="1" applyBorder="1" applyAlignment="1">
      <alignment horizontal="center" wrapText="1"/>
    </xf>
    <xf numFmtId="0" fontId="11" fillId="4" borderId="31" xfId="3" applyFont="1" applyFill="1" applyBorder="1" applyAlignment="1">
      <alignment horizontal="center" vertical="center" wrapText="1"/>
    </xf>
    <xf numFmtId="0" fontId="5" fillId="0" borderId="32" xfId="3" applyFont="1" applyBorder="1"/>
    <xf numFmtId="0" fontId="11" fillId="3" borderId="7" xfId="3" applyFont="1" applyFill="1" applyBorder="1" applyAlignment="1">
      <alignment horizontal="center" wrapText="1"/>
    </xf>
    <xf numFmtId="0" fontId="9" fillId="3" borderId="13" xfId="3" applyFont="1" applyFill="1" applyBorder="1" applyAlignment="1">
      <alignment horizontal="center"/>
    </xf>
    <xf numFmtId="0" fontId="5" fillId="0" borderId="21" xfId="3" applyFont="1" applyBorder="1"/>
    <xf numFmtId="0" fontId="11" fillId="3" borderId="13" xfId="3" applyFont="1" applyFill="1" applyBorder="1" applyAlignment="1">
      <alignment horizontal="center"/>
    </xf>
    <xf numFmtId="0" fontId="11" fillId="4" borderId="13" xfId="3" applyFont="1" applyFill="1" applyBorder="1" applyAlignment="1">
      <alignment horizontal="center" wrapText="1"/>
    </xf>
    <xf numFmtId="0" fontId="11" fillId="7" borderId="24" xfId="3" applyFont="1" applyFill="1" applyBorder="1" applyAlignment="1">
      <alignment horizontal="center" wrapText="1"/>
    </xf>
    <xf numFmtId="0" fontId="5" fillId="8" borderId="24" xfId="3" applyFont="1" applyFill="1" applyBorder="1" applyAlignment="1">
      <alignment wrapText="1"/>
    </xf>
    <xf numFmtId="0" fontId="5" fillId="8" borderId="17" xfId="3" applyFont="1" applyFill="1" applyBorder="1" applyAlignment="1">
      <alignment wrapText="1"/>
    </xf>
    <xf numFmtId="0" fontId="11" fillId="7" borderId="24" xfId="3" applyFont="1" applyFill="1" applyBorder="1" applyAlignment="1">
      <alignment horizontal="center" vertical="center"/>
    </xf>
    <xf numFmtId="0" fontId="5" fillId="8" borderId="24" xfId="3" applyFont="1" applyFill="1" applyBorder="1"/>
    <xf numFmtId="0" fontId="5" fillId="8" borderId="17" xfId="3" applyFont="1" applyFill="1" applyBorder="1"/>
    <xf numFmtId="0" fontId="11" fillId="4" borderId="13" xfId="3" applyFont="1" applyFill="1" applyBorder="1" applyAlignment="1">
      <alignment horizontal="center" vertical="center" wrapText="1"/>
    </xf>
    <xf numFmtId="0" fontId="11" fillId="6" borderId="7" xfId="4" applyFont="1" applyFill="1" applyBorder="1" applyAlignment="1">
      <alignment horizontal="center" wrapText="1"/>
    </xf>
    <xf numFmtId="0" fontId="5" fillId="0" borderId="24" xfId="4" applyFont="1" applyBorder="1"/>
    <xf numFmtId="0" fontId="5" fillId="0" borderId="17" xfId="4" applyFont="1" applyBorder="1"/>
    <xf numFmtId="0" fontId="11" fillId="3" borderId="7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wrapText="1"/>
    </xf>
    <xf numFmtId="0" fontId="11" fillId="3" borderId="13" xfId="4" applyFont="1" applyFill="1" applyBorder="1" applyAlignment="1">
      <alignment horizontal="center" wrapText="1"/>
    </xf>
    <xf numFmtId="0" fontId="5" fillId="0" borderId="5" xfId="4" applyFont="1" applyBorder="1"/>
    <xf numFmtId="0" fontId="5" fillId="0" borderId="15" xfId="4" applyFont="1" applyBorder="1"/>
    <xf numFmtId="0" fontId="11" fillId="6" borderId="7" xfId="4" applyFont="1" applyFill="1" applyBorder="1" applyAlignment="1">
      <alignment horizontal="center" vertical="center" wrapText="1"/>
    </xf>
    <xf numFmtId="0" fontId="11" fillId="3" borderId="13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vertical="center"/>
    </xf>
    <xf numFmtId="0" fontId="11" fillId="7" borderId="7" xfId="4" applyFont="1" applyFill="1" applyBorder="1" applyAlignment="1">
      <alignment horizontal="center" vertical="center"/>
    </xf>
    <xf numFmtId="0" fontId="5" fillId="8" borderId="24" xfId="4" applyFont="1" applyFill="1" applyBorder="1"/>
    <xf numFmtId="0" fontId="5" fillId="8" borderId="17" xfId="4" applyFont="1" applyFill="1" applyBorder="1"/>
    <xf numFmtId="0" fontId="9" fillId="3" borderId="13" xfId="4" applyFont="1" applyFill="1" applyBorder="1" applyAlignment="1">
      <alignment horizontal="center"/>
    </xf>
    <xf numFmtId="0" fontId="11" fillId="3" borderId="7" xfId="4" applyFont="1" applyFill="1" applyBorder="1" applyAlignment="1">
      <alignment horizontal="center"/>
    </xf>
    <xf numFmtId="0" fontId="11" fillId="7" borderId="7" xfId="4" applyFont="1" applyFill="1" applyBorder="1" applyAlignment="1">
      <alignment horizontal="center" wrapText="1"/>
    </xf>
    <xf numFmtId="0" fontId="5" fillId="8" borderId="24" xfId="4" applyFont="1" applyFill="1" applyBorder="1" applyAlignment="1">
      <alignment wrapText="1"/>
    </xf>
    <xf numFmtId="0" fontId="5" fillId="8" borderId="17" xfId="4" applyFont="1" applyFill="1" applyBorder="1" applyAlignment="1">
      <alignment wrapText="1"/>
    </xf>
    <xf numFmtId="0" fontId="15" fillId="3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5" fillId="3" borderId="7" xfId="0" applyFont="1" applyFill="1" applyBorder="1" applyAlignment="1">
      <alignment horizontal="center"/>
    </xf>
    <xf numFmtId="165" fontId="5" fillId="0" borderId="24" xfId="0" applyNumberFormat="1" applyFont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 wrapText="1"/>
    </xf>
    <xf numFmtId="0" fontId="5" fillId="0" borderId="21" xfId="0" applyFont="1" applyBorder="1"/>
    <xf numFmtId="0" fontId="5" fillId="0" borderId="22" xfId="0" applyFont="1" applyBorder="1"/>
    <xf numFmtId="0" fontId="11" fillId="4" borderId="3" xfId="0" applyFont="1" applyFill="1" applyBorder="1" applyAlignment="1">
      <alignment horizontal="center" wrapText="1"/>
    </xf>
    <xf numFmtId="165" fontId="9" fillId="3" borderId="7" xfId="0" applyNumberFormat="1" applyFont="1" applyFill="1" applyBorder="1" applyAlignment="1">
      <alignment horizontal="center"/>
    </xf>
    <xf numFmtId="165" fontId="11" fillId="3" borderId="20" xfId="0" applyNumberFormat="1" applyFont="1" applyFill="1" applyBorder="1" applyAlignment="1">
      <alignment horizontal="center" wrapText="1"/>
    </xf>
    <xf numFmtId="165" fontId="11" fillId="3" borderId="3" xfId="0" applyNumberFormat="1" applyFont="1" applyFill="1" applyBorder="1" applyAlignment="1">
      <alignment horizontal="center" wrapText="1"/>
    </xf>
    <xf numFmtId="165" fontId="11" fillId="4" borderId="3" xfId="0" applyNumberFormat="1" applyFont="1" applyFill="1" applyBorder="1" applyAlignment="1">
      <alignment horizontal="center" wrapText="1"/>
    </xf>
    <xf numFmtId="165" fontId="11" fillId="3" borderId="7" xfId="0" applyNumberFormat="1" applyFont="1" applyFill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 wrapText="1"/>
    </xf>
    <xf numFmtId="0" fontId="39" fillId="0" borderId="43" xfId="5" applyFont="1" applyBorder="1" applyAlignment="1">
      <alignment wrapText="1"/>
    </xf>
    <xf numFmtId="0" fontId="39" fillId="0" borderId="1" xfId="5" applyFont="1" applyAlignment="1">
      <alignment wrapText="1"/>
    </xf>
    <xf numFmtId="0" fontId="35" fillId="0" borderId="1" xfId="5"/>
    <xf numFmtId="0" fontId="40" fillId="20" borderId="44" xfId="5" applyFont="1" applyFill="1" applyBorder="1" applyAlignment="1">
      <alignment vertical="center" wrapText="1"/>
    </xf>
    <xf numFmtId="0" fontId="39" fillId="20" borderId="43" xfId="5" applyFont="1" applyFill="1" applyBorder="1" applyAlignment="1">
      <alignment vertical="center" wrapText="1"/>
    </xf>
    <xf numFmtId="0" fontId="41" fillId="21" borderId="44" xfId="5" applyFont="1" applyFill="1" applyBorder="1" applyAlignment="1">
      <alignment horizontal="center" vertical="center" wrapText="1"/>
    </xf>
    <xf numFmtId="0" fontId="41" fillId="21" borderId="45" xfId="5" applyFont="1" applyFill="1" applyBorder="1" applyAlignment="1">
      <alignment horizontal="center" vertical="center" wrapText="1"/>
    </xf>
    <xf numFmtId="0" fontId="42" fillId="20" borderId="44" xfId="5" applyFont="1" applyFill="1" applyBorder="1" applyAlignment="1">
      <alignment vertical="center" wrapText="1"/>
    </xf>
    <xf numFmtId="0" fontId="39" fillId="20" borderId="45" xfId="5" applyFont="1" applyFill="1" applyBorder="1" applyAlignment="1">
      <alignment horizontal="center" vertical="center" wrapText="1"/>
    </xf>
    <xf numFmtId="0" fontId="42" fillId="0" borderId="45" xfId="5" applyFont="1" applyBorder="1" applyAlignment="1">
      <alignment horizontal="center" vertical="center" wrapText="1"/>
    </xf>
    <xf numFmtId="0" fontId="39" fillId="20" borderId="1" xfId="5" applyFont="1" applyFill="1" applyAlignment="1">
      <alignment vertical="center" wrapText="1"/>
    </xf>
    <xf numFmtId="0" fontId="40" fillId="20" borderId="43" xfId="5" applyFont="1" applyFill="1" applyBorder="1" applyAlignment="1">
      <alignment vertical="center" wrapText="1"/>
    </xf>
    <xf numFmtId="0" fontId="42" fillId="20" borderId="45" xfId="5" applyFont="1" applyFill="1" applyBorder="1" applyAlignment="1">
      <alignment horizontal="center" vertical="center" wrapText="1"/>
    </xf>
  </cellXfs>
  <cellStyles count="6">
    <cellStyle name="Hyperlink 2" xfId="2" xr:uid="{07CB50FA-3194-4444-98E1-F499C03AE427}"/>
    <cellStyle name="Normal" xfId="0" builtinId="0"/>
    <cellStyle name="Normal 2" xfId="1" xr:uid="{FCD44928-41A7-455B-AA36-9C23E2B3F171}"/>
    <cellStyle name="Normal 2 2" xfId="5" xr:uid="{8F3DDB2B-5829-4248-B571-A245209B79F3}"/>
    <cellStyle name="Normal 3" xfId="3" xr:uid="{F575982E-667A-4520-B103-C7C5BB0ED66A}"/>
    <cellStyle name="Normal 4" xfId="4" xr:uid="{93FB5B23-E308-48A6-B027-31400E46184D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132</xdr:row>
      <xdr:rowOff>0</xdr:rowOff>
    </xdr:from>
    <xdr:ext cx="6619875" cy="2266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66</xdr:row>
      <xdr:rowOff>161925</xdr:rowOff>
    </xdr:from>
    <xdr:ext cx="661987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660082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66198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66579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ne-line.com/en/news/notice-emergency-fuel-surcharge-efs-implementatio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09"/>
  <sheetViews>
    <sheetView tabSelected="1" zoomScale="80" zoomScaleNormal="80" workbookViewId="0">
      <pane ySplit="10" topLeftCell="A46" activePane="bottomLeft" state="frozen"/>
      <selection activeCell="F90" sqref="F90"/>
      <selection pane="bottomLeft" activeCell="G127" sqref="G127"/>
    </sheetView>
  </sheetViews>
  <sheetFormatPr defaultColWidth="14.453125" defaultRowHeight="15" customHeight="1" x14ac:dyDescent="0.35"/>
  <cols>
    <col min="1" max="1" width="24.81640625" style="1" customWidth="1"/>
    <col min="2" max="2" width="39.1796875" style="1" customWidth="1"/>
    <col min="3" max="3" width="19.1796875" style="1" customWidth="1"/>
    <col min="4" max="4" width="22.81640625" style="1" customWidth="1"/>
    <col min="5" max="5" width="22.453125" style="1" customWidth="1"/>
    <col min="6" max="9" width="17.1796875" style="1" customWidth="1"/>
    <col min="10" max="36" width="14.54296875" style="1" customWidth="1"/>
    <col min="37" max="39" width="14.54296875" style="72" customWidth="1"/>
    <col min="40" max="48" width="14.54296875" style="1" customWidth="1"/>
    <col min="49" max="51" width="15.54296875" style="1" customWidth="1"/>
    <col min="52" max="60" width="14.81640625" style="1" customWidth="1"/>
    <col min="61" max="69" width="16.81640625" style="1" customWidth="1"/>
    <col min="70" max="75" width="12.81640625" style="1" customWidth="1"/>
    <col min="76" max="85" width="14.453125" style="1"/>
    <col min="86" max="90" width="14.453125" style="73"/>
    <col min="91" max="16384" width="14.453125" style="1"/>
  </cols>
  <sheetData>
    <row r="1" spans="1:90" ht="49.5" customHeight="1" x14ac:dyDescent="0.5">
      <c r="A1" s="7"/>
      <c r="B1" s="7"/>
      <c r="C1" s="7"/>
      <c r="D1" s="8" t="s">
        <v>0</v>
      </c>
      <c r="E1" s="9"/>
      <c r="F1" s="9"/>
      <c r="G1" s="9"/>
      <c r="H1" s="9"/>
      <c r="I1" s="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2"/>
      <c r="AD1" s="2"/>
      <c r="AE1" s="2"/>
      <c r="AF1" s="2"/>
      <c r="AG1" s="2"/>
      <c r="AH1" s="2"/>
      <c r="AI1" s="2"/>
      <c r="AJ1" s="2"/>
      <c r="AK1" s="44"/>
      <c r="AL1" s="44"/>
      <c r="AM1" s="44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90" ht="20.25" customHeight="1" x14ac:dyDescent="0.35">
      <c r="A2" s="7"/>
      <c r="B2" s="7"/>
      <c r="C2" s="7"/>
      <c r="D2" s="9"/>
      <c r="E2" s="9"/>
      <c r="F2" s="9"/>
      <c r="G2" s="9"/>
      <c r="H2" s="9"/>
      <c r="I2" s="9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2"/>
      <c r="AD2" s="2"/>
      <c r="AE2" s="2"/>
      <c r="AF2" s="2"/>
      <c r="AG2" s="2"/>
      <c r="AH2" s="2"/>
      <c r="AI2" s="2"/>
      <c r="AJ2" s="2"/>
      <c r="AK2" s="44"/>
      <c r="AL2" s="44"/>
      <c r="AM2" s="44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124"/>
      <c r="BS2" s="124"/>
      <c r="BT2" s="124"/>
      <c r="BU2" s="2"/>
      <c r="BV2" s="2"/>
      <c r="BW2" s="2"/>
    </row>
    <row r="3" spans="1:90" ht="14.25" customHeight="1" x14ac:dyDescent="0.35">
      <c r="A3" s="4"/>
      <c r="B3" s="4"/>
      <c r="C3" s="4"/>
      <c r="D3" s="6" t="s">
        <v>1</v>
      </c>
      <c r="E3" s="6" t="s">
        <v>2</v>
      </c>
      <c r="F3" s="9"/>
      <c r="G3" s="9"/>
      <c r="H3" s="9"/>
      <c r="I3" s="9"/>
      <c r="J3" s="7"/>
      <c r="K3" s="4"/>
      <c r="L3" s="2"/>
      <c r="M3" s="4"/>
      <c r="N3" s="4"/>
      <c r="O3" s="2"/>
      <c r="P3" s="4"/>
      <c r="Q3" s="4"/>
      <c r="R3" s="2"/>
      <c r="S3" s="4"/>
      <c r="T3" s="4"/>
      <c r="U3" s="2"/>
      <c r="V3" s="4"/>
      <c r="W3" s="4"/>
      <c r="X3" s="2"/>
      <c r="Y3" s="4"/>
      <c r="Z3" s="4"/>
      <c r="AA3" s="2"/>
      <c r="AB3" s="2"/>
      <c r="AC3" s="2"/>
      <c r="AD3" s="2"/>
      <c r="AE3" s="2"/>
      <c r="AF3" s="2"/>
      <c r="AG3" s="2"/>
      <c r="AH3" s="2"/>
      <c r="AI3" s="2"/>
      <c r="AJ3" s="2"/>
      <c r="AK3" s="44"/>
      <c r="AL3" s="44"/>
      <c r="AM3" s="44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90" ht="14.5" x14ac:dyDescent="0.35">
      <c r="A4" s="93" t="s">
        <v>3</v>
      </c>
      <c r="B4" s="3" t="s">
        <v>505</v>
      </c>
      <c r="C4" s="3"/>
      <c r="D4" s="226">
        <v>46256</v>
      </c>
      <c r="E4" s="226">
        <v>46265</v>
      </c>
      <c r="F4" s="4"/>
      <c r="G4" s="4"/>
      <c r="H4" s="4"/>
      <c r="I4" s="4"/>
      <c r="J4" s="4"/>
      <c r="K4" s="4"/>
      <c r="L4" s="2"/>
      <c r="M4" s="4"/>
      <c r="N4" s="4"/>
      <c r="O4" s="2"/>
      <c r="P4" s="4"/>
      <c r="Q4" s="4"/>
      <c r="R4" s="2"/>
      <c r="S4" s="4"/>
      <c r="T4" s="4"/>
      <c r="U4" s="2"/>
      <c r="V4" s="4"/>
      <c r="W4" s="4"/>
      <c r="X4" s="2"/>
      <c r="Y4" s="10"/>
      <c r="Z4" s="10"/>
      <c r="AA4" s="10"/>
      <c r="AB4" s="2"/>
      <c r="AC4" s="2"/>
      <c r="AD4" s="2"/>
      <c r="AE4" s="2"/>
      <c r="AF4" s="2"/>
      <c r="AG4" s="2"/>
      <c r="AH4" s="2"/>
      <c r="AI4" s="2"/>
      <c r="AJ4" s="2"/>
      <c r="AK4" s="44"/>
      <c r="AL4" s="44"/>
      <c r="AM4" s="44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90" ht="14.25" customHeight="1" x14ac:dyDescent="0.35">
      <c r="A5" s="4"/>
      <c r="B5" s="4"/>
      <c r="C5" s="4"/>
      <c r="D5" s="17"/>
      <c r="E5" s="95"/>
      <c r="F5" s="95"/>
      <c r="G5" s="10"/>
      <c r="H5" s="10"/>
      <c r="I5" s="10"/>
      <c r="J5" s="2"/>
      <c r="K5" s="4"/>
      <c r="L5" s="4"/>
      <c r="M5" s="2"/>
      <c r="N5" s="4"/>
      <c r="O5" s="4"/>
      <c r="P5" s="2"/>
      <c r="Q5" s="4"/>
      <c r="R5" s="4"/>
      <c r="S5" s="2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71"/>
      <c r="AL5" s="71"/>
      <c r="AM5" s="71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116"/>
      <c r="BJ5" s="116"/>
      <c r="BK5" s="116"/>
      <c r="BL5" s="4"/>
      <c r="BM5" s="4"/>
      <c r="BN5" s="4"/>
      <c r="BO5" s="89"/>
      <c r="BP5" s="4"/>
      <c r="BQ5" s="4"/>
      <c r="BR5" s="4"/>
      <c r="BS5" s="4"/>
      <c r="BT5" s="4"/>
      <c r="BU5" s="4"/>
      <c r="BV5" s="4"/>
      <c r="BW5" s="4"/>
    </row>
    <row r="6" spans="1:90" ht="14.25" customHeight="1" x14ac:dyDescent="0.35">
      <c r="A6" s="12"/>
      <c r="B6" s="12"/>
      <c r="C6" s="12"/>
      <c r="D6" s="329" t="s">
        <v>4</v>
      </c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30"/>
      <c r="X6" s="330"/>
      <c r="Y6" s="330"/>
      <c r="Z6" s="330"/>
      <c r="AA6" s="330"/>
      <c r="AB6" s="330"/>
      <c r="AC6" s="330"/>
      <c r="AD6" s="330"/>
      <c r="AE6" s="330"/>
      <c r="AF6" s="330"/>
      <c r="AG6" s="330"/>
      <c r="AH6" s="330"/>
      <c r="AI6" s="330"/>
      <c r="AJ6" s="330"/>
      <c r="AK6" s="330"/>
      <c r="AL6" s="330"/>
      <c r="AM6" s="330"/>
      <c r="AN6" s="330"/>
      <c r="AO6" s="330"/>
      <c r="AP6" s="330"/>
      <c r="AQ6" s="330"/>
      <c r="AR6" s="330"/>
      <c r="AS6" s="330"/>
      <c r="AT6" s="330"/>
      <c r="AU6" s="330"/>
      <c r="AV6" s="330"/>
      <c r="AW6" s="330"/>
      <c r="AX6" s="330"/>
      <c r="AY6" s="330"/>
      <c r="AZ6" s="330"/>
      <c r="BA6" s="330"/>
      <c r="BB6" s="330"/>
      <c r="BC6" s="330"/>
      <c r="BD6" s="330"/>
      <c r="BE6" s="330"/>
      <c r="BF6" s="330"/>
      <c r="BG6" s="330"/>
      <c r="BH6" s="330"/>
      <c r="BI6" s="330"/>
      <c r="BJ6" s="330"/>
      <c r="BK6" s="330"/>
      <c r="BL6" s="330"/>
      <c r="BM6" s="330"/>
      <c r="BN6" s="330"/>
      <c r="BO6" s="330"/>
      <c r="BP6" s="330"/>
      <c r="BQ6" s="330"/>
      <c r="BR6" s="330"/>
      <c r="BS6" s="330"/>
      <c r="BT6" s="330"/>
      <c r="BU6" s="331"/>
      <c r="BV6" s="331"/>
      <c r="BW6" s="331"/>
    </row>
    <row r="7" spans="1:90" ht="45.75" customHeight="1" x14ac:dyDescent="0.35">
      <c r="A7" s="13"/>
      <c r="B7" s="14"/>
      <c r="C7" s="14"/>
      <c r="D7" s="311" t="s">
        <v>5</v>
      </c>
      <c r="E7" s="312"/>
      <c r="F7" s="323"/>
      <c r="G7" s="311" t="s">
        <v>6</v>
      </c>
      <c r="H7" s="312"/>
      <c r="I7" s="323"/>
      <c r="J7" s="311" t="s">
        <v>7</v>
      </c>
      <c r="K7" s="312"/>
      <c r="L7" s="323"/>
      <c r="M7" s="311" t="s">
        <v>453</v>
      </c>
      <c r="N7" s="334"/>
      <c r="O7" s="334"/>
      <c r="P7" s="311" t="s">
        <v>451</v>
      </c>
      <c r="Q7" s="334"/>
      <c r="R7" s="334"/>
      <c r="S7" s="311" t="s">
        <v>8</v>
      </c>
      <c r="T7" s="312"/>
      <c r="U7" s="323"/>
      <c r="V7" s="311" t="s">
        <v>9</v>
      </c>
      <c r="W7" s="312"/>
      <c r="X7" s="323"/>
      <c r="Y7" s="311" t="s">
        <v>10</v>
      </c>
      <c r="Z7" s="312"/>
      <c r="AA7" s="323"/>
      <c r="AB7" s="311" t="s">
        <v>11</v>
      </c>
      <c r="AC7" s="312"/>
      <c r="AD7" s="323"/>
      <c r="AE7" s="311" t="s">
        <v>12</v>
      </c>
      <c r="AF7" s="312"/>
      <c r="AG7" s="323"/>
      <c r="AH7" s="311" t="s">
        <v>488</v>
      </c>
      <c r="AI7" s="312"/>
      <c r="AJ7" s="323"/>
      <c r="AK7" s="328" t="s">
        <v>13</v>
      </c>
      <c r="AL7" s="325"/>
      <c r="AM7" s="326"/>
      <c r="AN7" s="311" t="s">
        <v>14</v>
      </c>
      <c r="AO7" s="312"/>
      <c r="AP7" s="323"/>
      <c r="AQ7" s="311" t="s">
        <v>15</v>
      </c>
      <c r="AR7" s="312"/>
      <c r="AS7" s="323"/>
      <c r="AT7" s="311" t="s">
        <v>16</v>
      </c>
      <c r="AU7" s="312"/>
      <c r="AV7" s="313"/>
      <c r="AW7" s="311" t="s">
        <v>17</v>
      </c>
      <c r="AX7" s="312"/>
      <c r="AY7" s="313"/>
      <c r="AZ7" s="335" t="s">
        <v>18</v>
      </c>
      <c r="BA7" s="312"/>
      <c r="BB7" s="313"/>
      <c r="BC7" s="311" t="s">
        <v>19</v>
      </c>
      <c r="BD7" s="312"/>
      <c r="BE7" s="313"/>
      <c r="BF7" s="311" t="s">
        <v>467</v>
      </c>
      <c r="BG7" s="312"/>
      <c r="BH7" s="313"/>
      <c r="BI7" s="315" t="s">
        <v>20</v>
      </c>
      <c r="BJ7" s="312"/>
      <c r="BK7" s="313"/>
      <c r="BL7" s="315" t="s">
        <v>21</v>
      </c>
      <c r="BM7" s="312"/>
      <c r="BN7" s="313"/>
      <c r="BO7" s="315" t="s">
        <v>22</v>
      </c>
      <c r="BP7" s="312"/>
      <c r="BQ7" s="313"/>
      <c r="BR7" s="316" t="s">
        <v>424</v>
      </c>
      <c r="BS7" s="317"/>
      <c r="BT7" s="318"/>
      <c r="BU7" s="305" t="s">
        <v>506</v>
      </c>
      <c r="BV7" s="306"/>
      <c r="BW7" s="307"/>
      <c r="CH7" s="1"/>
      <c r="CI7" s="1"/>
      <c r="CJ7" s="1"/>
      <c r="CK7" s="1"/>
    </row>
    <row r="8" spans="1:90" ht="31.5" customHeight="1" x14ac:dyDescent="0.35">
      <c r="A8" s="15"/>
      <c r="B8" s="16"/>
      <c r="C8" s="16"/>
      <c r="D8" s="322" t="s">
        <v>23</v>
      </c>
      <c r="E8" s="312"/>
      <c r="F8" s="323"/>
      <c r="G8" s="322" t="s">
        <v>24</v>
      </c>
      <c r="H8" s="312"/>
      <c r="I8" s="323"/>
      <c r="J8" s="322" t="s">
        <v>25</v>
      </c>
      <c r="K8" s="312"/>
      <c r="L8" s="323"/>
      <c r="M8" s="322" t="s">
        <v>450</v>
      </c>
      <c r="N8" s="334"/>
      <c r="O8" s="334"/>
      <c r="P8" s="322" t="s">
        <v>452</v>
      </c>
      <c r="Q8" s="334"/>
      <c r="R8" s="334"/>
      <c r="S8" s="322" t="s">
        <v>26</v>
      </c>
      <c r="T8" s="312"/>
      <c r="U8" s="323"/>
      <c r="V8" s="322" t="s">
        <v>27</v>
      </c>
      <c r="W8" s="312"/>
      <c r="X8" s="323"/>
      <c r="Y8" s="322" t="s">
        <v>28</v>
      </c>
      <c r="Z8" s="312"/>
      <c r="AA8" s="323"/>
      <c r="AB8" s="322" t="s">
        <v>29</v>
      </c>
      <c r="AC8" s="312"/>
      <c r="AD8" s="323"/>
      <c r="AE8" s="322" t="s">
        <v>30</v>
      </c>
      <c r="AF8" s="312"/>
      <c r="AG8" s="323"/>
      <c r="AH8" s="322" t="s">
        <v>489</v>
      </c>
      <c r="AI8" s="312"/>
      <c r="AJ8" s="323"/>
      <c r="AK8" s="324" t="s">
        <v>31</v>
      </c>
      <c r="AL8" s="325"/>
      <c r="AM8" s="326"/>
      <c r="AN8" s="322" t="s">
        <v>32</v>
      </c>
      <c r="AO8" s="312"/>
      <c r="AP8" s="323"/>
      <c r="AQ8" s="322" t="s">
        <v>33</v>
      </c>
      <c r="AR8" s="312"/>
      <c r="AS8" s="323"/>
      <c r="AT8" s="322" t="s">
        <v>34</v>
      </c>
      <c r="AU8" s="312"/>
      <c r="AV8" s="313"/>
      <c r="AW8" s="322" t="s">
        <v>35</v>
      </c>
      <c r="AX8" s="312"/>
      <c r="AY8" s="313"/>
      <c r="AZ8" s="314" t="s">
        <v>36</v>
      </c>
      <c r="BA8" s="312"/>
      <c r="BB8" s="313"/>
      <c r="BC8" s="314" t="s">
        <v>37</v>
      </c>
      <c r="BD8" s="312"/>
      <c r="BE8" s="313"/>
      <c r="BF8" s="314" t="s">
        <v>411</v>
      </c>
      <c r="BG8" s="312"/>
      <c r="BH8" s="313"/>
      <c r="BI8" s="327" t="s">
        <v>38</v>
      </c>
      <c r="BJ8" s="312"/>
      <c r="BK8" s="313"/>
      <c r="BL8" s="327" t="s">
        <v>39</v>
      </c>
      <c r="BM8" s="312"/>
      <c r="BN8" s="313"/>
      <c r="BO8" s="327" t="s">
        <v>40</v>
      </c>
      <c r="BP8" s="312"/>
      <c r="BQ8" s="313"/>
      <c r="BR8" s="319" t="s">
        <v>41</v>
      </c>
      <c r="BS8" s="320"/>
      <c r="BT8" s="321"/>
      <c r="BU8" s="308" t="s">
        <v>41</v>
      </c>
      <c r="BV8" s="309"/>
      <c r="BW8" s="310"/>
      <c r="CH8" s="1"/>
      <c r="CI8" s="1"/>
      <c r="CJ8" s="1"/>
      <c r="CK8" s="1"/>
    </row>
    <row r="9" spans="1:90" ht="15.5" x14ac:dyDescent="0.35">
      <c r="A9" s="18" t="s">
        <v>42</v>
      </c>
      <c r="B9" s="27" t="s">
        <v>43</v>
      </c>
      <c r="C9" s="18" t="s">
        <v>44</v>
      </c>
      <c r="D9" s="52" t="s">
        <v>45</v>
      </c>
      <c r="E9" s="52" t="s">
        <v>46</v>
      </c>
      <c r="F9" s="52" t="s">
        <v>47</v>
      </c>
      <c r="G9" s="52" t="s">
        <v>45</v>
      </c>
      <c r="H9" s="52" t="s">
        <v>46</v>
      </c>
      <c r="I9" s="52" t="s">
        <v>47</v>
      </c>
      <c r="J9" s="52" t="s">
        <v>45</v>
      </c>
      <c r="K9" s="52" t="s">
        <v>46</v>
      </c>
      <c r="L9" s="52" t="s">
        <v>47</v>
      </c>
      <c r="M9" s="52" t="s">
        <v>45</v>
      </c>
      <c r="N9" s="52" t="s">
        <v>46</v>
      </c>
      <c r="O9" s="52" t="s">
        <v>47</v>
      </c>
      <c r="P9" s="52" t="s">
        <v>45</v>
      </c>
      <c r="Q9" s="52" t="s">
        <v>46</v>
      </c>
      <c r="R9" s="52" t="s">
        <v>47</v>
      </c>
      <c r="S9" s="52" t="s">
        <v>45</v>
      </c>
      <c r="T9" s="52" t="s">
        <v>46</v>
      </c>
      <c r="U9" s="52" t="s">
        <v>47</v>
      </c>
      <c r="V9" s="52" t="s">
        <v>45</v>
      </c>
      <c r="W9" s="52" t="s">
        <v>46</v>
      </c>
      <c r="X9" s="52" t="s">
        <v>47</v>
      </c>
      <c r="Y9" s="52" t="s">
        <v>45</v>
      </c>
      <c r="Z9" s="52" t="s">
        <v>46</v>
      </c>
      <c r="AA9" s="52" t="s">
        <v>47</v>
      </c>
      <c r="AB9" s="52" t="s">
        <v>45</v>
      </c>
      <c r="AC9" s="52" t="s">
        <v>46</v>
      </c>
      <c r="AD9" s="52" t="s">
        <v>47</v>
      </c>
      <c r="AE9" s="52" t="s">
        <v>45</v>
      </c>
      <c r="AF9" s="52" t="s">
        <v>46</v>
      </c>
      <c r="AG9" s="52" t="s">
        <v>47</v>
      </c>
      <c r="AH9" s="198"/>
      <c r="AI9" s="198"/>
      <c r="AJ9" s="198"/>
      <c r="AK9" s="52" t="s">
        <v>45</v>
      </c>
      <c r="AL9" s="52" t="s">
        <v>46</v>
      </c>
      <c r="AM9" s="52" t="s">
        <v>47</v>
      </c>
      <c r="AN9" s="52" t="s">
        <v>45</v>
      </c>
      <c r="AO9" s="52" t="s">
        <v>46</v>
      </c>
      <c r="AP9" s="52" t="s">
        <v>47</v>
      </c>
      <c r="AQ9" s="52" t="s">
        <v>45</v>
      </c>
      <c r="AR9" s="52" t="s">
        <v>46</v>
      </c>
      <c r="AS9" s="52" t="s">
        <v>47</v>
      </c>
      <c r="AT9" s="52" t="s">
        <v>45</v>
      </c>
      <c r="AU9" s="52" t="s">
        <v>46</v>
      </c>
      <c r="AV9" s="52" t="s">
        <v>47</v>
      </c>
      <c r="AW9" s="52" t="s">
        <v>45</v>
      </c>
      <c r="AX9" s="52" t="s">
        <v>46</v>
      </c>
      <c r="AY9" s="52" t="s">
        <v>47</v>
      </c>
      <c r="AZ9" s="52" t="s">
        <v>45</v>
      </c>
      <c r="BA9" s="52" t="s">
        <v>46</v>
      </c>
      <c r="BB9" s="52" t="s">
        <v>47</v>
      </c>
      <c r="BC9" s="52" t="s">
        <v>45</v>
      </c>
      <c r="BD9" s="52" t="s">
        <v>46</v>
      </c>
      <c r="BE9" s="52" t="s">
        <v>47</v>
      </c>
      <c r="BF9" s="52" t="s">
        <v>45</v>
      </c>
      <c r="BG9" s="52" t="s">
        <v>46</v>
      </c>
      <c r="BH9" s="52" t="s">
        <v>47</v>
      </c>
      <c r="BI9" s="21" t="s">
        <v>45</v>
      </c>
      <c r="BJ9" s="21" t="s">
        <v>46</v>
      </c>
      <c r="BK9" s="21" t="s">
        <v>47</v>
      </c>
      <c r="BL9" s="21" t="s">
        <v>45</v>
      </c>
      <c r="BM9" s="21" t="s">
        <v>46</v>
      </c>
      <c r="BN9" s="21" t="s">
        <v>47</v>
      </c>
      <c r="BO9" s="21" t="s">
        <v>45</v>
      </c>
      <c r="BP9" s="21" t="s">
        <v>46</v>
      </c>
      <c r="BQ9" s="21" t="s">
        <v>47</v>
      </c>
      <c r="BR9" s="62" t="s">
        <v>45</v>
      </c>
      <c r="BS9" s="62" t="s">
        <v>46</v>
      </c>
      <c r="BT9" s="62" t="s">
        <v>47</v>
      </c>
      <c r="BU9" s="62" t="s">
        <v>45</v>
      </c>
      <c r="BV9" s="62" t="s">
        <v>46</v>
      </c>
      <c r="BW9" s="62" t="s">
        <v>47</v>
      </c>
      <c r="CH9" s="1"/>
      <c r="CI9" s="1"/>
      <c r="CJ9" s="1"/>
      <c r="CK9" s="1"/>
    </row>
    <row r="10" spans="1:90" s="76" customFormat="1" ht="14.5" x14ac:dyDescent="0.35">
      <c r="A10" s="82" t="s">
        <v>48</v>
      </c>
      <c r="B10" s="82"/>
      <c r="C10" s="200" t="s">
        <v>49</v>
      </c>
      <c r="D10" s="209">
        <v>7200</v>
      </c>
      <c r="E10" s="209">
        <v>7500</v>
      </c>
      <c r="F10" s="209">
        <v>7500</v>
      </c>
      <c r="G10" s="209">
        <v>7200</v>
      </c>
      <c r="H10" s="209">
        <v>7500</v>
      </c>
      <c r="I10" s="209">
        <v>7500</v>
      </c>
      <c r="J10" s="209">
        <v>7200</v>
      </c>
      <c r="K10" s="209">
        <v>7500</v>
      </c>
      <c r="L10" s="209">
        <v>7500</v>
      </c>
      <c r="M10" s="209">
        <v>7200</v>
      </c>
      <c r="N10" s="209">
        <v>7500</v>
      </c>
      <c r="O10" s="209">
        <v>7500</v>
      </c>
      <c r="P10" s="209">
        <v>7200</v>
      </c>
      <c r="Q10" s="209">
        <v>7500</v>
      </c>
      <c r="R10" s="209">
        <v>7500</v>
      </c>
      <c r="S10" s="209">
        <v>7200</v>
      </c>
      <c r="T10" s="209">
        <v>7500</v>
      </c>
      <c r="U10" s="209">
        <v>7500</v>
      </c>
      <c r="V10" s="209">
        <v>7200</v>
      </c>
      <c r="W10" s="209">
        <v>7500</v>
      </c>
      <c r="X10" s="209">
        <v>7500</v>
      </c>
      <c r="Y10" s="209">
        <v>7200</v>
      </c>
      <c r="Z10" s="209">
        <v>7500</v>
      </c>
      <c r="AA10" s="209">
        <v>7500</v>
      </c>
      <c r="AB10" s="209">
        <v>7200</v>
      </c>
      <c r="AC10" s="209">
        <v>7500</v>
      </c>
      <c r="AD10" s="209">
        <v>7500</v>
      </c>
      <c r="AE10" s="209">
        <v>7200</v>
      </c>
      <c r="AF10" s="209">
        <v>7500</v>
      </c>
      <c r="AG10" s="209">
        <v>7500</v>
      </c>
      <c r="AH10" s="209">
        <v>7000</v>
      </c>
      <c r="AI10" s="209">
        <v>7300</v>
      </c>
      <c r="AJ10" s="209">
        <v>7300</v>
      </c>
      <c r="AK10" s="209">
        <v>7500</v>
      </c>
      <c r="AL10" s="209">
        <v>7900</v>
      </c>
      <c r="AM10" s="209">
        <v>7900</v>
      </c>
      <c r="AN10" s="210" t="s">
        <v>504</v>
      </c>
      <c r="AO10" s="211">
        <v>1400</v>
      </c>
      <c r="AP10" s="211">
        <v>1400</v>
      </c>
      <c r="AQ10" s="212">
        <v>7840</v>
      </c>
      <c r="AR10" s="209">
        <v>8465</v>
      </c>
      <c r="AS10" s="209">
        <v>8465</v>
      </c>
      <c r="AT10" s="209">
        <v>7325</v>
      </c>
      <c r="AU10" s="209">
        <v>7700</v>
      </c>
      <c r="AV10" s="209">
        <v>7700</v>
      </c>
      <c r="AW10" s="209">
        <v>8200</v>
      </c>
      <c r="AX10" s="209">
        <v>8500</v>
      </c>
      <c r="AY10" s="209">
        <v>8500</v>
      </c>
      <c r="AZ10" s="209">
        <v>7800</v>
      </c>
      <c r="BA10" s="209">
        <v>8325</v>
      </c>
      <c r="BB10" s="209">
        <v>8325</v>
      </c>
      <c r="BC10" s="209">
        <v>7950</v>
      </c>
      <c r="BD10" s="209">
        <v>8375</v>
      </c>
      <c r="BE10" s="209">
        <v>8375</v>
      </c>
      <c r="BF10" s="209">
        <v>8025</v>
      </c>
      <c r="BG10" s="209">
        <v>8700</v>
      </c>
      <c r="BH10" s="209">
        <v>8700</v>
      </c>
      <c r="BI10" s="209">
        <v>8400</v>
      </c>
      <c r="BJ10" s="209">
        <v>8700</v>
      </c>
      <c r="BK10" s="209">
        <v>8700</v>
      </c>
      <c r="BL10" s="209">
        <v>8400</v>
      </c>
      <c r="BM10" s="209">
        <v>8700</v>
      </c>
      <c r="BN10" s="209">
        <v>8700</v>
      </c>
      <c r="BO10" s="209">
        <v>8400</v>
      </c>
      <c r="BP10" s="209">
        <v>8700</v>
      </c>
      <c r="BQ10" s="209">
        <v>8700</v>
      </c>
      <c r="BR10" s="213"/>
      <c r="BS10" s="213"/>
      <c r="BT10" s="213"/>
      <c r="BU10" s="214">
        <f t="shared" ref="BU10:BU30" si="0">(BO10+2791)-100</f>
        <v>11091</v>
      </c>
      <c r="BV10" s="214">
        <f t="shared" ref="BV10:BV30" si="1">(BP10+2791)-100</f>
        <v>11391</v>
      </c>
      <c r="BW10" s="214">
        <f t="shared" ref="BW10:BW30" si="2">(BQ10+2791)-100</f>
        <v>11391</v>
      </c>
      <c r="CL10" s="84"/>
    </row>
    <row r="11" spans="1:90" ht="14.5" x14ac:dyDescent="0.35">
      <c r="A11" s="3" t="s">
        <v>50</v>
      </c>
      <c r="B11" s="3"/>
      <c r="C11" s="53" t="s">
        <v>51</v>
      </c>
      <c r="D11" s="215">
        <v>7200</v>
      </c>
      <c r="E11" s="215">
        <v>7500</v>
      </c>
      <c r="F11" s="215">
        <v>7500</v>
      </c>
      <c r="G11" s="215">
        <v>7200</v>
      </c>
      <c r="H11" s="215">
        <v>7500</v>
      </c>
      <c r="I11" s="215">
        <v>7500</v>
      </c>
      <c r="J11" s="215">
        <v>7200</v>
      </c>
      <c r="K11" s="215">
        <v>7500</v>
      </c>
      <c r="L11" s="215">
        <v>7500</v>
      </c>
      <c r="M11" s="215">
        <v>7200</v>
      </c>
      <c r="N11" s="215">
        <v>7500</v>
      </c>
      <c r="O11" s="215">
        <v>7500</v>
      </c>
      <c r="P11" s="215">
        <v>7200</v>
      </c>
      <c r="Q11" s="215">
        <v>7500</v>
      </c>
      <c r="R11" s="215">
        <v>7500</v>
      </c>
      <c r="S11" s="215">
        <v>7200</v>
      </c>
      <c r="T11" s="215">
        <v>7500</v>
      </c>
      <c r="U11" s="215">
        <v>7500</v>
      </c>
      <c r="V11" s="215">
        <v>7200</v>
      </c>
      <c r="W11" s="215">
        <v>7500</v>
      </c>
      <c r="X11" s="215">
        <v>7500</v>
      </c>
      <c r="Y11" s="215">
        <v>7200</v>
      </c>
      <c r="Z11" s="215">
        <v>7500</v>
      </c>
      <c r="AA11" s="215">
        <v>7500</v>
      </c>
      <c r="AB11" s="215">
        <v>7200</v>
      </c>
      <c r="AC11" s="215">
        <v>7500</v>
      </c>
      <c r="AD11" s="215">
        <v>7500</v>
      </c>
      <c r="AE11" s="215">
        <v>7200</v>
      </c>
      <c r="AF11" s="215">
        <v>7500</v>
      </c>
      <c r="AG11" s="215">
        <v>7500</v>
      </c>
      <c r="AH11" s="215">
        <v>7000</v>
      </c>
      <c r="AI11" s="215">
        <v>7300</v>
      </c>
      <c r="AJ11" s="215">
        <v>7300</v>
      </c>
      <c r="AK11" s="215">
        <v>7500</v>
      </c>
      <c r="AL11" s="215">
        <v>7900</v>
      </c>
      <c r="AM11" s="215">
        <v>7900</v>
      </c>
      <c r="AN11" s="210" t="s">
        <v>504</v>
      </c>
      <c r="AO11" s="211">
        <v>1400</v>
      </c>
      <c r="AP11" s="211">
        <v>1400</v>
      </c>
      <c r="AQ11" s="216">
        <v>7840</v>
      </c>
      <c r="AR11" s="215">
        <v>8465</v>
      </c>
      <c r="AS11" s="215">
        <v>8465</v>
      </c>
      <c r="AT11" s="215">
        <v>7325</v>
      </c>
      <c r="AU11" s="215">
        <v>7700</v>
      </c>
      <c r="AV11" s="215">
        <v>7700</v>
      </c>
      <c r="AW11" s="215">
        <v>8200</v>
      </c>
      <c r="AX11" s="215">
        <v>8500</v>
      </c>
      <c r="AY11" s="215">
        <v>8500</v>
      </c>
      <c r="AZ11" s="215">
        <v>7800</v>
      </c>
      <c r="BA11" s="215">
        <v>8325</v>
      </c>
      <c r="BB11" s="215">
        <v>8325</v>
      </c>
      <c r="BC11" s="215">
        <v>7950</v>
      </c>
      <c r="BD11" s="215">
        <v>8375</v>
      </c>
      <c r="BE11" s="215">
        <v>8375</v>
      </c>
      <c r="BF11" s="215">
        <v>8025</v>
      </c>
      <c r="BG11" s="215">
        <v>8700</v>
      </c>
      <c r="BH11" s="215">
        <v>8700</v>
      </c>
      <c r="BI11" s="215">
        <v>8400</v>
      </c>
      <c r="BJ11" s="215">
        <v>8700</v>
      </c>
      <c r="BK11" s="215">
        <v>8700</v>
      </c>
      <c r="BL11" s="215">
        <v>8400</v>
      </c>
      <c r="BM11" s="215">
        <v>8700</v>
      </c>
      <c r="BN11" s="215">
        <v>8700</v>
      </c>
      <c r="BO11" s="215">
        <v>8400</v>
      </c>
      <c r="BP11" s="215">
        <v>8700</v>
      </c>
      <c r="BQ11" s="215">
        <v>8700</v>
      </c>
      <c r="BR11" s="213"/>
      <c r="BS11" s="213"/>
      <c r="BT11" s="213"/>
      <c r="BU11" s="6">
        <f t="shared" si="0"/>
        <v>11091</v>
      </c>
      <c r="BV11" s="6">
        <f t="shared" si="1"/>
        <v>11391</v>
      </c>
      <c r="BW11" s="6">
        <f t="shared" si="2"/>
        <v>11391</v>
      </c>
      <c r="CH11" s="1"/>
      <c r="CI11" s="1"/>
      <c r="CJ11" s="1"/>
      <c r="CK11" s="1"/>
    </row>
    <row r="12" spans="1:90" ht="14.5" x14ac:dyDescent="0.35">
      <c r="A12" s="3" t="s">
        <v>52</v>
      </c>
      <c r="B12" s="3"/>
      <c r="C12" s="53" t="s">
        <v>53</v>
      </c>
      <c r="D12" s="215">
        <v>7200</v>
      </c>
      <c r="E12" s="215">
        <v>7500</v>
      </c>
      <c r="F12" s="215">
        <v>7500</v>
      </c>
      <c r="G12" s="215">
        <v>7200</v>
      </c>
      <c r="H12" s="215">
        <v>7500</v>
      </c>
      <c r="I12" s="215">
        <v>7500</v>
      </c>
      <c r="J12" s="215">
        <v>7200</v>
      </c>
      <c r="K12" s="215">
        <v>7500</v>
      </c>
      <c r="L12" s="215">
        <v>7500</v>
      </c>
      <c r="M12" s="215">
        <v>7200</v>
      </c>
      <c r="N12" s="215">
        <v>7500</v>
      </c>
      <c r="O12" s="215">
        <v>7500</v>
      </c>
      <c r="P12" s="215">
        <v>7200</v>
      </c>
      <c r="Q12" s="215">
        <v>7500</v>
      </c>
      <c r="R12" s="215">
        <v>7500</v>
      </c>
      <c r="S12" s="215">
        <v>7200</v>
      </c>
      <c r="T12" s="215">
        <v>7500</v>
      </c>
      <c r="U12" s="215">
        <v>7500</v>
      </c>
      <c r="V12" s="215">
        <v>7200</v>
      </c>
      <c r="W12" s="215">
        <v>7500</v>
      </c>
      <c r="X12" s="215">
        <v>7500</v>
      </c>
      <c r="Y12" s="215">
        <v>7200</v>
      </c>
      <c r="Z12" s="215">
        <v>7500</v>
      </c>
      <c r="AA12" s="215">
        <v>7500</v>
      </c>
      <c r="AB12" s="215">
        <v>7200</v>
      </c>
      <c r="AC12" s="215">
        <v>7500</v>
      </c>
      <c r="AD12" s="215">
        <v>7500</v>
      </c>
      <c r="AE12" s="215">
        <v>7200</v>
      </c>
      <c r="AF12" s="215">
        <v>7500</v>
      </c>
      <c r="AG12" s="215">
        <v>7500</v>
      </c>
      <c r="AH12" s="215">
        <v>7000</v>
      </c>
      <c r="AI12" s="215">
        <v>7300</v>
      </c>
      <c r="AJ12" s="215">
        <v>7300</v>
      </c>
      <c r="AK12" s="215">
        <v>7500</v>
      </c>
      <c r="AL12" s="215">
        <v>7900</v>
      </c>
      <c r="AM12" s="215">
        <v>7900</v>
      </c>
      <c r="AN12" s="211">
        <v>1300</v>
      </c>
      <c r="AO12" s="211">
        <v>1400</v>
      </c>
      <c r="AP12" s="211">
        <v>1400</v>
      </c>
      <c r="AQ12" s="216">
        <v>7840</v>
      </c>
      <c r="AR12" s="215">
        <v>8465</v>
      </c>
      <c r="AS12" s="215">
        <v>8465</v>
      </c>
      <c r="AT12" s="215">
        <v>7325</v>
      </c>
      <c r="AU12" s="215">
        <v>7700</v>
      </c>
      <c r="AV12" s="215">
        <v>7700</v>
      </c>
      <c r="AW12" s="215">
        <v>8200</v>
      </c>
      <c r="AX12" s="215">
        <v>8500</v>
      </c>
      <c r="AY12" s="215">
        <v>8500</v>
      </c>
      <c r="AZ12" s="215">
        <v>7800</v>
      </c>
      <c r="BA12" s="215">
        <v>8325</v>
      </c>
      <c r="BB12" s="215">
        <v>8325</v>
      </c>
      <c r="BC12" s="215">
        <v>7950</v>
      </c>
      <c r="BD12" s="215">
        <v>8375</v>
      </c>
      <c r="BE12" s="215">
        <v>8375</v>
      </c>
      <c r="BF12" s="215">
        <v>8025</v>
      </c>
      <c r="BG12" s="215">
        <v>8700</v>
      </c>
      <c r="BH12" s="215">
        <v>8700</v>
      </c>
      <c r="BI12" s="215">
        <v>8400</v>
      </c>
      <c r="BJ12" s="215">
        <v>8700</v>
      </c>
      <c r="BK12" s="215">
        <v>8700</v>
      </c>
      <c r="BL12" s="215">
        <v>8400</v>
      </c>
      <c r="BM12" s="215">
        <v>8700</v>
      </c>
      <c r="BN12" s="215">
        <v>8700</v>
      </c>
      <c r="BO12" s="215">
        <v>8400</v>
      </c>
      <c r="BP12" s="215">
        <v>8700</v>
      </c>
      <c r="BQ12" s="215">
        <v>8700</v>
      </c>
      <c r="BR12" s="213"/>
      <c r="BS12" s="213"/>
      <c r="BT12" s="213"/>
      <c r="BU12" s="6">
        <f t="shared" si="0"/>
        <v>11091</v>
      </c>
      <c r="BV12" s="6">
        <f t="shared" si="1"/>
        <v>11391</v>
      </c>
      <c r="BW12" s="6">
        <f t="shared" si="2"/>
        <v>11391</v>
      </c>
      <c r="CH12" s="1"/>
      <c r="CI12" s="1"/>
      <c r="CJ12" s="1"/>
      <c r="CK12" s="1"/>
    </row>
    <row r="13" spans="1:90" ht="14.5" x14ac:dyDescent="0.35">
      <c r="A13" s="3" t="s">
        <v>54</v>
      </c>
      <c r="B13" s="3"/>
      <c r="C13" s="53" t="s">
        <v>55</v>
      </c>
      <c r="D13" s="215">
        <v>7200</v>
      </c>
      <c r="E13" s="215">
        <v>7500</v>
      </c>
      <c r="F13" s="215">
        <v>7500</v>
      </c>
      <c r="G13" s="215">
        <v>7200</v>
      </c>
      <c r="H13" s="215">
        <v>7500</v>
      </c>
      <c r="I13" s="215">
        <v>7500</v>
      </c>
      <c r="J13" s="215">
        <v>7200</v>
      </c>
      <c r="K13" s="215">
        <v>7500</v>
      </c>
      <c r="L13" s="215">
        <v>7500</v>
      </c>
      <c r="M13" s="215">
        <v>7200</v>
      </c>
      <c r="N13" s="215">
        <v>7500</v>
      </c>
      <c r="O13" s="215">
        <v>7500</v>
      </c>
      <c r="P13" s="215">
        <v>7200</v>
      </c>
      <c r="Q13" s="215">
        <v>7500</v>
      </c>
      <c r="R13" s="215">
        <v>7500</v>
      </c>
      <c r="S13" s="215">
        <v>7200</v>
      </c>
      <c r="T13" s="215">
        <v>7500</v>
      </c>
      <c r="U13" s="215">
        <v>7500</v>
      </c>
      <c r="V13" s="215">
        <v>7200</v>
      </c>
      <c r="W13" s="215">
        <v>7500</v>
      </c>
      <c r="X13" s="215">
        <v>7500</v>
      </c>
      <c r="Y13" s="215">
        <v>7200</v>
      </c>
      <c r="Z13" s="215">
        <v>7500</v>
      </c>
      <c r="AA13" s="215">
        <v>7500</v>
      </c>
      <c r="AB13" s="215">
        <v>7200</v>
      </c>
      <c r="AC13" s="215">
        <v>7500</v>
      </c>
      <c r="AD13" s="215">
        <v>7500</v>
      </c>
      <c r="AE13" s="215">
        <v>7200</v>
      </c>
      <c r="AF13" s="215">
        <v>7500</v>
      </c>
      <c r="AG13" s="215">
        <v>7500</v>
      </c>
      <c r="AH13" s="215">
        <v>7000</v>
      </c>
      <c r="AI13" s="215">
        <v>7300</v>
      </c>
      <c r="AJ13" s="215">
        <v>7300</v>
      </c>
      <c r="AK13" s="215">
        <v>7500</v>
      </c>
      <c r="AL13" s="215">
        <v>7900</v>
      </c>
      <c r="AM13" s="215">
        <v>7900</v>
      </c>
      <c r="AN13" s="217">
        <v>1300</v>
      </c>
      <c r="AO13" s="217">
        <v>1400</v>
      </c>
      <c r="AP13" s="217">
        <v>1400</v>
      </c>
      <c r="AQ13" s="215">
        <v>7840</v>
      </c>
      <c r="AR13" s="215">
        <v>8465</v>
      </c>
      <c r="AS13" s="215">
        <v>8465</v>
      </c>
      <c r="AT13" s="215">
        <v>7325</v>
      </c>
      <c r="AU13" s="215">
        <v>7700</v>
      </c>
      <c r="AV13" s="215">
        <v>7700</v>
      </c>
      <c r="AW13" s="215">
        <v>8200</v>
      </c>
      <c r="AX13" s="215">
        <v>8500</v>
      </c>
      <c r="AY13" s="215">
        <v>8500</v>
      </c>
      <c r="AZ13" s="215">
        <v>7800</v>
      </c>
      <c r="BA13" s="215">
        <v>8325</v>
      </c>
      <c r="BB13" s="215">
        <v>8325</v>
      </c>
      <c r="BC13" s="215">
        <v>7950</v>
      </c>
      <c r="BD13" s="215">
        <v>8375</v>
      </c>
      <c r="BE13" s="215">
        <v>8375</v>
      </c>
      <c r="BF13" s="215">
        <v>8025</v>
      </c>
      <c r="BG13" s="215">
        <v>8700</v>
      </c>
      <c r="BH13" s="215">
        <v>8700</v>
      </c>
      <c r="BI13" s="215">
        <v>8400</v>
      </c>
      <c r="BJ13" s="215">
        <v>8700</v>
      </c>
      <c r="BK13" s="215">
        <v>8700</v>
      </c>
      <c r="BL13" s="215">
        <v>8400</v>
      </c>
      <c r="BM13" s="215">
        <v>8700</v>
      </c>
      <c r="BN13" s="215">
        <v>8700</v>
      </c>
      <c r="BO13" s="215">
        <v>8400</v>
      </c>
      <c r="BP13" s="215">
        <v>8700</v>
      </c>
      <c r="BQ13" s="215">
        <v>8700</v>
      </c>
      <c r="BR13" s="213"/>
      <c r="BS13" s="213"/>
      <c r="BT13" s="213"/>
      <c r="BU13" s="6">
        <f t="shared" si="0"/>
        <v>11091</v>
      </c>
      <c r="BV13" s="6">
        <f t="shared" si="1"/>
        <v>11391</v>
      </c>
      <c r="BW13" s="6">
        <f t="shared" si="2"/>
        <v>11391</v>
      </c>
      <c r="CH13" s="1"/>
      <c r="CI13" s="1"/>
      <c r="CJ13" s="1"/>
      <c r="CK13" s="1"/>
    </row>
    <row r="14" spans="1:90" ht="14.5" x14ac:dyDescent="0.35">
      <c r="A14" s="3" t="s">
        <v>56</v>
      </c>
      <c r="B14" s="3"/>
      <c r="C14" s="53" t="s">
        <v>57</v>
      </c>
      <c r="D14" s="215">
        <v>7200</v>
      </c>
      <c r="E14" s="215">
        <v>7500</v>
      </c>
      <c r="F14" s="215">
        <v>7500</v>
      </c>
      <c r="G14" s="215">
        <v>7200</v>
      </c>
      <c r="H14" s="215">
        <v>7500</v>
      </c>
      <c r="I14" s="215">
        <v>7500</v>
      </c>
      <c r="J14" s="215">
        <v>7200</v>
      </c>
      <c r="K14" s="215">
        <v>7500</v>
      </c>
      <c r="L14" s="215">
        <v>7500</v>
      </c>
      <c r="M14" s="215">
        <v>7200</v>
      </c>
      <c r="N14" s="215">
        <v>7500</v>
      </c>
      <c r="O14" s="215">
        <v>7500</v>
      </c>
      <c r="P14" s="215">
        <v>7200</v>
      </c>
      <c r="Q14" s="215">
        <v>7500</v>
      </c>
      <c r="R14" s="215">
        <v>7500</v>
      </c>
      <c r="S14" s="215">
        <v>7200</v>
      </c>
      <c r="T14" s="215">
        <v>7500</v>
      </c>
      <c r="U14" s="215">
        <v>7500</v>
      </c>
      <c r="V14" s="215">
        <v>7200</v>
      </c>
      <c r="W14" s="215">
        <v>7500</v>
      </c>
      <c r="X14" s="215">
        <v>7500</v>
      </c>
      <c r="Y14" s="215">
        <v>7200</v>
      </c>
      <c r="Z14" s="215">
        <v>7500</v>
      </c>
      <c r="AA14" s="215">
        <v>7500</v>
      </c>
      <c r="AB14" s="215">
        <v>7200</v>
      </c>
      <c r="AC14" s="215">
        <v>7500</v>
      </c>
      <c r="AD14" s="215">
        <v>7500</v>
      </c>
      <c r="AE14" s="215">
        <v>7200</v>
      </c>
      <c r="AF14" s="215">
        <v>7500</v>
      </c>
      <c r="AG14" s="215">
        <v>7500</v>
      </c>
      <c r="AH14" s="215">
        <v>7000</v>
      </c>
      <c r="AI14" s="215">
        <v>7300</v>
      </c>
      <c r="AJ14" s="215">
        <v>7300</v>
      </c>
      <c r="AK14" s="215">
        <v>7500</v>
      </c>
      <c r="AL14" s="215">
        <v>7900</v>
      </c>
      <c r="AM14" s="215">
        <v>7900</v>
      </c>
      <c r="AN14" s="213">
        <v>1300</v>
      </c>
      <c r="AO14" s="213">
        <v>1400</v>
      </c>
      <c r="AP14" s="213">
        <v>1400</v>
      </c>
      <c r="AQ14" s="215">
        <v>7840</v>
      </c>
      <c r="AR14" s="215">
        <v>8465</v>
      </c>
      <c r="AS14" s="215">
        <v>8465</v>
      </c>
      <c r="AT14" s="215">
        <v>7325</v>
      </c>
      <c r="AU14" s="215">
        <v>7700</v>
      </c>
      <c r="AV14" s="215">
        <v>7700</v>
      </c>
      <c r="AW14" s="215">
        <v>8200</v>
      </c>
      <c r="AX14" s="215">
        <v>8500</v>
      </c>
      <c r="AY14" s="215">
        <v>8500</v>
      </c>
      <c r="AZ14" s="215">
        <v>7800</v>
      </c>
      <c r="BA14" s="215">
        <v>8325</v>
      </c>
      <c r="BB14" s="215">
        <v>8325</v>
      </c>
      <c r="BC14" s="215">
        <v>7950</v>
      </c>
      <c r="BD14" s="215">
        <v>8375</v>
      </c>
      <c r="BE14" s="215">
        <v>8375</v>
      </c>
      <c r="BF14" s="215">
        <v>8025</v>
      </c>
      <c r="BG14" s="215">
        <v>8700</v>
      </c>
      <c r="BH14" s="215">
        <v>8700</v>
      </c>
      <c r="BI14" s="215">
        <v>8400</v>
      </c>
      <c r="BJ14" s="215">
        <v>8700</v>
      </c>
      <c r="BK14" s="215">
        <v>8700</v>
      </c>
      <c r="BL14" s="215">
        <v>8400</v>
      </c>
      <c r="BM14" s="215">
        <v>8700</v>
      </c>
      <c r="BN14" s="215">
        <v>8700</v>
      </c>
      <c r="BO14" s="215">
        <v>8400</v>
      </c>
      <c r="BP14" s="215">
        <v>8700</v>
      </c>
      <c r="BQ14" s="215">
        <v>8700</v>
      </c>
      <c r="BR14" s="213"/>
      <c r="BS14" s="213"/>
      <c r="BT14" s="213"/>
      <c r="BU14" s="6">
        <f t="shared" si="0"/>
        <v>11091</v>
      </c>
      <c r="BV14" s="6">
        <f t="shared" si="1"/>
        <v>11391</v>
      </c>
      <c r="BW14" s="6">
        <f t="shared" si="2"/>
        <v>11391</v>
      </c>
      <c r="CH14" s="1"/>
      <c r="CI14" s="1"/>
      <c r="CJ14" s="1"/>
      <c r="CK14" s="1"/>
    </row>
    <row r="15" spans="1:90" ht="14.5" x14ac:dyDescent="0.35">
      <c r="A15" s="3" t="s">
        <v>58</v>
      </c>
      <c r="B15" s="3"/>
      <c r="C15" s="53" t="s">
        <v>59</v>
      </c>
      <c r="D15" s="215">
        <v>7200</v>
      </c>
      <c r="E15" s="215">
        <v>7500</v>
      </c>
      <c r="F15" s="215">
        <v>7500</v>
      </c>
      <c r="G15" s="215">
        <v>7200</v>
      </c>
      <c r="H15" s="215">
        <v>7500</v>
      </c>
      <c r="I15" s="215">
        <v>7500</v>
      </c>
      <c r="J15" s="215">
        <v>7200</v>
      </c>
      <c r="K15" s="215">
        <v>7500</v>
      </c>
      <c r="L15" s="215">
        <v>7500</v>
      </c>
      <c r="M15" s="215">
        <v>7200</v>
      </c>
      <c r="N15" s="215">
        <v>7500</v>
      </c>
      <c r="O15" s="215">
        <v>7500</v>
      </c>
      <c r="P15" s="215">
        <v>7200</v>
      </c>
      <c r="Q15" s="215">
        <v>7500</v>
      </c>
      <c r="R15" s="215">
        <v>7500</v>
      </c>
      <c r="S15" s="215">
        <v>7200</v>
      </c>
      <c r="T15" s="215">
        <v>7500</v>
      </c>
      <c r="U15" s="215">
        <v>7500</v>
      </c>
      <c r="V15" s="215">
        <v>7200</v>
      </c>
      <c r="W15" s="215">
        <v>7500</v>
      </c>
      <c r="X15" s="215">
        <v>7500</v>
      </c>
      <c r="Y15" s="215">
        <v>7200</v>
      </c>
      <c r="Z15" s="215">
        <v>7500</v>
      </c>
      <c r="AA15" s="215">
        <v>7500</v>
      </c>
      <c r="AB15" s="215">
        <v>7200</v>
      </c>
      <c r="AC15" s="215">
        <v>7500</v>
      </c>
      <c r="AD15" s="215">
        <v>7500</v>
      </c>
      <c r="AE15" s="215">
        <v>7200</v>
      </c>
      <c r="AF15" s="215">
        <v>7500</v>
      </c>
      <c r="AG15" s="215">
        <v>7500</v>
      </c>
      <c r="AH15" s="215">
        <v>7000</v>
      </c>
      <c r="AI15" s="215">
        <v>7300</v>
      </c>
      <c r="AJ15" s="215">
        <v>7300</v>
      </c>
      <c r="AK15" s="215">
        <v>7500</v>
      </c>
      <c r="AL15" s="215">
        <v>7900</v>
      </c>
      <c r="AM15" s="215">
        <v>7900</v>
      </c>
      <c r="AN15" s="213">
        <v>1300</v>
      </c>
      <c r="AO15" s="213">
        <v>1400</v>
      </c>
      <c r="AP15" s="213">
        <v>1400</v>
      </c>
      <c r="AQ15" s="215">
        <v>7840</v>
      </c>
      <c r="AR15" s="215">
        <v>8465</v>
      </c>
      <c r="AS15" s="215">
        <v>8465</v>
      </c>
      <c r="AT15" s="215">
        <v>7325</v>
      </c>
      <c r="AU15" s="215">
        <v>7700</v>
      </c>
      <c r="AV15" s="215">
        <v>7700</v>
      </c>
      <c r="AW15" s="215">
        <v>8200</v>
      </c>
      <c r="AX15" s="215">
        <v>8500</v>
      </c>
      <c r="AY15" s="215">
        <v>8500</v>
      </c>
      <c r="AZ15" s="215">
        <v>7800</v>
      </c>
      <c r="BA15" s="215">
        <v>8325</v>
      </c>
      <c r="BB15" s="215">
        <v>8325</v>
      </c>
      <c r="BC15" s="215">
        <v>7950</v>
      </c>
      <c r="BD15" s="215">
        <v>8375</v>
      </c>
      <c r="BE15" s="215">
        <v>8375</v>
      </c>
      <c r="BF15" s="215">
        <v>8025</v>
      </c>
      <c r="BG15" s="215">
        <v>8700</v>
      </c>
      <c r="BH15" s="215">
        <v>8700</v>
      </c>
      <c r="BI15" s="215">
        <v>8400</v>
      </c>
      <c r="BJ15" s="215">
        <v>8700</v>
      </c>
      <c r="BK15" s="215">
        <v>8700</v>
      </c>
      <c r="BL15" s="215">
        <v>8400</v>
      </c>
      <c r="BM15" s="215">
        <v>8700</v>
      </c>
      <c r="BN15" s="215">
        <v>8700</v>
      </c>
      <c r="BO15" s="215">
        <v>8400</v>
      </c>
      <c r="BP15" s="215">
        <v>8700</v>
      </c>
      <c r="BQ15" s="215">
        <v>8700</v>
      </c>
      <c r="BR15" s="213"/>
      <c r="BS15" s="213"/>
      <c r="BT15" s="213"/>
      <c r="BU15" s="6">
        <f t="shared" si="0"/>
        <v>11091</v>
      </c>
      <c r="BV15" s="6">
        <f t="shared" si="1"/>
        <v>11391</v>
      </c>
      <c r="BW15" s="6">
        <f t="shared" si="2"/>
        <v>11391</v>
      </c>
      <c r="CH15" s="1"/>
      <c r="CI15" s="1"/>
      <c r="CJ15" s="1"/>
      <c r="CK15" s="1"/>
    </row>
    <row r="16" spans="1:90" ht="14.5" x14ac:dyDescent="0.35">
      <c r="A16" s="3" t="s">
        <v>60</v>
      </c>
      <c r="B16" s="3"/>
      <c r="C16" s="53" t="s">
        <v>61</v>
      </c>
      <c r="D16" s="215">
        <v>7200</v>
      </c>
      <c r="E16" s="215">
        <v>7500</v>
      </c>
      <c r="F16" s="215">
        <v>7500</v>
      </c>
      <c r="G16" s="215">
        <v>7200</v>
      </c>
      <c r="H16" s="215">
        <v>7500</v>
      </c>
      <c r="I16" s="215">
        <v>7500</v>
      </c>
      <c r="J16" s="215">
        <v>7200</v>
      </c>
      <c r="K16" s="215">
        <v>7500</v>
      </c>
      <c r="L16" s="215">
        <v>7500</v>
      </c>
      <c r="M16" s="215">
        <v>7200</v>
      </c>
      <c r="N16" s="215">
        <v>7500</v>
      </c>
      <c r="O16" s="215">
        <v>7500</v>
      </c>
      <c r="P16" s="215">
        <v>7200</v>
      </c>
      <c r="Q16" s="215">
        <v>7500</v>
      </c>
      <c r="R16" s="215">
        <v>7500</v>
      </c>
      <c r="S16" s="215">
        <v>7200</v>
      </c>
      <c r="T16" s="215">
        <v>7500</v>
      </c>
      <c r="U16" s="215">
        <v>7500</v>
      </c>
      <c r="V16" s="215">
        <v>7200</v>
      </c>
      <c r="W16" s="215">
        <v>7500</v>
      </c>
      <c r="X16" s="215">
        <v>7500</v>
      </c>
      <c r="Y16" s="215">
        <v>7200</v>
      </c>
      <c r="Z16" s="215">
        <v>7500</v>
      </c>
      <c r="AA16" s="215">
        <v>7500</v>
      </c>
      <c r="AB16" s="215">
        <v>7200</v>
      </c>
      <c r="AC16" s="215">
        <v>7500</v>
      </c>
      <c r="AD16" s="215">
        <v>7500</v>
      </c>
      <c r="AE16" s="215">
        <v>7200</v>
      </c>
      <c r="AF16" s="215">
        <v>7500</v>
      </c>
      <c r="AG16" s="215">
        <v>7500</v>
      </c>
      <c r="AH16" s="215">
        <v>7000</v>
      </c>
      <c r="AI16" s="215">
        <v>7300</v>
      </c>
      <c r="AJ16" s="215">
        <v>7300</v>
      </c>
      <c r="AK16" s="215">
        <v>7500</v>
      </c>
      <c r="AL16" s="215">
        <v>7900</v>
      </c>
      <c r="AM16" s="215">
        <v>7900</v>
      </c>
      <c r="AN16" s="213">
        <v>1300</v>
      </c>
      <c r="AO16" s="213">
        <v>1400</v>
      </c>
      <c r="AP16" s="213">
        <v>1400</v>
      </c>
      <c r="AQ16" s="215">
        <v>7840</v>
      </c>
      <c r="AR16" s="215">
        <v>8465</v>
      </c>
      <c r="AS16" s="215">
        <v>8465</v>
      </c>
      <c r="AT16" s="215">
        <v>7325</v>
      </c>
      <c r="AU16" s="215">
        <v>7700</v>
      </c>
      <c r="AV16" s="215">
        <v>7700</v>
      </c>
      <c r="AW16" s="215">
        <v>8200</v>
      </c>
      <c r="AX16" s="215">
        <v>8500</v>
      </c>
      <c r="AY16" s="215">
        <v>8500</v>
      </c>
      <c r="AZ16" s="215">
        <v>7800</v>
      </c>
      <c r="BA16" s="215">
        <v>8325</v>
      </c>
      <c r="BB16" s="215">
        <v>8325</v>
      </c>
      <c r="BC16" s="215">
        <v>7950</v>
      </c>
      <c r="BD16" s="215">
        <v>8375</v>
      </c>
      <c r="BE16" s="215">
        <v>8375</v>
      </c>
      <c r="BF16" s="215">
        <v>8025</v>
      </c>
      <c r="BG16" s="215">
        <v>8700</v>
      </c>
      <c r="BH16" s="215">
        <v>8700</v>
      </c>
      <c r="BI16" s="215">
        <v>8400</v>
      </c>
      <c r="BJ16" s="215">
        <v>8700</v>
      </c>
      <c r="BK16" s="215">
        <v>8700</v>
      </c>
      <c r="BL16" s="215">
        <v>8400</v>
      </c>
      <c r="BM16" s="215">
        <v>8700</v>
      </c>
      <c r="BN16" s="215">
        <v>8700</v>
      </c>
      <c r="BO16" s="215">
        <v>8400</v>
      </c>
      <c r="BP16" s="215">
        <v>8700</v>
      </c>
      <c r="BQ16" s="215">
        <v>8700</v>
      </c>
      <c r="BR16" s="213"/>
      <c r="BS16" s="213"/>
      <c r="BT16" s="213"/>
      <c r="BU16" s="6">
        <f t="shared" si="0"/>
        <v>11091</v>
      </c>
      <c r="BV16" s="6">
        <f t="shared" si="1"/>
        <v>11391</v>
      </c>
      <c r="BW16" s="6">
        <f t="shared" si="2"/>
        <v>11391</v>
      </c>
      <c r="CH16" s="1"/>
      <c r="CI16" s="1"/>
      <c r="CJ16" s="1"/>
      <c r="CK16" s="1"/>
    </row>
    <row r="17" spans="1:89" ht="14.5" x14ac:dyDescent="0.35">
      <c r="A17" s="3" t="s">
        <v>62</v>
      </c>
      <c r="B17" s="3"/>
      <c r="C17" s="53" t="s">
        <v>63</v>
      </c>
      <c r="D17" s="215">
        <v>7200</v>
      </c>
      <c r="E17" s="215">
        <v>7500</v>
      </c>
      <c r="F17" s="215">
        <v>7500</v>
      </c>
      <c r="G17" s="215">
        <v>7200</v>
      </c>
      <c r="H17" s="215">
        <v>7500</v>
      </c>
      <c r="I17" s="215">
        <v>7500</v>
      </c>
      <c r="J17" s="215">
        <v>7200</v>
      </c>
      <c r="K17" s="215">
        <v>7500</v>
      </c>
      <c r="L17" s="215">
        <v>7500</v>
      </c>
      <c r="M17" s="215">
        <v>7200</v>
      </c>
      <c r="N17" s="215">
        <v>7500</v>
      </c>
      <c r="O17" s="215">
        <v>7500</v>
      </c>
      <c r="P17" s="215">
        <v>7200</v>
      </c>
      <c r="Q17" s="215">
        <v>7500</v>
      </c>
      <c r="R17" s="215">
        <v>7500</v>
      </c>
      <c r="S17" s="215">
        <v>7200</v>
      </c>
      <c r="T17" s="215">
        <v>7500</v>
      </c>
      <c r="U17" s="215">
        <v>7500</v>
      </c>
      <c r="V17" s="215">
        <v>7200</v>
      </c>
      <c r="W17" s="215">
        <v>7500</v>
      </c>
      <c r="X17" s="215">
        <v>7500</v>
      </c>
      <c r="Y17" s="215">
        <v>7200</v>
      </c>
      <c r="Z17" s="215">
        <v>7500</v>
      </c>
      <c r="AA17" s="215">
        <v>7500</v>
      </c>
      <c r="AB17" s="215">
        <v>7200</v>
      </c>
      <c r="AC17" s="215">
        <v>7500</v>
      </c>
      <c r="AD17" s="215">
        <v>7500</v>
      </c>
      <c r="AE17" s="215">
        <v>7200</v>
      </c>
      <c r="AF17" s="215">
        <v>7500</v>
      </c>
      <c r="AG17" s="215">
        <v>7500</v>
      </c>
      <c r="AH17" s="215">
        <v>7000</v>
      </c>
      <c r="AI17" s="215">
        <v>7300</v>
      </c>
      <c r="AJ17" s="215">
        <v>7300</v>
      </c>
      <c r="AK17" s="215">
        <v>7500</v>
      </c>
      <c r="AL17" s="215">
        <v>7900</v>
      </c>
      <c r="AM17" s="215">
        <v>7900</v>
      </c>
      <c r="AN17" s="213">
        <v>1300</v>
      </c>
      <c r="AO17" s="213">
        <v>1400</v>
      </c>
      <c r="AP17" s="213">
        <v>1400</v>
      </c>
      <c r="AQ17" s="215">
        <v>7840</v>
      </c>
      <c r="AR17" s="215">
        <v>8465</v>
      </c>
      <c r="AS17" s="215">
        <v>8465</v>
      </c>
      <c r="AT17" s="215">
        <v>7325</v>
      </c>
      <c r="AU17" s="215">
        <v>7700</v>
      </c>
      <c r="AV17" s="215">
        <v>7700</v>
      </c>
      <c r="AW17" s="215">
        <v>8200</v>
      </c>
      <c r="AX17" s="215">
        <v>8500</v>
      </c>
      <c r="AY17" s="215">
        <v>8500</v>
      </c>
      <c r="AZ17" s="215">
        <v>7800</v>
      </c>
      <c r="BA17" s="215">
        <v>8325</v>
      </c>
      <c r="BB17" s="215">
        <v>8325</v>
      </c>
      <c r="BC17" s="215">
        <v>7950</v>
      </c>
      <c r="BD17" s="215">
        <v>8375</v>
      </c>
      <c r="BE17" s="215">
        <v>8375</v>
      </c>
      <c r="BF17" s="215">
        <v>8025</v>
      </c>
      <c r="BG17" s="215">
        <v>8700</v>
      </c>
      <c r="BH17" s="215">
        <v>8700</v>
      </c>
      <c r="BI17" s="215">
        <v>8400</v>
      </c>
      <c r="BJ17" s="215">
        <v>8700</v>
      </c>
      <c r="BK17" s="215">
        <v>8700</v>
      </c>
      <c r="BL17" s="215">
        <v>8400</v>
      </c>
      <c r="BM17" s="215">
        <v>8700</v>
      </c>
      <c r="BN17" s="215">
        <v>8700</v>
      </c>
      <c r="BO17" s="215">
        <v>8400</v>
      </c>
      <c r="BP17" s="215">
        <v>8700</v>
      </c>
      <c r="BQ17" s="215">
        <v>8700</v>
      </c>
      <c r="BR17" s="213"/>
      <c r="BS17" s="213"/>
      <c r="BT17" s="213"/>
      <c r="BU17" s="6">
        <f t="shared" si="0"/>
        <v>11091</v>
      </c>
      <c r="BV17" s="6">
        <f t="shared" si="1"/>
        <v>11391</v>
      </c>
      <c r="BW17" s="6">
        <f t="shared" si="2"/>
        <v>11391</v>
      </c>
      <c r="CH17" s="1"/>
      <c r="CI17" s="1"/>
      <c r="CJ17" s="1"/>
      <c r="CK17" s="1"/>
    </row>
    <row r="18" spans="1:89" ht="14.5" x14ac:dyDescent="0.35">
      <c r="A18" s="3" t="s">
        <v>64</v>
      </c>
      <c r="B18" s="3"/>
      <c r="C18" s="53" t="s">
        <v>65</v>
      </c>
      <c r="D18" s="215">
        <v>7200</v>
      </c>
      <c r="E18" s="215">
        <v>7500</v>
      </c>
      <c r="F18" s="215">
        <v>7500</v>
      </c>
      <c r="G18" s="215">
        <v>7200</v>
      </c>
      <c r="H18" s="215">
        <v>7500</v>
      </c>
      <c r="I18" s="215">
        <v>7500</v>
      </c>
      <c r="J18" s="215">
        <v>7200</v>
      </c>
      <c r="K18" s="215">
        <v>7500</v>
      </c>
      <c r="L18" s="215">
        <v>7500</v>
      </c>
      <c r="M18" s="215">
        <v>7200</v>
      </c>
      <c r="N18" s="215">
        <v>7500</v>
      </c>
      <c r="O18" s="215">
        <v>7500</v>
      </c>
      <c r="P18" s="215">
        <v>7200</v>
      </c>
      <c r="Q18" s="215">
        <v>7500</v>
      </c>
      <c r="R18" s="215">
        <v>7500</v>
      </c>
      <c r="S18" s="215">
        <v>7200</v>
      </c>
      <c r="T18" s="215">
        <v>7500</v>
      </c>
      <c r="U18" s="215">
        <v>7500</v>
      </c>
      <c r="V18" s="215">
        <v>7200</v>
      </c>
      <c r="W18" s="215">
        <v>7500</v>
      </c>
      <c r="X18" s="215">
        <v>7500</v>
      </c>
      <c r="Y18" s="215">
        <v>7200</v>
      </c>
      <c r="Z18" s="215">
        <v>7500</v>
      </c>
      <c r="AA18" s="215">
        <v>7500</v>
      </c>
      <c r="AB18" s="215">
        <v>7200</v>
      </c>
      <c r="AC18" s="215">
        <v>7500</v>
      </c>
      <c r="AD18" s="215">
        <v>7500</v>
      </c>
      <c r="AE18" s="215">
        <v>7200</v>
      </c>
      <c r="AF18" s="215">
        <v>7500</v>
      </c>
      <c r="AG18" s="215">
        <v>7500</v>
      </c>
      <c r="AH18" s="215">
        <v>7000</v>
      </c>
      <c r="AI18" s="215">
        <v>7300</v>
      </c>
      <c r="AJ18" s="215">
        <v>7300</v>
      </c>
      <c r="AK18" s="215">
        <v>7500</v>
      </c>
      <c r="AL18" s="215">
        <v>7900</v>
      </c>
      <c r="AM18" s="215">
        <v>7900</v>
      </c>
      <c r="AN18" s="213">
        <v>1300</v>
      </c>
      <c r="AO18" s="213">
        <v>1400</v>
      </c>
      <c r="AP18" s="213">
        <v>1400</v>
      </c>
      <c r="AQ18" s="215">
        <v>7675</v>
      </c>
      <c r="AR18" s="215">
        <v>8465</v>
      </c>
      <c r="AS18" s="215">
        <v>8465</v>
      </c>
      <c r="AT18" s="215">
        <v>7325</v>
      </c>
      <c r="AU18" s="215">
        <v>7700</v>
      </c>
      <c r="AV18" s="215">
        <v>7700</v>
      </c>
      <c r="AW18" s="215">
        <v>8200</v>
      </c>
      <c r="AX18" s="215">
        <v>8500</v>
      </c>
      <c r="AY18" s="215">
        <v>8500</v>
      </c>
      <c r="AZ18" s="215">
        <v>7800</v>
      </c>
      <c r="BA18" s="215">
        <v>8325</v>
      </c>
      <c r="BB18" s="215">
        <v>8325</v>
      </c>
      <c r="BC18" s="215">
        <v>7950</v>
      </c>
      <c r="BD18" s="215">
        <v>8375</v>
      </c>
      <c r="BE18" s="215">
        <v>8375</v>
      </c>
      <c r="BF18" s="215">
        <v>8025</v>
      </c>
      <c r="BG18" s="215">
        <v>8700</v>
      </c>
      <c r="BH18" s="215">
        <v>8700</v>
      </c>
      <c r="BI18" s="215">
        <v>8400</v>
      </c>
      <c r="BJ18" s="215">
        <v>8700</v>
      </c>
      <c r="BK18" s="215">
        <v>8700</v>
      </c>
      <c r="BL18" s="215">
        <v>8400</v>
      </c>
      <c r="BM18" s="215">
        <v>8700</v>
      </c>
      <c r="BN18" s="215">
        <v>8700</v>
      </c>
      <c r="BO18" s="215">
        <v>8400</v>
      </c>
      <c r="BP18" s="215">
        <v>8700</v>
      </c>
      <c r="BQ18" s="215">
        <v>8700</v>
      </c>
      <c r="BR18" s="213"/>
      <c r="BS18" s="213"/>
      <c r="BT18" s="213"/>
      <c r="BU18" s="6">
        <f t="shared" si="0"/>
        <v>11091</v>
      </c>
      <c r="BV18" s="6">
        <f t="shared" si="1"/>
        <v>11391</v>
      </c>
      <c r="BW18" s="6">
        <f t="shared" si="2"/>
        <v>11391</v>
      </c>
      <c r="CH18" s="1"/>
      <c r="CI18" s="1"/>
      <c r="CJ18" s="1"/>
      <c r="CK18" s="1"/>
    </row>
    <row r="19" spans="1:89" ht="14.5" x14ac:dyDescent="0.35">
      <c r="A19" s="3" t="s">
        <v>66</v>
      </c>
      <c r="B19" s="3"/>
      <c r="C19" s="53" t="s">
        <v>67</v>
      </c>
      <c r="D19" s="215">
        <v>7200</v>
      </c>
      <c r="E19" s="215">
        <v>7500</v>
      </c>
      <c r="F19" s="215">
        <v>7500</v>
      </c>
      <c r="G19" s="215">
        <v>7200</v>
      </c>
      <c r="H19" s="215">
        <v>7500</v>
      </c>
      <c r="I19" s="215">
        <v>7500</v>
      </c>
      <c r="J19" s="215">
        <v>7200</v>
      </c>
      <c r="K19" s="215">
        <v>7500</v>
      </c>
      <c r="L19" s="215">
        <v>7500</v>
      </c>
      <c r="M19" s="215">
        <v>7200</v>
      </c>
      <c r="N19" s="215">
        <v>7500</v>
      </c>
      <c r="O19" s="215">
        <v>7500</v>
      </c>
      <c r="P19" s="215">
        <v>7200</v>
      </c>
      <c r="Q19" s="215">
        <v>7500</v>
      </c>
      <c r="R19" s="215">
        <v>7500</v>
      </c>
      <c r="S19" s="215">
        <v>7200</v>
      </c>
      <c r="T19" s="215">
        <v>7500</v>
      </c>
      <c r="U19" s="215">
        <v>7500</v>
      </c>
      <c r="V19" s="215">
        <v>7200</v>
      </c>
      <c r="W19" s="215">
        <v>7500</v>
      </c>
      <c r="X19" s="215">
        <v>7500</v>
      </c>
      <c r="Y19" s="215">
        <v>7200</v>
      </c>
      <c r="Z19" s="215">
        <v>7500</v>
      </c>
      <c r="AA19" s="215">
        <v>7500</v>
      </c>
      <c r="AB19" s="215">
        <v>7200</v>
      </c>
      <c r="AC19" s="215">
        <v>7500</v>
      </c>
      <c r="AD19" s="215">
        <v>7500</v>
      </c>
      <c r="AE19" s="215">
        <v>7200</v>
      </c>
      <c r="AF19" s="215">
        <v>7500</v>
      </c>
      <c r="AG19" s="215">
        <v>7500</v>
      </c>
      <c r="AH19" s="215">
        <v>7000</v>
      </c>
      <c r="AI19" s="215">
        <v>7300</v>
      </c>
      <c r="AJ19" s="215">
        <v>7300</v>
      </c>
      <c r="AK19" s="215">
        <v>7500</v>
      </c>
      <c r="AL19" s="215">
        <v>7900</v>
      </c>
      <c r="AM19" s="215">
        <v>7900</v>
      </c>
      <c r="AN19" s="213">
        <v>1300</v>
      </c>
      <c r="AO19" s="213">
        <v>1400</v>
      </c>
      <c r="AP19" s="213">
        <v>1400</v>
      </c>
      <c r="AQ19" s="215">
        <v>7675</v>
      </c>
      <c r="AR19" s="215">
        <v>8465</v>
      </c>
      <c r="AS19" s="215">
        <v>8465</v>
      </c>
      <c r="AT19" s="215">
        <v>7325</v>
      </c>
      <c r="AU19" s="215">
        <v>7700</v>
      </c>
      <c r="AV19" s="215">
        <v>7700</v>
      </c>
      <c r="AW19" s="215">
        <v>8200</v>
      </c>
      <c r="AX19" s="215">
        <v>8500</v>
      </c>
      <c r="AY19" s="215">
        <v>8500</v>
      </c>
      <c r="AZ19" s="215">
        <v>7800</v>
      </c>
      <c r="BA19" s="215">
        <v>8325</v>
      </c>
      <c r="BB19" s="215">
        <v>8325</v>
      </c>
      <c r="BC19" s="215">
        <v>7950</v>
      </c>
      <c r="BD19" s="215">
        <v>8375</v>
      </c>
      <c r="BE19" s="215">
        <v>8375</v>
      </c>
      <c r="BF19" s="215">
        <v>8025</v>
      </c>
      <c r="BG19" s="215">
        <v>8700</v>
      </c>
      <c r="BH19" s="215">
        <v>8700</v>
      </c>
      <c r="BI19" s="215">
        <v>8400</v>
      </c>
      <c r="BJ19" s="215">
        <v>8700</v>
      </c>
      <c r="BK19" s="215">
        <v>8700</v>
      </c>
      <c r="BL19" s="215">
        <v>8400</v>
      </c>
      <c r="BM19" s="215">
        <v>8700</v>
      </c>
      <c r="BN19" s="215">
        <v>8700</v>
      </c>
      <c r="BO19" s="215">
        <v>8400</v>
      </c>
      <c r="BP19" s="215">
        <v>8700</v>
      </c>
      <c r="BQ19" s="215">
        <v>8700</v>
      </c>
      <c r="BR19" s="213"/>
      <c r="BS19" s="213"/>
      <c r="BT19" s="213"/>
      <c r="BU19" s="6">
        <f t="shared" si="0"/>
        <v>11091</v>
      </c>
      <c r="BV19" s="6">
        <f t="shared" si="1"/>
        <v>11391</v>
      </c>
      <c r="BW19" s="6">
        <f t="shared" si="2"/>
        <v>11391</v>
      </c>
      <c r="CH19" s="1"/>
      <c r="CI19" s="1"/>
      <c r="CJ19" s="1"/>
      <c r="CK19" s="1"/>
    </row>
    <row r="20" spans="1:89" ht="14.5" x14ac:dyDescent="0.35">
      <c r="A20" s="3" t="s">
        <v>68</v>
      </c>
      <c r="B20" s="3"/>
      <c r="C20" s="53" t="s">
        <v>69</v>
      </c>
      <c r="D20" s="215">
        <v>7200</v>
      </c>
      <c r="E20" s="215">
        <v>7500</v>
      </c>
      <c r="F20" s="215">
        <v>7500</v>
      </c>
      <c r="G20" s="215">
        <v>7200</v>
      </c>
      <c r="H20" s="215">
        <v>7500</v>
      </c>
      <c r="I20" s="215">
        <v>7500</v>
      </c>
      <c r="J20" s="215">
        <v>7200</v>
      </c>
      <c r="K20" s="215">
        <v>7500</v>
      </c>
      <c r="L20" s="215">
        <v>7500</v>
      </c>
      <c r="M20" s="215">
        <v>7200</v>
      </c>
      <c r="N20" s="215">
        <v>7500</v>
      </c>
      <c r="O20" s="215">
        <v>7500</v>
      </c>
      <c r="P20" s="215">
        <v>7200</v>
      </c>
      <c r="Q20" s="215">
        <v>7500</v>
      </c>
      <c r="R20" s="215">
        <v>7500</v>
      </c>
      <c r="S20" s="215">
        <v>7200</v>
      </c>
      <c r="T20" s="215">
        <v>7500</v>
      </c>
      <c r="U20" s="215">
        <v>7500</v>
      </c>
      <c r="V20" s="215">
        <v>7200</v>
      </c>
      <c r="W20" s="215">
        <v>7500</v>
      </c>
      <c r="X20" s="215">
        <v>7500</v>
      </c>
      <c r="Y20" s="215">
        <v>7200</v>
      </c>
      <c r="Z20" s="215">
        <v>7500</v>
      </c>
      <c r="AA20" s="215">
        <v>7500</v>
      </c>
      <c r="AB20" s="215">
        <v>7200</v>
      </c>
      <c r="AC20" s="215">
        <v>7500</v>
      </c>
      <c r="AD20" s="215">
        <v>7500</v>
      </c>
      <c r="AE20" s="215">
        <v>7200</v>
      </c>
      <c r="AF20" s="215">
        <v>7500</v>
      </c>
      <c r="AG20" s="215">
        <v>7500</v>
      </c>
      <c r="AH20" s="215">
        <v>7000</v>
      </c>
      <c r="AI20" s="215">
        <v>7300</v>
      </c>
      <c r="AJ20" s="215">
        <v>7300</v>
      </c>
      <c r="AK20" s="215">
        <v>7500</v>
      </c>
      <c r="AL20" s="215">
        <v>7900</v>
      </c>
      <c r="AM20" s="215">
        <v>7900</v>
      </c>
      <c r="AN20" s="213">
        <v>1300</v>
      </c>
      <c r="AO20" s="213">
        <v>1400</v>
      </c>
      <c r="AP20" s="213">
        <v>1400</v>
      </c>
      <c r="AQ20" s="215">
        <v>7675</v>
      </c>
      <c r="AR20" s="215">
        <v>8465</v>
      </c>
      <c r="AS20" s="215">
        <v>8465</v>
      </c>
      <c r="AT20" s="215">
        <v>7325</v>
      </c>
      <c r="AU20" s="215">
        <v>7700</v>
      </c>
      <c r="AV20" s="215">
        <v>7700</v>
      </c>
      <c r="AW20" s="215">
        <v>8200</v>
      </c>
      <c r="AX20" s="215">
        <v>8500</v>
      </c>
      <c r="AY20" s="215">
        <v>8500</v>
      </c>
      <c r="AZ20" s="215">
        <v>7800</v>
      </c>
      <c r="BA20" s="215">
        <v>8325</v>
      </c>
      <c r="BB20" s="215">
        <v>8325</v>
      </c>
      <c r="BC20" s="215">
        <v>7950</v>
      </c>
      <c r="BD20" s="215">
        <v>8375</v>
      </c>
      <c r="BE20" s="215">
        <v>8375</v>
      </c>
      <c r="BF20" s="215">
        <v>8025</v>
      </c>
      <c r="BG20" s="215">
        <v>8700</v>
      </c>
      <c r="BH20" s="215">
        <v>8700</v>
      </c>
      <c r="BI20" s="215">
        <v>8400</v>
      </c>
      <c r="BJ20" s="215">
        <v>8700</v>
      </c>
      <c r="BK20" s="215">
        <v>8700</v>
      </c>
      <c r="BL20" s="215">
        <v>8400</v>
      </c>
      <c r="BM20" s="215">
        <v>8700</v>
      </c>
      <c r="BN20" s="215">
        <v>8700</v>
      </c>
      <c r="BO20" s="215">
        <v>8400</v>
      </c>
      <c r="BP20" s="215">
        <v>8700</v>
      </c>
      <c r="BQ20" s="215">
        <v>8700</v>
      </c>
      <c r="BR20" s="213"/>
      <c r="BS20" s="213"/>
      <c r="BT20" s="213"/>
      <c r="BU20" s="6">
        <f t="shared" si="0"/>
        <v>11091</v>
      </c>
      <c r="BV20" s="6">
        <f t="shared" si="1"/>
        <v>11391</v>
      </c>
      <c r="BW20" s="6">
        <f t="shared" si="2"/>
        <v>11391</v>
      </c>
      <c r="CH20" s="1"/>
      <c r="CI20" s="1"/>
      <c r="CJ20" s="1"/>
      <c r="CK20" s="1"/>
    </row>
    <row r="21" spans="1:89" ht="14.5" x14ac:dyDescent="0.35">
      <c r="A21" s="3" t="s">
        <v>465</v>
      </c>
      <c r="B21" s="3"/>
      <c r="C21" s="53" t="s">
        <v>466</v>
      </c>
      <c r="D21" s="215">
        <v>7200</v>
      </c>
      <c r="E21" s="215">
        <v>7500</v>
      </c>
      <c r="F21" s="215">
        <v>7500</v>
      </c>
      <c r="G21" s="215">
        <v>7200</v>
      </c>
      <c r="H21" s="215">
        <v>7500</v>
      </c>
      <c r="I21" s="215">
        <v>7500</v>
      </c>
      <c r="J21" s="215">
        <v>7200</v>
      </c>
      <c r="K21" s="215">
        <v>7500</v>
      </c>
      <c r="L21" s="215">
        <v>7500</v>
      </c>
      <c r="M21" s="215">
        <v>7200</v>
      </c>
      <c r="N21" s="215">
        <v>7500</v>
      </c>
      <c r="O21" s="215">
        <v>7500</v>
      </c>
      <c r="P21" s="215">
        <v>7200</v>
      </c>
      <c r="Q21" s="215">
        <v>7500</v>
      </c>
      <c r="R21" s="215">
        <v>7500</v>
      </c>
      <c r="S21" s="215">
        <v>7200</v>
      </c>
      <c r="T21" s="215">
        <v>7500</v>
      </c>
      <c r="U21" s="215">
        <v>7500</v>
      </c>
      <c r="V21" s="215">
        <v>7200</v>
      </c>
      <c r="W21" s="215">
        <v>7500</v>
      </c>
      <c r="X21" s="215">
        <v>7500</v>
      </c>
      <c r="Y21" s="215">
        <v>7200</v>
      </c>
      <c r="Z21" s="215">
        <v>7500</v>
      </c>
      <c r="AA21" s="215">
        <v>7500</v>
      </c>
      <c r="AB21" s="215">
        <v>7200</v>
      </c>
      <c r="AC21" s="215">
        <v>7500</v>
      </c>
      <c r="AD21" s="215">
        <v>7500</v>
      </c>
      <c r="AE21" s="215">
        <v>7200</v>
      </c>
      <c r="AF21" s="215">
        <v>7500</v>
      </c>
      <c r="AG21" s="215">
        <v>7500</v>
      </c>
      <c r="AH21" s="215">
        <v>7000</v>
      </c>
      <c r="AI21" s="215">
        <v>7300</v>
      </c>
      <c r="AJ21" s="215">
        <v>7300</v>
      </c>
      <c r="AK21" s="215">
        <v>7500</v>
      </c>
      <c r="AL21" s="215">
        <v>7900</v>
      </c>
      <c r="AM21" s="215">
        <v>7900</v>
      </c>
      <c r="AN21" s="213">
        <v>1300</v>
      </c>
      <c r="AO21" s="213">
        <v>1400</v>
      </c>
      <c r="AP21" s="213">
        <v>1400</v>
      </c>
      <c r="AQ21" s="215">
        <v>7675</v>
      </c>
      <c r="AR21" s="215">
        <v>8465</v>
      </c>
      <c r="AS21" s="215">
        <v>8465</v>
      </c>
      <c r="AT21" s="215">
        <v>7325</v>
      </c>
      <c r="AU21" s="215">
        <v>7700</v>
      </c>
      <c r="AV21" s="215">
        <v>7700</v>
      </c>
      <c r="AW21" s="215">
        <v>8200</v>
      </c>
      <c r="AX21" s="215">
        <v>8500</v>
      </c>
      <c r="AY21" s="215">
        <v>8500</v>
      </c>
      <c r="AZ21" s="215">
        <v>7800</v>
      </c>
      <c r="BA21" s="215">
        <v>8325</v>
      </c>
      <c r="BB21" s="215">
        <v>8325</v>
      </c>
      <c r="BC21" s="215">
        <v>7950</v>
      </c>
      <c r="BD21" s="215">
        <v>8375</v>
      </c>
      <c r="BE21" s="215">
        <v>8375</v>
      </c>
      <c r="BF21" s="215">
        <v>8025</v>
      </c>
      <c r="BG21" s="215">
        <v>8700</v>
      </c>
      <c r="BH21" s="215">
        <v>8700</v>
      </c>
      <c r="BI21" s="215">
        <v>8400</v>
      </c>
      <c r="BJ21" s="215">
        <v>8700</v>
      </c>
      <c r="BK21" s="215">
        <v>8700</v>
      </c>
      <c r="BL21" s="215">
        <v>8400</v>
      </c>
      <c r="BM21" s="215">
        <v>8700</v>
      </c>
      <c r="BN21" s="215">
        <v>8700</v>
      </c>
      <c r="BO21" s="215">
        <v>8400</v>
      </c>
      <c r="BP21" s="215">
        <v>8700</v>
      </c>
      <c r="BQ21" s="215">
        <v>8700</v>
      </c>
      <c r="BR21" s="213"/>
      <c r="BS21" s="213"/>
      <c r="BT21" s="213"/>
      <c r="BU21" s="6">
        <f t="shared" si="0"/>
        <v>11091</v>
      </c>
      <c r="BV21" s="6">
        <f t="shared" si="1"/>
        <v>11391</v>
      </c>
      <c r="BW21" s="6">
        <f t="shared" si="2"/>
        <v>11391</v>
      </c>
      <c r="CH21" s="1"/>
      <c r="CI21" s="1"/>
      <c r="CJ21" s="1"/>
      <c r="CK21" s="1"/>
    </row>
    <row r="22" spans="1:89" ht="14.5" x14ac:dyDescent="0.35">
      <c r="A22" s="3" t="s">
        <v>70</v>
      </c>
      <c r="B22" s="3"/>
      <c r="C22" s="53" t="s">
        <v>71</v>
      </c>
      <c r="D22" s="215">
        <v>7200</v>
      </c>
      <c r="E22" s="215">
        <v>7500</v>
      </c>
      <c r="F22" s="215">
        <v>7500</v>
      </c>
      <c r="G22" s="215">
        <v>7200</v>
      </c>
      <c r="H22" s="215">
        <v>7500</v>
      </c>
      <c r="I22" s="215">
        <v>7500</v>
      </c>
      <c r="J22" s="215">
        <v>7200</v>
      </c>
      <c r="K22" s="215">
        <v>7500</v>
      </c>
      <c r="L22" s="215">
        <v>7500</v>
      </c>
      <c r="M22" s="215">
        <v>7200</v>
      </c>
      <c r="N22" s="215">
        <v>7500</v>
      </c>
      <c r="O22" s="215">
        <v>7500</v>
      </c>
      <c r="P22" s="215">
        <v>7200</v>
      </c>
      <c r="Q22" s="215">
        <v>7500</v>
      </c>
      <c r="R22" s="215">
        <v>7500</v>
      </c>
      <c r="S22" s="215">
        <v>7200</v>
      </c>
      <c r="T22" s="215">
        <v>7500</v>
      </c>
      <c r="U22" s="215">
        <v>7500</v>
      </c>
      <c r="V22" s="215">
        <v>7200</v>
      </c>
      <c r="W22" s="215">
        <v>7500</v>
      </c>
      <c r="X22" s="215">
        <v>7500</v>
      </c>
      <c r="Y22" s="215">
        <v>7200</v>
      </c>
      <c r="Z22" s="215">
        <v>7500</v>
      </c>
      <c r="AA22" s="215">
        <v>7500</v>
      </c>
      <c r="AB22" s="215">
        <v>7200</v>
      </c>
      <c r="AC22" s="215">
        <v>7500</v>
      </c>
      <c r="AD22" s="215">
        <v>7500</v>
      </c>
      <c r="AE22" s="215">
        <v>7200</v>
      </c>
      <c r="AF22" s="215">
        <v>7500</v>
      </c>
      <c r="AG22" s="215">
        <v>7500</v>
      </c>
      <c r="AH22" s="215">
        <v>7000</v>
      </c>
      <c r="AI22" s="215">
        <v>7300</v>
      </c>
      <c r="AJ22" s="215">
        <v>7300</v>
      </c>
      <c r="AK22" s="215">
        <v>7500</v>
      </c>
      <c r="AL22" s="215">
        <v>7900</v>
      </c>
      <c r="AM22" s="215">
        <v>7900</v>
      </c>
      <c r="AN22" s="213">
        <v>1300</v>
      </c>
      <c r="AO22" s="213">
        <v>1400</v>
      </c>
      <c r="AP22" s="213">
        <v>1400</v>
      </c>
      <c r="AQ22" s="215">
        <v>7840</v>
      </c>
      <c r="AR22" s="215">
        <v>8465</v>
      </c>
      <c r="AS22" s="215">
        <v>8465</v>
      </c>
      <c r="AT22" s="215">
        <v>7325</v>
      </c>
      <c r="AU22" s="215">
        <v>7700</v>
      </c>
      <c r="AV22" s="215">
        <v>7700</v>
      </c>
      <c r="AW22" s="215">
        <v>8200</v>
      </c>
      <c r="AX22" s="215">
        <v>8500</v>
      </c>
      <c r="AY22" s="215">
        <v>8500</v>
      </c>
      <c r="AZ22" s="215">
        <v>7800</v>
      </c>
      <c r="BA22" s="215">
        <v>8325</v>
      </c>
      <c r="BB22" s="215">
        <v>8325</v>
      </c>
      <c r="BC22" s="215">
        <v>7950</v>
      </c>
      <c r="BD22" s="215">
        <v>8375</v>
      </c>
      <c r="BE22" s="215">
        <v>8375</v>
      </c>
      <c r="BF22" s="215">
        <v>8025</v>
      </c>
      <c r="BG22" s="215">
        <v>8700</v>
      </c>
      <c r="BH22" s="215">
        <v>8700</v>
      </c>
      <c r="BI22" s="215">
        <v>8400</v>
      </c>
      <c r="BJ22" s="215">
        <v>8700</v>
      </c>
      <c r="BK22" s="215">
        <v>8700</v>
      </c>
      <c r="BL22" s="215">
        <v>8400</v>
      </c>
      <c r="BM22" s="215">
        <v>8700</v>
      </c>
      <c r="BN22" s="215">
        <v>8700</v>
      </c>
      <c r="BO22" s="215">
        <v>8400</v>
      </c>
      <c r="BP22" s="215">
        <v>8700</v>
      </c>
      <c r="BQ22" s="215">
        <v>8700</v>
      </c>
      <c r="BR22" s="213"/>
      <c r="BS22" s="213"/>
      <c r="BT22" s="213"/>
      <c r="BU22" s="6">
        <f t="shared" si="0"/>
        <v>11091</v>
      </c>
      <c r="BV22" s="6">
        <f t="shared" si="1"/>
        <v>11391</v>
      </c>
      <c r="BW22" s="6">
        <f t="shared" si="2"/>
        <v>11391</v>
      </c>
      <c r="CH22" s="1"/>
      <c r="CI22" s="1"/>
    </row>
    <row r="23" spans="1:89" ht="14.5" x14ac:dyDescent="0.35">
      <c r="A23" s="3" t="s">
        <v>72</v>
      </c>
      <c r="B23" s="3"/>
      <c r="C23" s="53" t="s">
        <v>73</v>
      </c>
      <c r="D23" s="215">
        <v>7270</v>
      </c>
      <c r="E23" s="215">
        <v>7600</v>
      </c>
      <c r="F23" s="215">
        <v>7600</v>
      </c>
      <c r="G23" s="215">
        <v>7270</v>
      </c>
      <c r="H23" s="215">
        <v>7600</v>
      </c>
      <c r="I23" s="215">
        <v>7600</v>
      </c>
      <c r="J23" s="215">
        <v>7270</v>
      </c>
      <c r="K23" s="215">
        <v>7600</v>
      </c>
      <c r="L23" s="215">
        <v>7600</v>
      </c>
      <c r="M23" s="215">
        <v>7270</v>
      </c>
      <c r="N23" s="215">
        <v>7600</v>
      </c>
      <c r="O23" s="215">
        <v>7600</v>
      </c>
      <c r="P23" s="215">
        <v>7270</v>
      </c>
      <c r="Q23" s="215">
        <v>7600</v>
      </c>
      <c r="R23" s="215">
        <v>7600</v>
      </c>
      <c r="S23" s="215">
        <v>7270</v>
      </c>
      <c r="T23" s="215">
        <v>7600</v>
      </c>
      <c r="U23" s="215">
        <v>7600</v>
      </c>
      <c r="V23" s="215">
        <v>7270</v>
      </c>
      <c r="W23" s="215">
        <v>7600</v>
      </c>
      <c r="X23" s="215">
        <v>7600</v>
      </c>
      <c r="Y23" s="215">
        <v>7270</v>
      </c>
      <c r="Z23" s="215">
        <v>7600</v>
      </c>
      <c r="AA23" s="215">
        <v>7600</v>
      </c>
      <c r="AB23" s="215">
        <v>7270</v>
      </c>
      <c r="AC23" s="215">
        <v>7600</v>
      </c>
      <c r="AD23" s="215">
        <v>7600</v>
      </c>
      <c r="AE23" s="215">
        <v>7270</v>
      </c>
      <c r="AF23" s="215">
        <v>7600</v>
      </c>
      <c r="AG23" s="215">
        <v>7600</v>
      </c>
      <c r="AH23" s="215">
        <v>7070</v>
      </c>
      <c r="AI23" s="215">
        <v>7400</v>
      </c>
      <c r="AJ23" s="215">
        <v>7400</v>
      </c>
      <c r="AK23" s="215">
        <v>7570</v>
      </c>
      <c r="AL23" s="215">
        <v>8000</v>
      </c>
      <c r="AM23" s="215">
        <v>8000</v>
      </c>
      <c r="AN23" s="213">
        <v>1300</v>
      </c>
      <c r="AO23" s="213">
        <v>1400</v>
      </c>
      <c r="AP23" s="213">
        <v>1400</v>
      </c>
      <c r="AQ23" s="215">
        <v>7910</v>
      </c>
      <c r="AR23" s="215">
        <v>8565</v>
      </c>
      <c r="AS23" s="215">
        <v>8565</v>
      </c>
      <c r="AT23" s="215">
        <v>7395</v>
      </c>
      <c r="AU23" s="215">
        <v>7800</v>
      </c>
      <c r="AV23" s="215">
        <v>7800</v>
      </c>
      <c r="AW23" s="215">
        <v>8270</v>
      </c>
      <c r="AX23" s="215">
        <v>8600</v>
      </c>
      <c r="AY23" s="215">
        <v>8600</v>
      </c>
      <c r="AZ23" s="215">
        <v>7870</v>
      </c>
      <c r="BA23" s="215">
        <v>8425</v>
      </c>
      <c r="BB23" s="215">
        <v>8425</v>
      </c>
      <c r="BC23" s="215">
        <v>8020</v>
      </c>
      <c r="BD23" s="215">
        <v>8475</v>
      </c>
      <c r="BE23" s="215">
        <v>8475</v>
      </c>
      <c r="BF23" s="215">
        <v>8095</v>
      </c>
      <c r="BG23" s="215">
        <v>8800</v>
      </c>
      <c r="BH23" s="215">
        <v>8800</v>
      </c>
      <c r="BI23" s="215">
        <v>8470</v>
      </c>
      <c r="BJ23" s="215">
        <v>8800</v>
      </c>
      <c r="BK23" s="215">
        <v>8800</v>
      </c>
      <c r="BL23" s="215">
        <v>8470</v>
      </c>
      <c r="BM23" s="215">
        <v>8800</v>
      </c>
      <c r="BN23" s="215">
        <v>8800</v>
      </c>
      <c r="BO23" s="215">
        <v>8470</v>
      </c>
      <c r="BP23" s="215">
        <v>8800</v>
      </c>
      <c r="BQ23" s="215">
        <v>8800</v>
      </c>
      <c r="BR23" s="213"/>
      <c r="BS23" s="213"/>
      <c r="BT23" s="213"/>
      <c r="BU23" s="6">
        <f t="shared" si="0"/>
        <v>11161</v>
      </c>
      <c r="BV23" s="6">
        <f t="shared" si="1"/>
        <v>11491</v>
      </c>
      <c r="BW23" s="6">
        <f t="shared" si="2"/>
        <v>11491</v>
      </c>
      <c r="CH23" s="1"/>
      <c r="CI23" s="1"/>
    </row>
    <row r="24" spans="1:89" ht="14.5" x14ac:dyDescent="0.35">
      <c r="A24" s="3" t="s">
        <v>74</v>
      </c>
      <c r="B24" s="3"/>
      <c r="C24" s="53" t="s">
        <v>75</v>
      </c>
      <c r="D24" s="215">
        <v>7200</v>
      </c>
      <c r="E24" s="215">
        <v>7500</v>
      </c>
      <c r="F24" s="215">
        <v>7500</v>
      </c>
      <c r="G24" s="215">
        <v>7200</v>
      </c>
      <c r="H24" s="215">
        <v>7500</v>
      </c>
      <c r="I24" s="215">
        <v>7500</v>
      </c>
      <c r="J24" s="215">
        <v>7200</v>
      </c>
      <c r="K24" s="215">
        <v>7500</v>
      </c>
      <c r="L24" s="215">
        <v>7500</v>
      </c>
      <c r="M24" s="215">
        <v>7200</v>
      </c>
      <c r="N24" s="215">
        <v>7500</v>
      </c>
      <c r="O24" s="215">
        <v>7500</v>
      </c>
      <c r="P24" s="215">
        <v>7200</v>
      </c>
      <c r="Q24" s="215">
        <v>7500</v>
      </c>
      <c r="R24" s="215">
        <v>7500</v>
      </c>
      <c r="S24" s="215">
        <v>7200</v>
      </c>
      <c r="T24" s="215">
        <v>7500</v>
      </c>
      <c r="U24" s="215">
        <v>7500</v>
      </c>
      <c r="V24" s="215">
        <v>7200</v>
      </c>
      <c r="W24" s="215">
        <v>7500</v>
      </c>
      <c r="X24" s="215">
        <v>7500</v>
      </c>
      <c r="Y24" s="215">
        <v>7200</v>
      </c>
      <c r="Z24" s="215">
        <v>7500</v>
      </c>
      <c r="AA24" s="215">
        <v>7500</v>
      </c>
      <c r="AB24" s="215">
        <v>7200</v>
      </c>
      <c r="AC24" s="215">
        <v>7500</v>
      </c>
      <c r="AD24" s="215">
        <v>7500</v>
      </c>
      <c r="AE24" s="215">
        <v>7200</v>
      </c>
      <c r="AF24" s="215">
        <v>7500</v>
      </c>
      <c r="AG24" s="215">
        <v>7500</v>
      </c>
      <c r="AH24" s="215">
        <v>7000</v>
      </c>
      <c r="AI24" s="215">
        <v>7300</v>
      </c>
      <c r="AJ24" s="215">
        <v>7300</v>
      </c>
      <c r="AK24" s="215">
        <v>7500</v>
      </c>
      <c r="AL24" s="215">
        <v>7900</v>
      </c>
      <c r="AM24" s="215">
        <v>7900</v>
      </c>
      <c r="AN24" s="213">
        <v>1300</v>
      </c>
      <c r="AO24" s="213">
        <v>1400</v>
      </c>
      <c r="AP24" s="213">
        <v>1400</v>
      </c>
      <c r="AQ24" s="215">
        <v>7840</v>
      </c>
      <c r="AR24" s="215">
        <v>8465</v>
      </c>
      <c r="AS24" s="215">
        <v>8465</v>
      </c>
      <c r="AT24" s="215">
        <v>7325</v>
      </c>
      <c r="AU24" s="215">
        <v>7700</v>
      </c>
      <c r="AV24" s="215">
        <v>7700</v>
      </c>
      <c r="AW24" s="215">
        <v>8200</v>
      </c>
      <c r="AX24" s="215">
        <v>8500</v>
      </c>
      <c r="AY24" s="215">
        <v>8500</v>
      </c>
      <c r="AZ24" s="215">
        <v>7800</v>
      </c>
      <c r="BA24" s="215">
        <v>8325</v>
      </c>
      <c r="BB24" s="215">
        <v>8325</v>
      </c>
      <c r="BC24" s="215">
        <v>7950</v>
      </c>
      <c r="BD24" s="215">
        <v>8375</v>
      </c>
      <c r="BE24" s="215">
        <v>8375</v>
      </c>
      <c r="BF24" s="215">
        <v>8025</v>
      </c>
      <c r="BG24" s="215">
        <v>8700</v>
      </c>
      <c r="BH24" s="215">
        <v>8700</v>
      </c>
      <c r="BI24" s="215">
        <v>8400</v>
      </c>
      <c r="BJ24" s="215">
        <v>8700</v>
      </c>
      <c r="BK24" s="215">
        <v>8700</v>
      </c>
      <c r="BL24" s="215">
        <v>8400</v>
      </c>
      <c r="BM24" s="215">
        <v>8700</v>
      </c>
      <c r="BN24" s="215">
        <v>8700</v>
      </c>
      <c r="BO24" s="215">
        <v>8400</v>
      </c>
      <c r="BP24" s="215">
        <v>8700</v>
      </c>
      <c r="BQ24" s="215">
        <v>8700</v>
      </c>
      <c r="BR24" s="213"/>
      <c r="BS24" s="213"/>
      <c r="BT24" s="213"/>
      <c r="BU24" s="6">
        <f t="shared" si="0"/>
        <v>11091</v>
      </c>
      <c r="BV24" s="6">
        <f t="shared" si="1"/>
        <v>11391</v>
      </c>
      <c r="BW24" s="6">
        <f t="shared" si="2"/>
        <v>11391</v>
      </c>
      <c r="CH24" s="1"/>
      <c r="CI24" s="1"/>
    </row>
    <row r="25" spans="1:89" ht="14.5" x14ac:dyDescent="0.35">
      <c r="A25" s="3" t="s">
        <v>76</v>
      </c>
      <c r="B25" s="3"/>
      <c r="C25" s="53" t="s">
        <v>77</v>
      </c>
      <c r="D25" s="215">
        <v>7250</v>
      </c>
      <c r="E25" s="215">
        <v>7600</v>
      </c>
      <c r="F25" s="215">
        <v>7600</v>
      </c>
      <c r="G25" s="215">
        <v>7250</v>
      </c>
      <c r="H25" s="215">
        <v>7600</v>
      </c>
      <c r="I25" s="215">
        <v>7600</v>
      </c>
      <c r="J25" s="215">
        <v>7250</v>
      </c>
      <c r="K25" s="215">
        <v>7600</v>
      </c>
      <c r="L25" s="215">
        <v>7600</v>
      </c>
      <c r="M25" s="215">
        <v>7250</v>
      </c>
      <c r="N25" s="215">
        <v>7600</v>
      </c>
      <c r="O25" s="215">
        <v>7600</v>
      </c>
      <c r="P25" s="215">
        <v>7250</v>
      </c>
      <c r="Q25" s="215">
        <v>7600</v>
      </c>
      <c r="R25" s="215">
        <v>7600</v>
      </c>
      <c r="S25" s="215">
        <v>7250</v>
      </c>
      <c r="T25" s="215">
        <v>7600</v>
      </c>
      <c r="U25" s="215">
        <v>7600</v>
      </c>
      <c r="V25" s="215">
        <v>7250</v>
      </c>
      <c r="W25" s="215">
        <v>7600</v>
      </c>
      <c r="X25" s="215">
        <v>7600</v>
      </c>
      <c r="Y25" s="215">
        <v>7250</v>
      </c>
      <c r="Z25" s="215">
        <v>7600</v>
      </c>
      <c r="AA25" s="215">
        <v>7600</v>
      </c>
      <c r="AB25" s="215">
        <v>7250</v>
      </c>
      <c r="AC25" s="215">
        <v>7600</v>
      </c>
      <c r="AD25" s="215">
        <v>7600</v>
      </c>
      <c r="AE25" s="215">
        <v>7250</v>
      </c>
      <c r="AF25" s="215">
        <v>7600</v>
      </c>
      <c r="AG25" s="215">
        <v>7600</v>
      </c>
      <c r="AH25" s="215">
        <v>7050</v>
      </c>
      <c r="AI25" s="215">
        <v>7400</v>
      </c>
      <c r="AJ25" s="215">
        <v>7400</v>
      </c>
      <c r="AK25" s="215">
        <v>7550</v>
      </c>
      <c r="AL25" s="215">
        <v>8000</v>
      </c>
      <c r="AM25" s="215">
        <v>8000</v>
      </c>
      <c r="AN25" s="213">
        <v>1300</v>
      </c>
      <c r="AO25" s="213">
        <v>1400</v>
      </c>
      <c r="AP25" s="213">
        <v>1400</v>
      </c>
      <c r="AQ25" s="215">
        <v>7890</v>
      </c>
      <c r="AR25" s="215">
        <v>8565</v>
      </c>
      <c r="AS25" s="215">
        <v>8565</v>
      </c>
      <c r="AT25" s="215">
        <v>7375</v>
      </c>
      <c r="AU25" s="215">
        <v>7800</v>
      </c>
      <c r="AV25" s="215">
        <v>7800</v>
      </c>
      <c r="AW25" s="215">
        <v>8250</v>
      </c>
      <c r="AX25" s="215">
        <v>8600</v>
      </c>
      <c r="AY25" s="215">
        <v>8600</v>
      </c>
      <c r="AZ25" s="215">
        <v>7850</v>
      </c>
      <c r="BA25" s="215">
        <v>8425</v>
      </c>
      <c r="BB25" s="215">
        <v>8425</v>
      </c>
      <c r="BC25" s="215">
        <v>8000</v>
      </c>
      <c r="BD25" s="215">
        <v>8475</v>
      </c>
      <c r="BE25" s="215">
        <v>8475</v>
      </c>
      <c r="BF25" s="215">
        <v>8075</v>
      </c>
      <c r="BG25" s="215">
        <v>8800</v>
      </c>
      <c r="BH25" s="215">
        <v>8800</v>
      </c>
      <c r="BI25" s="215">
        <v>8450</v>
      </c>
      <c r="BJ25" s="215">
        <v>8800</v>
      </c>
      <c r="BK25" s="215">
        <v>8800</v>
      </c>
      <c r="BL25" s="215">
        <v>8450</v>
      </c>
      <c r="BM25" s="215">
        <v>8800</v>
      </c>
      <c r="BN25" s="215">
        <v>8800</v>
      </c>
      <c r="BO25" s="215">
        <v>8450</v>
      </c>
      <c r="BP25" s="215">
        <v>8800</v>
      </c>
      <c r="BQ25" s="215">
        <v>8800</v>
      </c>
      <c r="BR25" s="213"/>
      <c r="BS25" s="213"/>
      <c r="BT25" s="213"/>
      <c r="BU25" s="6">
        <f t="shared" si="0"/>
        <v>11141</v>
      </c>
      <c r="BV25" s="6">
        <f t="shared" si="1"/>
        <v>11491</v>
      </c>
      <c r="BW25" s="6">
        <f t="shared" si="2"/>
        <v>11491</v>
      </c>
      <c r="CH25" s="1"/>
      <c r="CI25" s="1"/>
    </row>
    <row r="26" spans="1:89" ht="14.5" x14ac:dyDescent="0.35">
      <c r="A26" s="3" t="s">
        <v>78</v>
      </c>
      <c r="B26" s="3"/>
      <c r="C26" s="53" t="s">
        <v>79</v>
      </c>
      <c r="D26" s="215">
        <v>7475</v>
      </c>
      <c r="E26" s="215">
        <v>8100</v>
      </c>
      <c r="F26" s="215">
        <v>8100</v>
      </c>
      <c r="G26" s="215">
        <v>7525</v>
      </c>
      <c r="H26" s="215">
        <v>8100</v>
      </c>
      <c r="I26" s="215">
        <v>8100</v>
      </c>
      <c r="J26" s="215">
        <v>7475</v>
      </c>
      <c r="K26" s="215">
        <v>8100</v>
      </c>
      <c r="L26" s="215">
        <v>8100</v>
      </c>
      <c r="M26" s="215">
        <v>7475</v>
      </c>
      <c r="N26" s="215">
        <v>8100</v>
      </c>
      <c r="O26" s="215">
        <v>8100</v>
      </c>
      <c r="P26" s="215">
        <v>7475</v>
      </c>
      <c r="Q26" s="215">
        <v>8100</v>
      </c>
      <c r="R26" s="215">
        <v>8100</v>
      </c>
      <c r="S26" s="215">
        <v>7475</v>
      </c>
      <c r="T26" s="215">
        <v>8100</v>
      </c>
      <c r="U26" s="215">
        <v>8100</v>
      </c>
      <c r="V26" s="215">
        <v>7475</v>
      </c>
      <c r="W26" s="215">
        <v>8100</v>
      </c>
      <c r="X26" s="215">
        <v>8100</v>
      </c>
      <c r="Y26" s="215">
        <v>7475</v>
      </c>
      <c r="Z26" s="215">
        <v>8100</v>
      </c>
      <c r="AA26" s="215">
        <v>8100</v>
      </c>
      <c r="AB26" s="215">
        <v>7475</v>
      </c>
      <c r="AC26" s="215">
        <v>8100</v>
      </c>
      <c r="AD26" s="215">
        <v>8100</v>
      </c>
      <c r="AE26" s="215">
        <v>7475</v>
      </c>
      <c r="AF26" s="215">
        <v>8100</v>
      </c>
      <c r="AG26" s="215">
        <v>8100</v>
      </c>
      <c r="AH26" s="215">
        <v>7325</v>
      </c>
      <c r="AI26" s="215">
        <v>7900</v>
      </c>
      <c r="AJ26" s="215">
        <v>7900</v>
      </c>
      <c r="AK26" s="215">
        <v>7825</v>
      </c>
      <c r="AL26" s="215">
        <v>8500</v>
      </c>
      <c r="AM26" s="215">
        <v>8500</v>
      </c>
      <c r="AN26" s="213">
        <v>1300</v>
      </c>
      <c r="AO26" s="213">
        <v>1400</v>
      </c>
      <c r="AP26" s="213">
        <v>1400</v>
      </c>
      <c r="AQ26" s="215">
        <v>8165</v>
      </c>
      <c r="AR26" s="215">
        <v>9065</v>
      </c>
      <c r="AS26" s="215">
        <v>9065</v>
      </c>
      <c r="AT26" s="215">
        <v>7650</v>
      </c>
      <c r="AU26" s="215">
        <v>8300</v>
      </c>
      <c r="AV26" s="215">
        <v>8300</v>
      </c>
      <c r="AW26" s="215">
        <v>8525</v>
      </c>
      <c r="AX26" s="215">
        <v>9100</v>
      </c>
      <c r="AY26" s="215">
        <v>9100</v>
      </c>
      <c r="AZ26" s="215">
        <v>8125</v>
      </c>
      <c r="BA26" s="215">
        <v>8925</v>
      </c>
      <c r="BB26" s="215">
        <v>8925</v>
      </c>
      <c r="BC26" s="215">
        <v>8275</v>
      </c>
      <c r="BD26" s="215">
        <v>8975</v>
      </c>
      <c r="BE26" s="215">
        <v>8975</v>
      </c>
      <c r="BF26" s="215">
        <v>8350</v>
      </c>
      <c r="BG26" s="215">
        <v>9300</v>
      </c>
      <c r="BH26" s="215">
        <v>9300</v>
      </c>
      <c r="BI26" s="215">
        <v>8725</v>
      </c>
      <c r="BJ26" s="215">
        <v>9300</v>
      </c>
      <c r="BK26" s="215">
        <v>9300</v>
      </c>
      <c r="BL26" s="215">
        <v>8725</v>
      </c>
      <c r="BM26" s="215">
        <v>9300</v>
      </c>
      <c r="BN26" s="215">
        <v>9300</v>
      </c>
      <c r="BO26" s="215">
        <v>8725</v>
      </c>
      <c r="BP26" s="215">
        <v>9300</v>
      </c>
      <c r="BQ26" s="215">
        <v>9300</v>
      </c>
      <c r="BR26" s="213"/>
      <c r="BS26" s="213"/>
      <c r="BT26" s="213"/>
      <c r="BU26" s="6">
        <f t="shared" si="0"/>
        <v>11416</v>
      </c>
      <c r="BV26" s="6">
        <f t="shared" si="1"/>
        <v>11991</v>
      </c>
      <c r="BW26" s="6">
        <f t="shared" si="2"/>
        <v>11991</v>
      </c>
      <c r="CH26" s="1"/>
      <c r="CI26" s="1"/>
    </row>
    <row r="27" spans="1:89" ht="14.5" x14ac:dyDescent="0.35">
      <c r="A27" s="3" t="s">
        <v>80</v>
      </c>
      <c r="B27" s="3" t="s">
        <v>414</v>
      </c>
      <c r="C27" s="53" t="s">
        <v>81</v>
      </c>
      <c r="D27" s="215">
        <v>7425</v>
      </c>
      <c r="E27" s="215">
        <v>7875</v>
      </c>
      <c r="F27" s="215">
        <v>7875</v>
      </c>
      <c r="G27" s="215">
        <v>7400</v>
      </c>
      <c r="H27" s="215">
        <v>7800</v>
      </c>
      <c r="I27" s="215">
        <v>7800</v>
      </c>
      <c r="J27" s="215">
        <v>7425</v>
      </c>
      <c r="K27" s="215">
        <v>7875</v>
      </c>
      <c r="L27" s="215">
        <v>7875</v>
      </c>
      <c r="M27" s="215">
        <v>7425</v>
      </c>
      <c r="N27" s="215">
        <v>7875</v>
      </c>
      <c r="O27" s="215">
        <v>7875</v>
      </c>
      <c r="P27" s="215">
        <v>7425</v>
      </c>
      <c r="Q27" s="215">
        <v>7875</v>
      </c>
      <c r="R27" s="215">
        <v>7875</v>
      </c>
      <c r="S27" s="215">
        <v>7425</v>
      </c>
      <c r="T27" s="215">
        <v>7875</v>
      </c>
      <c r="U27" s="215">
        <v>7875</v>
      </c>
      <c r="V27" s="215">
        <v>7425</v>
      </c>
      <c r="W27" s="215">
        <v>7875</v>
      </c>
      <c r="X27" s="215">
        <v>7875</v>
      </c>
      <c r="Y27" s="215">
        <v>7425</v>
      </c>
      <c r="Z27" s="215">
        <v>7875</v>
      </c>
      <c r="AA27" s="215">
        <v>7875</v>
      </c>
      <c r="AB27" s="215">
        <v>7425</v>
      </c>
      <c r="AC27" s="215">
        <v>7875</v>
      </c>
      <c r="AD27" s="215">
        <v>7875</v>
      </c>
      <c r="AE27" s="215">
        <v>7425</v>
      </c>
      <c r="AF27" s="215">
        <v>7875</v>
      </c>
      <c r="AG27" s="215">
        <v>7875</v>
      </c>
      <c r="AH27" s="215">
        <v>7200</v>
      </c>
      <c r="AI27" s="215">
        <v>7600</v>
      </c>
      <c r="AJ27" s="215">
        <v>7600</v>
      </c>
      <c r="AK27" s="215">
        <v>7700</v>
      </c>
      <c r="AL27" s="215">
        <v>8200</v>
      </c>
      <c r="AM27" s="215">
        <v>8200</v>
      </c>
      <c r="AN27" s="213">
        <v>1300</v>
      </c>
      <c r="AO27" s="213">
        <v>1400</v>
      </c>
      <c r="AP27" s="213">
        <v>1400</v>
      </c>
      <c r="AQ27" s="215">
        <v>8040</v>
      </c>
      <c r="AR27" s="215">
        <v>8765</v>
      </c>
      <c r="AS27" s="215">
        <v>8765</v>
      </c>
      <c r="AT27" s="215">
        <v>7525</v>
      </c>
      <c r="AU27" s="215">
        <v>8000</v>
      </c>
      <c r="AV27" s="215">
        <v>8000</v>
      </c>
      <c r="AW27" s="215">
        <v>8400</v>
      </c>
      <c r="AX27" s="215">
        <v>8800</v>
      </c>
      <c r="AY27" s="215">
        <v>8800</v>
      </c>
      <c r="AZ27" s="215">
        <v>8000</v>
      </c>
      <c r="BA27" s="215">
        <v>8625</v>
      </c>
      <c r="BB27" s="215">
        <v>8625</v>
      </c>
      <c r="BC27" s="215">
        <v>8150</v>
      </c>
      <c r="BD27" s="215">
        <v>8675</v>
      </c>
      <c r="BE27" s="215">
        <v>8675</v>
      </c>
      <c r="BF27" s="215">
        <v>8225</v>
      </c>
      <c r="BG27" s="215">
        <v>9000</v>
      </c>
      <c r="BH27" s="215">
        <v>9000</v>
      </c>
      <c r="BI27" s="215">
        <v>8600</v>
      </c>
      <c r="BJ27" s="215">
        <v>9000</v>
      </c>
      <c r="BK27" s="215">
        <v>9000</v>
      </c>
      <c r="BL27" s="215">
        <v>8600</v>
      </c>
      <c r="BM27" s="215">
        <v>9000</v>
      </c>
      <c r="BN27" s="215">
        <v>9000</v>
      </c>
      <c r="BO27" s="215">
        <v>8600</v>
      </c>
      <c r="BP27" s="215">
        <v>9000</v>
      </c>
      <c r="BQ27" s="215">
        <v>9000</v>
      </c>
      <c r="BR27" s="213"/>
      <c r="BS27" s="213"/>
      <c r="BT27" s="213"/>
      <c r="BU27" s="6">
        <f t="shared" si="0"/>
        <v>11291</v>
      </c>
      <c r="BV27" s="6">
        <f t="shared" si="1"/>
        <v>11691</v>
      </c>
      <c r="BW27" s="6">
        <f t="shared" si="2"/>
        <v>11691</v>
      </c>
      <c r="CH27" s="1"/>
      <c r="CI27" s="1"/>
    </row>
    <row r="28" spans="1:89" ht="14.5" x14ac:dyDescent="0.35">
      <c r="A28" s="283" t="s">
        <v>509</v>
      </c>
      <c r="B28" s="283" t="s">
        <v>511</v>
      </c>
      <c r="C28" s="284" t="s">
        <v>510</v>
      </c>
      <c r="D28" s="282">
        <v>7800</v>
      </c>
      <c r="E28" s="282">
        <v>8250</v>
      </c>
      <c r="F28" s="282">
        <v>8250</v>
      </c>
      <c r="G28" s="282">
        <v>7800</v>
      </c>
      <c r="H28" s="282">
        <v>8250</v>
      </c>
      <c r="I28" s="282">
        <v>8250</v>
      </c>
      <c r="J28" s="282">
        <v>7800</v>
      </c>
      <c r="K28" s="282">
        <v>8250</v>
      </c>
      <c r="L28" s="282">
        <v>8250</v>
      </c>
      <c r="M28" s="282">
        <v>7800</v>
      </c>
      <c r="N28" s="282">
        <v>8250</v>
      </c>
      <c r="O28" s="282">
        <v>8250</v>
      </c>
      <c r="P28" s="282">
        <v>7800</v>
      </c>
      <c r="Q28" s="282">
        <v>8250</v>
      </c>
      <c r="R28" s="282">
        <v>8250</v>
      </c>
      <c r="S28" s="282">
        <v>7800</v>
      </c>
      <c r="T28" s="282">
        <v>8250</v>
      </c>
      <c r="U28" s="282">
        <v>8250</v>
      </c>
      <c r="V28" s="282">
        <v>7800</v>
      </c>
      <c r="W28" s="282">
        <v>8250</v>
      </c>
      <c r="X28" s="282">
        <v>8250</v>
      </c>
      <c r="Y28" s="282">
        <v>7800</v>
      </c>
      <c r="Z28" s="282">
        <v>8250</v>
      </c>
      <c r="AA28" s="282">
        <v>8250</v>
      </c>
      <c r="AB28" s="282">
        <v>7800</v>
      </c>
      <c r="AC28" s="282">
        <v>8250</v>
      </c>
      <c r="AD28" s="282">
        <v>8250</v>
      </c>
      <c r="AE28" s="282">
        <v>7800</v>
      </c>
      <c r="AF28" s="282">
        <v>8250</v>
      </c>
      <c r="AG28" s="282">
        <v>8250</v>
      </c>
      <c r="AH28" s="282">
        <v>7600</v>
      </c>
      <c r="AI28" s="282">
        <v>8050</v>
      </c>
      <c r="AJ28" s="282">
        <v>8050</v>
      </c>
      <c r="AK28" s="282">
        <v>8100</v>
      </c>
      <c r="AL28" s="282">
        <v>8650</v>
      </c>
      <c r="AM28" s="282">
        <v>8650</v>
      </c>
      <c r="AN28" s="280">
        <v>800</v>
      </c>
      <c r="AO28" s="280">
        <v>800</v>
      </c>
      <c r="AP28" s="280">
        <v>800</v>
      </c>
      <c r="AQ28" s="282">
        <v>8440</v>
      </c>
      <c r="AR28" s="282">
        <v>9215</v>
      </c>
      <c r="AS28" s="282">
        <v>9215</v>
      </c>
      <c r="AT28" s="282">
        <v>7925</v>
      </c>
      <c r="AU28" s="282">
        <v>8450</v>
      </c>
      <c r="AV28" s="282">
        <v>8450</v>
      </c>
      <c r="AW28" s="282">
        <v>8800</v>
      </c>
      <c r="AX28" s="282">
        <v>9250</v>
      </c>
      <c r="AY28" s="282">
        <v>9250</v>
      </c>
      <c r="AZ28" s="282">
        <v>8400</v>
      </c>
      <c r="BA28" s="282">
        <v>9075</v>
      </c>
      <c r="BB28" s="282">
        <v>9075</v>
      </c>
      <c r="BC28" s="282">
        <v>8550</v>
      </c>
      <c r="BD28" s="282">
        <v>9125</v>
      </c>
      <c r="BE28" s="282">
        <v>9125</v>
      </c>
      <c r="BF28" s="282">
        <v>8625</v>
      </c>
      <c r="BG28" s="282">
        <v>9450</v>
      </c>
      <c r="BH28" s="282">
        <v>9450</v>
      </c>
      <c r="BI28" s="282">
        <v>9000</v>
      </c>
      <c r="BJ28" s="282">
        <v>9450</v>
      </c>
      <c r="BK28" s="282">
        <v>9450</v>
      </c>
      <c r="BL28" s="282">
        <v>9000</v>
      </c>
      <c r="BM28" s="282">
        <v>9450</v>
      </c>
      <c r="BN28" s="282">
        <v>9450</v>
      </c>
      <c r="BO28" s="282">
        <v>9000</v>
      </c>
      <c r="BP28" s="282">
        <v>9450</v>
      </c>
      <c r="BQ28" s="282">
        <v>9450</v>
      </c>
      <c r="BR28" s="280"/>
      <c r="BS28" s="280"/>
      <c r="BT28" s="280"/>
      <c r="BU28" s="281">
        <f t="shared" ref="BU28" si="3">(BO28+2791)-100</f>
        <v>11691</v>
      </c>
      <c r="BV28" s="281">
        <f t="shared" ref="BV28" si="4">(BP28+2791)-100</f>
        <v>12141</v>
      </c>
      <c r="BW28" s="281">
        <f t="shared" ref="BW28" si="5">(BQ28+2791)-100</f>
        <v>12141</v>
      </c>
      <c r="CH28" s="1"/>
      <c r="CI28" s="1"/>
    </row>
    <row r="29" spans="1:89" ht="14.5" x14ac:dyDescent="0.35">
      <c r="A29" s="3" t="s">
        <v>82</v>
      </c>
      <c r="B29" s="3" t="s">
        <v>433</v>
      </c>
      <c r="C29" s="53" t="s">
        <v>84</v>
      </c>
      <c r="D29" s="215">
        <v>7500</v>
      </c>
      <c r="E29" s="215">
        <v>8420</v>
      </c>
      <c r="F29" s="215">
        <v>8350</v>
      </c>
      <c r="G29" s="215">
        <v>7375</v>
      </c>
      <c r="H29" s="215">
        <v>8395</v>
      </c>
      <c r="I29" s="215">
        <v>8325</v>
      </c>
      <c r="J29" s="215">
        <v>7500</v>
      </c>
      <c r="K29" s="215">
        <v>8420</v>
      </c>
      <c r="L29" s="215">
        <v>8350</v>
      </c>
      <c r="M29" s="215">
        <v>7500</v>
      </c>
      <c r="N29" s="215">
        <v>8420</v>
      </c>
      <c r="O29" s="215">
        <v>8350</v>
      </c>
      <c r="P29" s="215">
        <v>7500</v>
      </c>
      <c r="Q29" s="215">
        <v>8420</v>
      </c>
      <c r="R29" s="215">
        <v>8350</v>
      </c>
      <c r="S29" s="215">
        <v>7500</v>
      </c>
      <c r="T29" s="215">
        <v>8420</v>
      </c>
      <c r="U29" s="215">
        <v>8350</v>
      </c>
      <c r="V29" s="215">
        <v>7500</v>
      </c>
      <c r="W29" s="215">
        <v>8420</v>
      </c>
      <c r="X29" s="215">
        <v>8350</v>
      </c>
      <c r="Y29" s="215">
        <v>7500</v>
      </c>
      <c r="Z29" s="215">
        <v>8420</v>
      </c>
      <c r="AA29" s="215">
        <v>8350</v>
      </c>
      <c r="AB29" s="215">
        <v>7500</v>
      </c>
      <c r="AC29" s="215">
        <v>8420</v>
      </c>
      <c r="AD29" s="215">
        <v>8350</v>
      </c>
      <c r="AE29" s="215">
        <v>7500</v>
      </c>
      <c r="AF29" s="215">
        <v>8420</v>
      </c>
      <c r="AG29" s="215">
        <v>8350</v>
      </c>
      <c r="AH29" s="215">
        <v>7175</v>
      </c>
      <c r="AI29" s="215">
        <v>8195</v>
      </c>
      <c r="AJ29" s="215">
        <v>8125</v>
      </c>
      <c r="AK29" s="215">
        <v>7675</v>
      </c>
      <c r="AL29" s="215">
        <v>8795</v>
      </c>
      <c r="AM29" s="215">
        <v>8725</v>
      </c>
      <c r="AN29" s="213">
        <v>1300</v>
      </c>
      <c r="AO29" s="213">
        <v>1400</v>
      </c>
      <c r="AP29" s="213">
        <v>1400</v>
      </c>
      <c r="AQ29" s="215">
        <v>8015</v>
      </c>
      <c r="AR29" s="215">
        <v>9360</v>
      </c>
      <c r="AS29" s="215">
        <v>9290</v>
      </c>
      <c r="AT29" s="215">
        <v>7500</v>
      </c>
      <c r="AU29" s="215">
        <v>8595</v>
      </c>
      <c r="AV29" s="215">
        <v>8525</v>
      </c>
      <c r="AW29" s="215">
        <v>8375</v>
      </c>
      <c r="AX29" s="215">
        <v>9395</v>
      </c>
      <c r="AY29" s="215">
        <v>9325</v>
      </c>
      <c r="AZ29" s="215">
        <v>7975</v>
      </c>
      <c r="BA29" s="215">
        <v>9220</v>
      </c>
      <c r="BB29" s="215">
        <v>9150</v>
      </c>
      <c r="BC29" s="215">
        <v>8125</v>
      </c>
      <c r="BD29" s="215">
        <v>9270</v>
      </c>
      <c r="BE29" s="215">
        <v>9200</v>
      </c>
      <c r="BF29" s="215">
        <v>8200</v>
      </c>
      <c r="BG29" s="215">
        <v>9595</v>
      </c>
      <c r="BH29" s="215">
        <v>9525</v>
      </c>
      <c r="BI29" s="215">
        <v>8575</v>
      </c>
      <c r="BJ29" s="215">
        <v>9595</v>
      </c>
      <c r="BK29" s="215">
        <v>9525</v>
      </c>
      <c r="BL29" s="215">
        <v>8575</v>
      </c>
      <c r="BM29" s="215">
        <v>9595</v>
      </c>
      <c r="BN29" s="215">
        <v>9525</v>
      </c>
      <c r="BO29" s="215">
        <v>8575</v>
      </c>
      <c r="BP29" s="215">
        <v>9595</v>
      </c>
      <c r="BQ29" s="215">
        <v>9525</v>
      </c>
      <c r="BR29" s="213"/>
      <c r="BS29" s="213"/>
      <c r="BT29" s="213"/>
      <c r="BU29" s="6">
        <f t="shared" si="0"/>
        <v>11266</v>
      </c>
      <c r="BV29" s="6">
        <f t="shared" si="1"/>
        <v>12286</v>
      </c>
      <c r="BW29" s="6">
        <f t="shared" si="2"/>
        <v>12216</v>
      </c>
      <c r="CH29" s="1"/>
      <c r="CI29" s="1"/>
    </row>
    <row r="30" spans="1:89" ht="14.5" x14ac:dyDescent="0.35">
      <c r="A30" s="3" t="s">
        <v>82</v>
      </c>
      <c r="B30" s="3" t="s">
        <v>434</v>
      </c>
      <c r="C30" s="53" t="s">
        <v>84</v>
      </c>
      <c r="D30" s="215">
        <v>7900</v>
      </c>
      <c r="E30" s="215">
        <v>8520</v>
      </c>
      <c r="F30" s="215">
        <v>8450</v>
      </c>
      <c r="G30" s="215">
        <v>7900</v>
      </c>
      <c r="H30" s="215">
        <v>8520</v>
      </c>
      <c r="I30" s="215">
        <v>8450</v>
      </c>
      <c r="J30" s="215">
        <v>7900</v>
      </c>
      <c r="K30" s="215">
        <v>8520</v>
      </c>
      <c r="L30" s="215">
        <v>8450</v>
      </c>
      <c r="M30" s="215">
        <v>7900</v>
      </c>
      <c r="N30" s="215">
        <v>8520</v>
      </c>
      <c r="O30" s="215">
        <v>8450</v>
      </c>
      <c r="P30" s="215">
        <v>7900</v>
      </c>
      <c r="Q30" s="215">
        <v>8520</v>
      </c>
      <c r="R30" s="215">
        <v>8450</v>
      </c>
      <c r="S30" s="215">
        <v>7900</v>
      </c>
      <c r="T30" s="215">
        <v>8520</v>
      </c>
      <c r="U30" s="215">
        <v>8450</v>
      </c>
      <c r="V30" s="215">
        <v>7900</v>
      </c>
      <c r="W30" s="215">
        <v>8520</v>
      </c>
      <c r="X30" s="215">
        <v>8450</v>
      </c>
      <c r="Y30" s="215">
        <v>7900</v>
      </c>
      <c r="Z30" s="215">
        <v>8520</v>
      </c>
      <c r="AA30" s="215">
        <v>8450</v>
      </c>
      <c r="AB30" s="215">
        <v>7900</v>
      </c>
      <c r="AC30" s="215">
        <v>8520</v>
      </c>
      <c r="AD30" s="215">
        <v>8450</v>
      </c>
      <c r="AE30" s="215">
        <v>7900</v>
      </c>
      <c r="AF30" s="215">
        <v>8520</v>
      </c>
      <c r="AG30" s="215">
        <v>8450</v>
      </c>
      <c r="AH30" s="215">
        <v>7700</v>
      </c>
      <c r="AI30" s="215">
        <v>8320</v>
      </c>
      <c r="AJ30" s="215">
        <v>8250</v>
      </c>
      <c r="AK30" s="215">
        <v>8200</v>
      </c>
      <c r="AL30" s="215">
        <v>8920</v>
      </c>
      <c r="AM30" s="215">
        <v>8850</v>
      </c>
      <c r="AN30" s="213">
        <v>1300</v>
      </c>
      <c r="AO30" s="213">
        <v>1400</v>
      </c>
      <c r="AP30" s="213">
        <v>1400</v>
      </c>
      <c r="AQ30" s="215">
        <v>8540</v>
      </c>
      <c r="AR30" s="215">
        <v>9485</v>
      </c>
      <c r="AS30" s="215">
        <v>9415</v>
      </c>
      <c r="AT30" s="215">
        <v>8025</v>
      </c>
      <c r="AU30" s="215">
        <v>8720</v>
      </c>
      <c r="AV30" s="215">
        <v>8650</v>
      </c>
      <c r="AW30" s="215">
        <v>8900</v>
      </c>
      <c r="AX30" s="215">
        <v>9520</v>
      </c>
      <c r="AY30" s="215">
        <v>9450</v>
      </c>
      <c r="AZ30" s="215">
        <v>8500</v>
      </c>
      <c r="BA30" s="215">
        <v>9345</v>
      </c>
      <c r="BB30" s="215">
        <v>9275</v>
      </c>
      <c r="BC30" s="215">
        <v>8650</v>
      </c>
      <c r="BD30" s="215">
        <v>9395</v>
      </c>
      <c r="BE30" s="215">
        <v>9325</v>
      </c>
      <c r="BF30" s="215">
        <v>8725</v>
      </c>
      <c r="BG30" s="215">
        <v>9720</v>
      </c>
      <c r="BH30" s="215">
        <v>9650</v>
      </c>
      <c r="BI30" s="215">
        <v>9100</v>
      </c>
      <c r="BJ30" s="215">
        <v>9720</v>
      </c>
      <c r="BK30" s="215">
        <v>9650</v>
      </c>
      <c r="BL30" s="215">
        <v>9100</v>
      </c>
      <c r="BM30" s="215">
        <v>9720</v>
      </c>
      <c r="BN30" s="215">
        <v>9650</v>
      </c>
      <c r="BO30" s="215">
        <v>9100</v>
      </c>
      <c r="BP30" s="215">
        <v>9720</v>
      </c>
      <c r="BQ30" s="215">
        <v>9650</v>
      </c>
      <c r="BR30" s="213"/>
      <c r="BS30" s="213"/>
      <c r="BT30" s="213"/>
      <c r="BU30" s="6">
        <f t="shared" si="0"/>
        <v>11791</v>
      </c>
      <c r="BV30" s="6">
        <f t="shared" si="1"/>
        <v>12411</v>
      </c>
      <c r="BW30" s="6">
        <f t="shared" si="2"/>
        <v>12341</v>
      </c>
      <c r="CH30" s="1"/>
      <c r="CI30" s="1"/>
    </row>
    <row r="31" spans="1:89" ht="14.5" x14ac:dyDescent="0.35">
      <c r="A31" s="3" t="s">
        <v>82</v>
      </c>
      <c r="B31" s="3" t="s">
        <v>471</v>
      </c>
      <c r="C31" s="53" t="s">
        <v>84</v>
      </c>
      <c r="D31" s="215">
        <v>8200</v>
      </c>
      <c r="E31" s="215">
        <v>8450</v>
      </c>
      <c r="F31" s="215">
        <v>8450</v>
      </c>
      <c r="G31" s="215">
        <v>8200</v>
      </c>
      <c r="H31" s="215">
        <v>8450</v>
      </c>
      <c r="I31" s="215">
        <v>8450</v>
      </c>
      <c r="J31" s="215">
        <v>8200</v>
      </c>
      <c r="K31" s="215">
        <v>8450</v>
      </c>
      <c r="L31" s="215">
        <v>8450</v>
      </c>
      <c r="M31" s="215">
        <v>8200</v>
      </c>
      <c r="N31" s="215">
        <v>8450</v>
      </c>
      <c r="O31" s="215">
        <v>8450</v>
      </c>
      <c r="P31" s="215">
        <v>8200</v>
      </c>
      <c r="Q31" s="215">
        <v>8450</v>
      </c>
      <c r="R31" s="215">
        <v>8450</v>
      </c>
      <c r="S31" s="215">
        <v>8200</v>
      </c>
      <c r="T31" s="215">
        <v>8450</v>
      </c>
      <c r="U31" s="215">
        <v>8450</v>
      </c>
      <c r="V31" s="215">
        <v>8200</v>
      </c>
      <c r="W31" s="215">
        <v>8450</v>
      </c>
      <c r="X31" s="215">
        <v>8450</v>
      </c>
      <c r="Y31" s="215">
        <v>8200</v>
      </c>
      <c r="Z31" s="215">
        <v>8450</v>
      </c>
      <c r="AA31" s="215">
        <v>8450</v>
      </c>
      <c r="AB31" s="215">
        <v>8200</v>
      </c>
      <c r="AC31" s="215">
        <v>8450</v>
      </c>
      <c r="AD31" s="215">
        <v>8450</v>
      </c>
      <c r="AE31" s="215">
        <v>8200</v>
      </c>
      <c r="AF31" s="215">
        <v>8450</v>
      </c>
      <c r="AG31" s="215">
        <v>8450</v>
      </c>
      <c r="AH31" s="215">
        <v>8000</v>
      </c>
      <c r="AI31" s="215">
        <v>8250</v>
      </c>
      <c r="AJ31" s="215">
        <v>8250</v>
      </c>
      <c r="AK31" s="215">
        <v>8500</v>
      </c>
      <c r="AL31" s="215">
        <v>8850</v>
      </c>
      <c r="AM31" s="215">
        <v>8850</v>
      </c>
      <c r="AN31" s="213">
        <v>1300</v>
      </c>
      <c r="AO31" s="213">
        <v>1400</v>
      </c>
      <c r="AP31" s="213">
        <v>1400</v>
      </c>
      <c r="AQ31" s="215">
        <v>8840</v>
      </c>
      <c r="AR31" s="215">
        <v>9415</v>
      </c>
      <c r="AS31" s="215">
        <v>9415</v>
      </c>
      <c r="AT31" s="215">
        <v>8325</v>
      </c>
      <c r="AU31" s="215">
        <v>8650</v>
      </c>
      <c r="AV31" s="215">
        <v>8650</v>
      </c>
      <c r="AW31" s="215">
        <v>9200</v>
      </c>
      <c r="AX31" s="215">
        <v>9450</v>
      </c>
      <c r="AY31" s="215">
        <v>9450</v>
      </c>
      <c r="AZ31" s="215">
        <v>8800</v>
      </c>
      <c r="BA31" s="215">
        <v>9275</v>
      </c>
      <c r="BB31" s="215">
        <v>9275</v>
      </c>
      <c r="BC31" s="215">
        <v>8950</v>
      </c>
      <c r="BD31" s="215">
        <v>9325</v>
      </c>
      <c r="BE31" s="215">
        <v>9325</v>
      </c>
      <c r="BF31" s="215">
        <v>9025</v>
      </c>
      <c r="BG31" s="215">
        <v>9650</v>
      </c>
      <c r="BH31" s="215">
        <v>9650</v>
      </c>
      <c r="BI31" s="215">
        <v>9400</v>
      </c>
      <c r="BJ31" s="215">
        <v>9650</v>
      </c>
      <c r="BK31" s="215">
        <v>9650</v>
      </c>
      <c r="BL31" s="215">
        <v>9400</v>
      </c>
      <c r="BM31" s="215">
        <v>9650</v>
      </c>
      <c r="BN31" s="215">
        <v>9650</v>
      </c>
      <c r="BO31" s="215">
        <v>9400</v>
      </c>
      <c r="BP31" s="215">
        <v>9650</v>
      </c>
      <c r="BQ31" s="215">
        <v>9650</v>
      </c>
      <c r="BR31" s="213"/>
      <c r="BS31" s="213"/>
      <c r="BT31" s="213"/>
      <c r="BU31" s="6">
        <f>((BO31+2791)+150)-100</f>
        <v>12241</v>
      </c>
      <c r="BV31" s="6">
        <f>((BP31+2791)+150)-100</f>
        <v>12491</v>
      </c>
      <c r="BW31" s="6">
        <f>((BQ31+2791)+150)-100</f>
        <v>12491</v>
      </c>
      <c r="CH31" s="1"/>
      <c r="CI31" s="1"/>
    </row>
    <row r="32" spans="1:89" ht="14.5" x14ac:dyDescent="0.35">
      <c r="A32" s="3" t="s">
        <v>86</v>
      </c>
      <c r="B32" s="3"/>
      <c r="C32" s="53" t="s">
        <v>87</v>
      </c>
      <c r="D32" s="215">
        <v>7375</v>
      </c>
      <c r="E32" s="215">
        <v>7750</v>
      </c>
      <c r="F32" s="215">
        <v>7750</v>
      </c>
      <c r="G32" s="215">
        <v>7375</v>
      </c>
      <c r="H32" s="215">
        <v>7750</v>
      </c>
      <c r="I32" s="215">
        <v>7750</v>
      </c>
      <c r="J32" s="215">
        <v>7375</v>
      </c>
      <c r="K32" s="215">
        <v>7750</v>
      </c>
      <c r="L32" s="215">
        <v>7750</v>
      </c>
      <c r="M32" s="215">
        <v>7375</v>
      </c>
      <c r="N32" s="215">
        <v>7750</v>
      </c>
      <c r="O32" s="215">
        <v>7750</v>
      </c>
      <c r="P32" s="215">
        <v>7375</v>
      </c>
      <c r="Q32" s="215">
        <v>7750</v>
      </c>
      <c r="R32" s="215">
        <v>7750</v>
      </c>
      <c r="S32" s="215">
        <v>7375</v>
      </c>
      <c r="T32" s="215">
        <v>7750</v>
      </c>
      <c r="U32" s="215">
        <v>7750</v>
      </c>
      <c r="V32" s="215">
        <v>7375</v>
      </c>
      <c r="W32" s="215">
        <v>7750</v>
      </c>
      <c r="X32" s="215">
        <v>7750</v>
      </c>
      <c r="Y32" s="215">
        <v>7375</v>
      </c>
      <c r="Z32" s="215">
        <v>7750</v>
      </c>
      <c r="AA32" s="215">
        <v>7750</v>
      </c>
      <c r="AB32" s="215">
        <v>7375</v>
      </c>
      <c r="AC32" s="215">
        <v>7750</v>
      </c>
      <c r="AD32" s="215">
        <v>7750</v>
      </c>
      <c r="AE32" s="215">
        <v>7375</v>
      </c>
      <c r="AF32" s="215">
        <v>7750</v>
      </c>
      <c r="AG32" s="215">
        <v>7750</v>
      </c>
      <c r="AH32" s="215">
        <v>7175</v>
      </c>
      <c r="AI32" s="215">
        <v>7550</v>
      </c>
      <c r="AJ32" s="215">
        <v>7550</v>
      </c>
      <c r="AK32" s="215">
        <v>7675</v>
      </c>
      <c r="AL32" s="215">
        <v>8150</v>
      </c>
      <c r="AM32" s="215">
        <v>8150</v>
      </c>
      <c r="AN32" s="213">
        <v>1300</v>
      </c>
      <c r="AO32" s="213">
        <v>1400</v>
      </c>
      <c r="AP32" s="213">
        <v>1400</v>
      </c>
      <c r="AQ32" s="215">
        <v>8015</v>
      </c>
      <c r="AR32" s="215">
        <v>8715</v>
      </c>
      <c r="AS32" s="215">
        <v>8715</v>
      </c>
      <c r="AT32" s="215">
        <v>7500</v>
      </c>
      <c r="AU32" s="215">
        <v>7950</v>
      </c>
      <c r="AV32" s="215">
        <v>7950</v>
      </c>
      <c r="AW32" s="215">
        <v>8375</v>
      </c>
      <c r="AX32" s="215">
        <v>8750</v>
      </c>
      <c r="AY32" s="215">
        <v>8750</v>
      </c>
      <c r="AZ32" s="215">
        <v>7975</v>
      </c>
      <c r="BA32" s="215">
        <v>8575</v>
      </c>
      <c r="BB32" s="215">
        <v>8575</v>
      </c>
      <c r="BC32" s="215">
        <v>8125</v>
      </c>
      <c r="BD32" s="215">
        <v>8625</v>
      </c>
      <c r="BE32" s="215">
        <v>8625</v>
      </c>
      <c r="BF32" s="215">
        <v>8200</v>
      </c>
      <c r="BG32" s="215">
        <v>8950</v>
      </c>
      <c r="BH32" s="215">
        <v>8950</v>
      </c>
      <c r="BI32" s="215">
        <v>8575</v>
      </c>
      <c r="BJ32" s="215">
        <v>8950</v>
      </c>
      <c r="BK32" s="215">
        <v>8950</v>
      </c>
      <c r="BL32" s="215">
        <v>8575</v>
      </c>
      <c r="BM32" s="215">
        <v>8950</v>
      </c>
      <c r="BN32" s="215">
        <v>8950</v>
      </c>
      <c r="BO32" s="215">
        <v>8575</v>
      </c>
      <c r="BP32" s="215">
        <v>8950</v>
      </c>
      <c r="BQ32" s="215">
        <v>8950</v>
      </c>
      <c r="BR32" s="213"/>
      <c r="BS32" s="213"/>
      <c r="BT32" s="213"/>
      <c r="BU32" s="6">
        <f t="shared" ref="BU32:BW36" si="6">(BO32+2791)-100</f>
        <v>11266</v>
      </c>
      <c r="BV32" s="6">
        <f t="shared" si="6"/>
        <v>11641</v>
      </c>
      <c r="BW32" s="6">
        <f t="shared" si="6"/>
        <v>11641</v>
      </c>
      <c r="CH32" s="1"/>
      <c r="CI32" s="1"/>
    </row>
    <row r="33" spans="1:99" s="76" customFormat="1" ht="14.5" x14ac:dyDescent="0.35">
      <c r="A33" s="82" t="s">
        <v>498</v>
      </c>
      <c r="B33" s="82" t="s">
        <v>431</v>
      </c>
      <c r="C33" s="200" t="s">
        <v>499</v>
      </c>
      <c r="D33" s="209">
        <v>7800</v>
      </c>
      <c r="E33" s="209">
        <v>8150</v>
      </c>
      <c r="F33" s="209">
        <v>8150</v>
      </c>
      <c r="G33" s="209">
        <v>7800</v>
      </c>
      <c r="H33" s="209">
        <v>8150</v>
      </c>
      <c r="I33" s="209">
        <v>8150</v>
      </c>
      <c r="J33" s="209">
        <v>7800</v>
      </c>
      <c r="K33" s="209">
        <v>8150</v>
      </c>
      <c r="L33" s="209">
        <v>8150</v>
      </c>
      <c r="M33" s="209">
        <v>7800</v>
      </c>
      <c r="N33" s="209">
        <v>8150</v>
      </c>
      <c r="O33" s="209">
        <v>8150</v>
      </c>
      <c r="P33" s="209">
        <v>7800</v>
      </c>
      <c r="Q33" s="209">
        <v>8150</v>
      </c>
      <c r="R33" s="209">
        <v>8150</v>
      </c>
      <c r="S33" s="209">
        <v>7800</v>
      </c>
      <c r="T33" s="209">
        <v>8150</v>
      </c>
      <c r="U33" s="209">
        <v>8150</v>
      </c>
      <c r="V33" s="209">
        <v>7800</v>
      </c>
      <c r="W33" s="209">
        <v>8150</v>
      </c>
      <c r="X33" s="209">
        <v>8150</v>
      </c>
      <c r="Y33" s="209">
        <v>7800</v>
      </c>
      <c r="Z33" s="209">
        <v>8150</v>
      </c>
      <c r="AA33" s="209">
        <v>8150</v>
      </c>
      <c r="AB33" s="209">
        <v>7800</v>
      </c>
      <c r="AC33" s="209">
        <v>8150</v>
      </c>
      <c r="AD33" s="209">
        <v>8150</v>
      </c>
      <c r="AE33" s="209">
        <v>7800</v>
      </c>
      <c r="AF33" s="209">
        <v>8150</v>
      </c>
      <c r="AG33" s="209">
        <v>8150</v>
      </c>
      <c r="AH33" s="209">
        <v>7600</v>
      </c>
      <c r="AI33" s="209">
        <v>7950</v>
      </c>
      <c r="AJ33" s="209">
        <v>7950</v>
      </c>
      <c r="AK33" s="209">
        <v>8100</v>
      </c>
      <c r="AL33" s="209">
        <v>8550</v>
      </c>
      <c r="AM33" s="209">
        <v>8550</v>
      </c>
      <c r="AN33" s="213">
        <v>1300</v>
      </c>
      <c r="AO33" s="213">
        <v>1400</v>
      </c>
      <c r="AP33" s="213">
        <v>1400</v>
      </c>
      <c r="AQ33" s="209">
        <v>8440</v>
      </c>
      <c r="AR33" s="209">
        <v>9115</v>
      </c>
      <c r="AS33" s="209">
        <v>9115</v>
      </c>
      <c r="AT33" s="209">
        <v>7925</v>
      </c>
      <c r="AU33" s="209">
        <v>8350</v>
      </c>
      <c r="AV33" s="209">
        <v>8350</v>
      </c>
      <c r="AW33" s="209">
        <v>8900</v>
      </c>
      <c r="AX33" s="209">
        <v>9250</v>
      </c>
      <c r="AY33" s="209">
        <v>9250</v>
      </c>
      <c r="AZ33" s="209">
        <v>8400</v>
      </c>
      <c r="BA33" s="209">
        <v>8975</v>
      </c>
      <c r="BB33" s="209">
        <v>8975</v>
      </c>
      <c r="BC33" s="209">
        <v>8550</v>
      </c>
      <c r="BD33" s="209">
        <v>9025</v>
      </c>
      <c r="BE33" s="209">
        <v>9025</v>
      </c>
      <c r="BF33" s="209">
        <v>8625</v>
      </c>
      <c r="BG33" s="209">
        <v>9350</v>
      </c>
      <c r="BH33" s="209">
        <v>9350</v>
      </c>
      <c r="BI33" s="209">
        <v>9100</v>
      </c>
      <c r="BJ33" s="209">
        <v>9450</v>
      </c>
      <c r="BK33" s="209">
        <v>9450</v>
      </c>
      <c r="BL33" s="209">
        <v>9100</v>
      </c>
      <c r="BM33" s="209">
        <v>9450</v>
      </c>
      <c r="BN33" s="209">
        <v>9450</v>
      </c>
      <c r="BO33" s="209">
        <v>9100</v>
      </c>
      <c r="BP33" s="209">
        <v>9450</v>
      </c>
      <c r="BQ33" s="209">
        <v>9450</v>
      </c>
      <c r="BR33" s="213"/>
      <c r="BS33" s="213"/>
      <c r="BT33" s="213"/>
      <c r="BU33" s="214">
        <f t="shared" si="6"/>
        <v>11791</v>
      </c>
      <c r="BV33" s="214">
        <f t="shared" si="6"/>
        <v>12141</v>
      </c>
      <c r="BW33" s="214">
        <f t="shared" si="6"/>
        <v>12141</v>
      </c>
      <c r="CJ33" s="84"/>
      <c r="CK33" s="84"/>
      <c r="CL33" s="84"/>
    </row>
    <row r="34" spans="1:99" s="76" customFormat="1" ht="14.5" x14ac:dyDescent="0.35">
      <c r="A34" s="82" t="s">
        <v>500</v>
      </c>
      <c r="B34" s="82" t="s">
        <v>502</v>
      </c>
      <c r="C34" s="200" t="s">
        <v>501</v>
      </c>
      <c r="D34" s="209">
        <v>7915</v>
      </c>
      <c r="E34" s="209">
        <v>8230</v>
      </c>
      <c r="F34" s="209">
        <v>8230</v>
      </c>
      <c r="G34" s="209">
        <v>7915</v>
      </c>
      <c r="H34" s="209">
        <v>8230</v>
      </c>
      <c r="I34" s="209">
        <v>8230</v>
      </c>
      <c r="J34" s="209">
        <v>7915</v>
      </c>
      <c r="K34" s="209">
        <v>8230</v>
      </c>
      <c r="L34" s="209">
        <v>8230</v>
      </c>
      <c r="M34" s="209">
        <v>7915</v>
      </c>
      <c r="N34" s="209">
        <v>8230</v>
      </c>
      <c r="O34" s="209">
        <v>8230</v>
      </c>
      <c r="P34" s="209">
        <v>7915</v>
      </c>
      <c r="Q34" s="209">
        <v>8230</v>
      </c>
      <c r="R34" s="209">
        <v>8230</v>
      </c>
      <c r="S34" s="209">
        <v>7915</v>
      </c>
      <c r="T34" s="209">
        <v>8230</v>
      </c>
      <c r="U34" s="209">
        <v>8230</v>
      </c>
      <c r="V34" s="209">
        <v>7915</v>
      </c>
      <c r="W34" s="209">
        <v>8230</v>
      </c>
      <c r="X34" s="209">
        <v>8230</v>
      </c>
      <c r="Y34" s="209">
        <v>7915</v>
      </c>
      <c r="Z34" s="209">
        <v>8230</v>
      </c>
      <c r="AA34" s="209">
        <v>8230</v>
      </c>
      <c r="AB34" s="209">
        <v>7915</v>
      </c>
      <c r="AC34" s="209">
        <v>8230</v>
      </c>
      <c r="AD34" s="209">
        <v>8230</v>
      </c>
      <c r="AE34" s="209">
        <v>7915</v>
      </c>
      <c r="AF34" s="209">
        <v>8230</v>
      </c>
      <c r="AG34" s="209">
        <v>8230</v>
      </c>
      <c r="AH34" s="209">
        <v>7715</v>
      </c>
      <c r="AI34" s="209">
        <v>8030</v>
      </c>
      <c r="AJ34" s="209">
        <v>8030</v>
      </c>
      <c r="AK34" s="209">
        <v>8215</v>
      </c>
      <c r="AL34" s="209">
        <v>8630</v>
      </c>
      <c r="AM34" s="209">
        <v>8630</v>
      </c>
      <c r="AN34" s="213">
        <v>1300</v>
      </c>
      <c r="AO34" s="213">
        <v>1400</v>
      </c>
      <c r="AP34" s="213">
        <v>1400</v>
      </c>
      <c r="AQ34" s="209">
        <v>8555</v>
      </c>
      <c r="AR34" s="209">
        <v>9195</v>
      </c>
      <c r="AS34" s="209">
        <v>9195</v>
      </c>
      <c r="AT34" s="209">
        <v>8040</v>
      </c>
      <c r="AU34" s="209">
        <v>8430</v>
      </c>
      <c r="AV34" s="209">
        <v>8430</v>
      </c>
      <c r="AW34" s="209">
        <v>9015</v>
      </c>
      <c r="AX34" s="209">
        <v>9330</v>
      </c>
      <c r="AY34" s="209">
        <v>9330</v>
      </c>
      <c r="AZ34" s="209">
        <v>8515</v>
      </c>
      <c r="BA34" s="209">
        <v>9055</v>
      </c>
      <c r="BB34" s="209">
        <v>9055</v>
      </c>
      <c r="BC34" s="209">
        <v>8665</v>
      </c>
      <c r="BD34" s="209">
        <v>9105</v>
      </c>
      <c r="BE34" s="209">
        <v>9105</v>
      </c>
      <c r="BF34" s="209">
        <v>8740</v>
      </c>
      <c r="BG34" s="209">
        <v>9430</v>
      </c>
      <c r="BH34" s="209">
        <v>9430</v>
      </c>
      <c r="BI34" s="209">
        <v>9215</v>
      </c>
      <c r="BJ34" s="209">
        <v>9530</v>
      </c>
      <c r="BK34" s="209">
        <v>9530</v>
      </c>
      <c r="BL34" s="209">
        <v>9215</v>
      </c>
      <c r="BM34" s="209">
        <v>9530</v>
      </c>
      <c r="BN34" s="209">
        <v>9530</v>
      </c>
      <c r="BO34" s="209">
        <v>9215</v>
      </c>
      <c r="BP34" s="209">
        <v>9530</v>
      </c>
      <c r="BQ34" s="209">
        <v>9530</v>
      </c>
      <c r="BR34" s="213"/>
      <c r="BS34" s="213"/>
      <c r="BT34" s="213"/>
      <c r="BU34" s="214">
        <f t="shared" si="6"/>
        <v>11906</v>
      </c>
      <c r="BV34" s="214">
        <f t="shared" si="6"/>
        <v>12221</v>
      </c>
      <c r="BW34" s="214">
        <f t="shared" si="6"/>
        <v>12221</v>
      </c>
      <c r="CJ34" s="84"/>
      <c r="CK34" s="84"/>
      <c r="CL34" s="84"/>
    </row>
    <row r="35" spans="1:99" ht="14.5" x14ac:dyDescent="0.35">
      <c r="A35" s="3" t="s">
        <v>427</v>
      </c>
      <c r="B35" s="3"/>
      <c r="C35" s="53" t="s">
        <v>428</v>
      </c>
      <c r="D35" s="215">
        <v>7300</v>
      </c>
      <c r="E35" s="215">
        <v>7700</v>
      </c>
      <c r="F35" s="215">
        <v>7700</v>
      </c>
      <c r="G35" s="215">
        <v>7300</v>
      </c>
      <c r="H35" s="215">
        <v>7700</v>
      </c>
      <c r="I35" s="215">
        <v>7700</v>
      </c>
      <c r="J35" s="215">
        <v>7300</v>
      </c>
      <c r="K35" s="215">
        <v>7700</v>
      </c>
      <c r="L35" s="215">
        <v>7700</v>
      </c>
      <c r="M35" s="215">
        <v>7300</v>
      </c>
      <c r="N35" s="215">
        <v>7700</v>
      </c>
      <c r="O35" s="215">
        <v>7700</v>
      </c>
      <c r="P35" s="215">
        <v>7300</v>
      </c>
      <c r="Q35" s="215">
        <v>7700</v>
      </c>
      <c r="R35" s="215">
        <v>7700</v>
      </c>
      <c r="S35" s="215">
        <v>7300</v>
      </c>
      <c r="T35" s="215">
        <v>7700</v>
      </c>
      <c r="U35" s="215">
        <v>7700</v>
      </c>
      <c r="V35" s="215">
        <v>7300</v>
      </c>
      <c r="W35" s="215">
        <v>7700</v>
      </c>
      <c r="X35" s="215">
        <v>7700</v>
      </c>
      <c r="Y35" s="215">
        <v>7300</v>
      </c>
      <c r="Z35" s="215">
        <v>7700</v>
      </c>
      <c r="AA35" s="215">
        <v>7700</v>
      </c>
      <c r="AB35" s="215">
        <v>7300</v>
      </c>
      <c r="AC35" s="215">
        <v>7700</v>
      </c>
      <c r="AD35" s="215">
        <v>7700</v>
      </c>
      <c r="AE35" s="215">
        <v>7300</v>
      </c>
      <c r="AF35" s="215">
        <v>7700</v>
      </c>
      <c r="AG35" s="215">
        <v>7700</v>
      </c>
      <c r="AH35" s="215">
        <v>7100</v>
      </c>
      <c r="AI35" s="215">
        <v>7500</v>
      </c>
      <c r="AJ35" s="215">
        <v>7500</v>
      </c>
      <c r="AK35" s="215">
        <v>7600</v>
      </c>
      <c r="AL35" s="215">
        <v>8100</v>
      </c>
      <c r="AM35" s="215">
        <v>8100</v>
      </c>
      <c r="AN35" s="213">
        <v>1300</v>
      </c>
      <c r="AO35" s="213">
        <v>1400</v>
      </c>
      <c r="AP35" s="213">
        <v>1400</v>
      </c>
      <c r="AQ35" s="215">
        <v>7940</v>
      </c>
      <c r="AR35" s="215">
        <v>8665</v>
      </c>
      <c r="AS35" s="215">
        <v>8665</v>
      </c>
      <c r="AT35" s="215">
        <v>7425</v>
      </c>
      <c r="AU35" s="215">
        <v>7900</v>
      </c>
      <c r="AV35" s="215">
        <v>7900</v>
      </c>
      <c r="AW35" s="215">
        <v>8300</v>
      </c>
      <c r="AX35" s="215">
        <v>8700</v>
      </c>
      <c r="AY35" s="215">
        <v>8700</v>
      </c>
      <c r="AZ35" s="215">
        <v>7900</v>
      </c>
      <c r="BA35" s="215">
        <v>8525</v>
      </c>
      <c r="BB35" s="215">
        <v>8525</v>
      </c>
      <c r="BC35" s="215">
        <v>8050</v>
      </c>
      <c r="BD35" s="215">
        <v>8575</v>
      </c>
      <c r="BE35" s="215">
        <v>8575</v>
      </c>
      <c r="BF35" s="215">
        <v>8125</v>
      </c>
      <c r="BG35" s="215">
        <v>8900</v>
      </c>
      <c r="BH35" s="215">
        <v>8900</v>
      </c>
      <c r="BI35" s="215">
        <v>8500</v>
      </c>
      <c r="BJ35" s="215">
        <v>8900</v>
      </c>
      <c r="BK35" s="215">
        <v>8900</v>
      </c>
      <c r="BL35" s="215">
        <v>8500</v>
      </c>
      <c r="BM35" s="215">
        <v>8900</v>
      </c>
      <c r="BN35" s="215">
        <v>8900</v>
      </c>
      <c r="BO35" s="215">
        <v>8500</v>
      </c>
      <c r="BP35" s="215">
        <v>8900</v>
      </c>
      <c r="BQ35" s="215">
        <v>8900</v>
      </c>
      <c r="BR35" s="213"/>
      <c r="BS35" s="213"/>
      <c r="BT35" s="213"/>
      <c r="BU35" s="6">
        <f t="shared" si="6"/>
        <v>11191</v>
      </c>
      <c r="BV35" s="6">
        <f t="shared" si="6"/>
        <v>11591</v>
      </c>
      <c r="BW35" s="6">
        <f t="shared" si="6"/>
        <v>11591</v>
      </c>
      <c r="CH35" s="1"/>
      <c r="CI35" s="1"/>
    </row>
    <row r="36" spans="1:99" ht="14.5" x14ac:dyDescent="0.35">
      <c r="A36" s="3" t="s">
        <v>88</v>
      </c>
      <c r="B36" s="3"/>
      <c r="C36" s="53" t="s">
        <v>89</v>
      </c>
      <c r="D36" s="215">
        <v>7350</v>
      </c>
      <c r="E36" s="215">
        <v>7750</v>
      </c>
      <c r="F36" s="215">
        <v>7750</v>
      </c>
      <c r="G36" s="215">
        <v>7350</v>
      </c>
      <c r="H36" s="215">
        <v>7750</v>
      </c>
      <c r="I36" s="215">
        <v>7750</v>
      </c>
      <c r="J36" s="215">
        <v>7350</v>
      </c>
      <c r="K36" s="215">
        <v>7750</v>
      </c>
      <c r="L36" s="215">
        <v>7750</v>
      </c>
      <c r="M36" s="215">
        <v>7350</v>
      </c>
      <c r="N36" s="215">
        <v>7750</v>
      </c>
      <c r="O36" s="215">
        <v>7750</v>
      </c>
      <c r="P36" s="215">
        <v>7350</v>
      </c>
      <c r="Q36" s="215">
        <v>7750</v>
      </c>
      <c r="R36" s="215">
        <v>7750</v>
      </c>
      <c r="S36" s="215">
        <v>7350</v>
      </c>
      <c r="T36" s="215">
        <v>7750</v>
      </c>
      <c r="U36" s="215">
        <v>7750</v>
      </c>
      <c r="V36" s="215">
        <v>7350</v>
      </c>
      <c r="W36" s="215">
        <v>7750</v>
      </c>
      <c r="X36" s="215">
        <v>7750</v>
      </c>
      <c r="Y36" s="215">
        <v>7350</v>
      </c>
      <c r="Z36" s="215">
        <v>7750</v>
      </c>
      <c r="AA36" s="215">
        <v>7750</v>
      </c>
      <c r="AB36" s="215">
        <v>7350</v>
      </c>
      <c r="AC36" s="215">
        <v>7750</v>
      </c>
      <c r="AD36" s="215">
        <v>7750</v>
      </c>
      <c r="AE36" s="215">
        <v>7350</v>
      </c>
      <c r="AF36" s="215">
        <v>7750</v>
      </c>
      <c r="AG36" s="215">
        <v>7750</v>
      </c>
      <c r="AH36" s="215">
        <v>7150</v>
      </c>
      <c r="AI36" s="215">
        <v>7550</v>
      </c>
      <c r="AJ36" s="215">
        <v>7550</v>
      </c>
      <c r="AK36" s="215">
        <v>7650</v>
      </c>
      <c r="AL36" s="215">
        <v>8150</v>
      </c>
      <c r="AM36" s="215">
        <v>8150</v>
      </c>
      <c r="AN36" s="213">
        <v>1300</v>
      </c>
      <c r="AO36" s="213">
        <v>1400</v>
      </c>
      <c r="AP36" s="213">
        <v>1400</v>
      </c>
      <c r="AQ36" s="215">
        <v>7990</v>
      </c>
      <c r="AR36" s="215">
        <v>8715</v>
      </c>
      <c r="AS36" s="215">
        <v>8715</v>
      </c>
      <c r="AT36" s="215">
        <v>7475</v>
      </c>
      <c r="AU36" s="215">
        <v>7950</v>
      </c>
      <c r="AV36" s="215">
        <v>7950</v>
      </c>
      <c r="AW36" s="215">
        <v>8350</v>
      </c>
      <c r="AX36" s="215">
        <v>8750</v>
      </c>
      <c r="AY36" s="215">
        <v>8750</v>
      </c>
      <c r="AZ36" s="215">
        <v>7950</v>
      </c>
      <c r="BA36" s="215">
        <v>8575</v>
      </c>
      <c r="BB36" s="215">
        <v>8575</v>
      </c>
      <c r="BC36" s="215">
        <v>8100</v>
      </c>
      <c r="BD36" s="215">
        <v>8625</v>
      </c>
      <c r="BE36" s="215">
        <v>8625</v>
      </c>
      <c r="BF36" s="215">
        <v>8175</v>
      </c>
      <c r="BG36" s="215">
        <v>8950</v>
      </c>
      <c r="BH36" s="215">
        <v>8950</v>
      </c>
      <c r="BI36" s="215">
        <v>8550</v>
      </c>
      <c r="BJ36" s="215">
        <v>8950</v>
      </c>
      <c r="BK36" s="215">
        <v>8950</v>
      </c>
      <c r="BL36" s="215">
        <v>8550</v>
      </c>
      <c r="BM36" s="215">
        <v>8950</v>
      </c>
      <c r="BN36" s="215">
        <v>8950</v>
      </c>
      <c r="BO36" s="215">
        <v>8550</v>
      </c>
      <c r="BP36" s="215">
        <v>8950</v>
      </c>
      <c r="BQ36" s="215">
        <v>8950</v>
      </c>
      <c r="BR36" s="213"/>
      <c r="BS36" s="213"/>
      <c r="BT36" s="213"/>
      <c r="BU36" s="6">
        <f t="shared" si="6"/>
        <v>11241</v>
      </c>
      <c r="BV36" s="6">
        <f t="shared" si="6"/>
        <v>11641</v>
      </c>
      <c r="BW36" s="6">
        <f t="shared" si="6"/>
        <v>11641</v>
      </c>
      <c r="CH36" s="1"/>
      <c r="CI36" s="1"/>
    </row>
    <row r="37" spans="1:99" s="207" customFormat="1" ht="14.5" x14ac:dyDescent="0.35">
      <c r="A37" s="118"/>
      <c r="B37" s="118"/>
      <c r="C37" s="119"/>
      <c r="D37" s="218">
        <v>1400</v>
      </c>
      <c r="E37" s="218">
        <v>1500</v>
      </c>
      <c r="F37" s="218">
        <v>1500</v>
      </c>
      <c r="G37" s="218">
        <v>1400</v>
      </c>
      <c r="H37" s="218">
        <v>1500</v>
      </c>
      <c r="I37" s="218">
        <v>1500</v>
      </c>
      <c r="J37" s="218">
        <v>1400</v>
      </c>
      <c r="K37" s="218">
        <v>1500</v>
      </c>
      <c r="L37" s="218">
        <v>1500</v>
      </c>
      <c r="M37" s="218">
        <v>1400</v>
      </c>
      <c r="N37" s="218">
        <v>1500</v>
      </c>
      <c r="O37" s="218">
        <v>1500</v>
      </c>
      <c r="P37" s="218">
        <v>1400</v>
      </c>
      <c r="Q37" s="218">
        <v>1500</v>
      </c>
      <c r="R37" s="218">
        <v>1500</v>
      </c>
      <c r="S37" s="218">
        <v>1400</v>
      </c>
      <c r="T37" s="218">
        <v>1500</v>
      </c>
      <c r="U37" s="218">
        <v>1500</v>
      </c>
      <c r="V37" s="218">
        <v>1400</v>
      </c>
      <c r="W37" s="218">
        <v>1500</v>
      </c>
      <c r="X37" s="218">
        <v>1500</v>
      </c>
      <c r="Y37" s="218">
        <v>1400</v>
      </c>
      <c r="Z37" s="218">
        <v>1500</v>
      </c>
      <c r="AA37" s="218">
        <v>1500</v>
      </c>
      <c r="AB37" s="218">
        <v>1400</v>
      </c>
      <c r="AC37" s="218">
        <v>1500</v>
      </c>
      <c r="AD37" s="218">
        <v>1500</v>
      </c>
      <c r="AE37" s="218">
        <v>1400</v>
      </c>
      <c r="AF37" s="218">
        <v>1500</v>
      </c>
      <c r="AG37" s="218">
        <v>1500</v>
      </c>
      <c r="AH37" s="218">
        <v>1200</v>
      </c>
      <c r="AI37" s="218">
        <v>1300</v>
      </c>
      <c r="AJ37" s="218">
        <v>1300</v>
      </c>
      <c r="AK37" s="218">
        <v>1400</v>
      </c>
      <c r="AL37" s="218">
        <v>1500</v>
      </c>
      <c r="AM37" s="218">
        <v>1500</v>
      </c>
      <c r="AN37" s="218">
        <v>1400</v>
      </c>
      <c r="AO37" s="218">
        <v>1500</v>
      </c>
      <c r="AP37" s="218">
        <v>1500</v>
      </c>
      <c r="AQ37" s="218">
        <v>1400</v>
      </c>
      <c r="AR37" s="218">
        <v>1500</v>
      </c>
      <c r="AS37" s="218">
        <v>1500</v>
      </c>
      <c r="AT37" s="218">
        <v>1400</v>
      </c>
      <c r="AU37" s="218">
        <v>1500</v>
      </c>
      <c r="AV37" s="218">
        <v>1500</v>
      </c>
      <c r="AW37" s="218">
        <v>1500</v>
      </c>
      <c r="AX37" s="218">
        <v>1500</v>
      </c>
      <c r="AY37" s="218">
        <v>1500</v>
      </c>
      <c r="AZ37" s="218">
        <v>1400</v>
      </c>
      <c r="BA37" s="218">
        <v>1500</v>
      </c>
      <c r="BB37" s="218">
        <v>1500</v>
      </c>
      <c r="BC37" s="213">
        <v>1400</v>
      </c>
      <c r="BD37" s="213">
        <v>1500</v>
      </c>
      <c r="BE37" s="213">
        <v>1500</v>
      </c>
      <c r="BF37" s="213">
        <v>1400</v>
      </c>
      <c r="BG37" s="213">
        <v>1500</v>
      </c>
      <c r="BH37" s="213">
        <v>1500</v>
      </c>
      <c r="BI37" s="218">
        <v>1700</v>
      </c>
      <c r="BJ37" s="218">
        <v>1700</v>
      </c>
      <c r="BK37" s="218">
        <v>1700</v>
      </c>
      <c r="BL37" s="218">
        <v>1700</v>
      </c>
      <c r="BM37" s="218">
        <v>1700</v>
      </c>
      <c r="BN37" s="218">
        <v>1700</v>
      </c>
      <c r="BO37" s="218">
        <v>1700</v>
      </c>
      <c r="BP37" s="218">
        <v>1700</v>
      </c>
      <c r="BQ37" s="218">
        <v>1700</v>
      </c>
      <c r="BR37" s="213"/>
      <c r="BS37" s="213"/>
      <c r="BT37" s="213"/>
      <c r="BU37" s="219"/>
      <c r="BV37" s="219"/>
      <c r="BW37" s="219"/>
      <c r="BX37" s="205"/>
      <c r="BY37" s="205"/>
      <c r="BZ37" s="205"/>
      <c r="CA37" s="205"/>
      <c r="CB37" s="205"/>
      <c r="CC37" s="205"/>
      <c r="CD37" s="205"/>
      <c r="CE37" s="205"/>
      <c r="CF37" s="205"/>
      <c r="CG37" s="205"/>
      <c r="CH37" s="205"/>
      <c r="CI37" s="205"/>
      <c r="CJ37" s="206"/>
      <c r="CK37" s="206"/>
      <c r="CL37" s="206"/>
      <c r="CM37" s="205"/>
      <c r="CN37" s="205"/>
      <c r="CO37" s="205"/>
      <c r="CP37" s="205"/>
      <c r="CQ37" s="205"/>
      <c r="CR37" s="205"/>
      <c r="CS37" s="205"/>
      <c r="CT37" s="205"/>
      <c r="CU37" s="205"/>
    </row>
    <row r="38" spans="1:99" ht="14.5" x14ac:dyDescent="0.35">
      <c r="A38" s="3" t="s">
        <v>90</v>
      </c>
      <c r="B38" s="3"/>
      <c r="C38" s="53" t="s">
        <v>91</v>
      </c>
      <c r="D38" s="209">
        <v>7350</v>
      </c>
      <c r="E38" s="209">
        <v>7750</v>
      </c>
      <c r="F38" s="209">
        <v>7750</v>
      </c>
      <c r="G38" s="209">
        <v>7350</v>
      </c>
      <c r="H38" s="209">
        <v>7750</v>
      </c>
      <c r="I38" s="209">
        <v>7750</v>
      </c>
      <c r="J38" s="209">
        <v>7350</v>
      </c>
      <c r="K38" s="209">
        <v>7750</v>
      </c>
      <c r="L38" s="209">
        <v>7750</v>
      </c>
      <c r="M38" s="209">
        <v>7350</v>
      </c>
      <c r="N38" s="209">
        <v>7750</v>
      </c>
      <c r="O38" s="209">
        <v>7750</v>
      </c>
      <c r="P38" s="209">
        <v>7350</v>
      </c>
      <c r="Q38" s="209">
        <v>7750</v>
      </c>
      <c r="R38" s="209">
        <v>7750</v>
      </c>
      <c r="S38" s="209">
        <v>7350</v>
      </c>
      <c r="T38" s="209">
        <v>7750</v>
      </c>
      <c r="U38" s="209">
        <v>7750</v>
      </c>
      <c r="V38" s="209">
        <v>7350</v>
      </c>
      <c r="W38" s="209">
        <v>7750</v>
      </c>
      <c r="X38" s="209">
        <v>7750</v>
      </c>
      <c r="Y38" s="209">
        <v>7350</v>
      </c>
      <c r="Z38" s="209">
        <v>7750</v>
      </c>
      <c r="AA38" s="209">
        <v>7750</v>
      </c>
      <c r="AB38" s="209">
        <v>7350</v>
      </c>
      <c r="AC38" s="209">
        <v>7750</v>
      </c>
      <c r="AD38" s="209">
        <v>7750</v>
      </c>
      <c r="AE38" s="209">
        <v>7350</v>
      </c>
      <c r="AF38" s="209">
        <v>7750</v>
      </c>
      <c r="AG38" s="209">
        <v>7750</v>
      </c>
      <c r="AH38" s="209">
        <v>7150</v>
      </c>
      <c r="AI38" s="209">
        <v>7550</v>
      </c>
      <c r="AJ38" s="209">
        <v>7550</v>
      </c>
      <c r="AK38" s="209">
        <v>7650</v>
      </c>
      <c r="AL38" s="209">
        <v>8150</v>
      </c>
      <c r="AM38" s="209">
        <v>8150</v>
      </c>
      <c r="AN38" s="213">
        <v>1300</v>
      </c>
      <c r="AO38" s="213">
        <v>1400</v>
      </c>
      <c r="AP38" s="213">
        <v>1400</v>
      </c>
      <c r="AQ38" s="209">
        <v>7990</v>
      </c>
      <c r="AR38" s="209">
        <v>8715</v>
      </c>
      <c r="AS38" s="209">
        <v>8715</v>
      </c>
      <c r="AT38" s="209">
        <v>7475</v>
      </c>
      <c r="AU38" s="209">
        <v>7950</v>
      </c>
      <c r="AV38" s="209">
        <v>7950</v>
      </c>
      <c r="AW38" s="209">
        <v>8350</v>
      </c>
      <c r="AX38" s="209">
        <v>8750</v>
      </c>
      <c r="AY38" s="209">
        <v>8750</v>
      </c>
      <c r="AZ38" s="209">
        <v>7950</v>
      </c>
      <c r="BA38" s="209">
        <v>8575</v>
      </c>
      <c r="BB38" s="209">
        <v>8575</v>
      </c>
      <c r="BC38" s="209">
        <v>8100</v>
      </c>
      <c r="BD38" s="209">
        <v>8625</v>
      </c>
      <c r="BE38" s="209">
        <v>8625</v>
      </c>
      <c r="BF38" s="209">
        <v>8175</v>
      </c>
      <c r="BG38" s="209">
        <v>8950</v>
      </c>
      <c r="BH38" s="209">
        <v>8950</v>
      </c>
      <c r="BI38" s="209">
        <v>8550</v>
      </c>
      <c r="BJ38" s="209">
        <v>8950</v>
      </c>
      <c r="BK38" s="209">
        <v>8950</v>
      </c>
      <c r="BL38" s="209">
        <v>8550</v>
      </c>
      <c r="BM38" s="209">
        <v>8950</v>
      </c>
      <c r="BN38" s="209">
        <v>8950</v>
      </c>
      <c r="BO38" s="209">
        <v>8550</v>
      </c>
      <c r="BP38" s="209">
        <v>8950</v>
      </c>
      <c r="BQ38" s="209">
        <v>8950</v>
      </c>
      <c r="BR38" s="213">
        <v>-100</v>
      </c>
      <c r="BS38" s="213">
        <v>-100</v>
      </c>
      <c r="BT38" s="213">
        <v>-100</v>
      </c>
      <c r="BU38" s="6">
        <f t="shared" ref="BU38:BU86" si="7">(BO38+2791)-100</f>
        <v>11241</v>
      </c>
      <c r="BV38" s="6">
        <f t="shared" ref="BV38:BV86" si="8">(BP38+2791)-100</f>
        <v>11641</v>
      </c>
      <c r="BW38" s="6">
        <f t="shared" ref="BW38:BW86" si="9">(BQ38+2791)-100</f>
        <v>11641</v>
      </c>
      <c r="CH38" s="1"/>
      <c r="CI38" s="1"/>
    </row>
    <row r="39" spans="1:99" ht="14.5" x14ac:dyDescent="0.35">
      <c r="A39" s="3" t="s">
        <v>92</v>
      </c>
      <c r="B39" s="3"/>
      <c r="C39" s="53" t="s">
        <v>93</v>
      </c>
      <c r="D39" s="209">
        <v>7275</v>
      </c>
      <c r="E39" s="209">
        <v>7650</v>
      </c>
      <c r="F39" s="209">
        <v>7650</v>
      </c>
      <c r="G39" s="209">
        <v>7275</v>
      </c>
      <c r="H39" s="209">
        <v>7650</v>
      </c>
      <c r="I39" s="209">
        <v>7650</v>
      </c>
      <c r="J39" s="209">
        <v>7275</v>
      </c>
      <c r="K39" s="209">
        <v>7650</v>
      </c>
      <c r="L39" s="209">
        <v>7650</v>
      </c>
      <c r="M39" s="209">
        <v>7275</v>
      </c>
      <c r="N39" s="209">
        <v>7650</v>
      </c>
      <c r="O39" s="209">
        <v>7650</v>
      </c>
      <c r="P39" s="209">
        <v>7275</v>
      </c>
      <c r="Q39" s="209">
        <v>7650</v>
      </c>
      <c r="R39" s="209">
        <v>7650</v>
      </c>
      <c r="S39" s="209">
        <v>7275</v>
      </c>
      <c r="T39" s="209">
        <v>7650</v>
      </c>
      <c r="U39" s="209">
        <v>7650</v>
      </c>
      <c r="V39" s="209">
        <v>7275</v>
      </c>
      <c r="W39" s="209">
        <v>7650</v>
      </c>
      <c r="X39" s="209">
        <v>7650</v>
      </c>
      <c r="Y39" s="209">
        <v>7275</v>
      </c>
      <c r="Z39" s="209">
        <v>7650</v>
      </c>
      <c r="AA39" s="209">
        <v>7650</v>
      </c>
      <c r="AB39" s="209">
        <v>7275</v>
      </c>
      <c r="AC39" s="209">
        <v>7650</v>
      </c>
      <c r="AD39" s="209">
        <v>7650</v>
      </c>
      <c r="AE39" s="209">
        <v>7275</v>
      </c>
      <c r="AF39" s="209">
        <v>7650</v>
      </c>
      <c r="AG39" s="209">
        <v>7650</v>
      </c>
      <c r="AH39" s="209">
        <v>7075</v>
      </c>
      <c r="AI39" s="209">
        <v>7450</v>
      </c>
      <c r="AJ39" s="209">
        <v>7450</v>
      </c>
      <c r="AK39" s="209">
        <v>7575</v>
      </c>
      <c r="AL39" s="209">
        <v>8050</v>
      </c>
      <c r="AM39" s="209">
        <v>8050</v>
      </c>
      <c r="AN39" s="213">
        <v>1300</v>
      </c>
      <c r="AO39" s="213">
        <v>1400</v>
      </c>
      <c r="AP39" s="213">
        <v>1400</v>
      </c>
      <c r="AQ39" s="209">
        <v>7915</v>
      </c>
      <c r="AR39" s="209">
        <v>8615</v>
      </c>
      <c r="AS39" s="209">
        <v>8615</v>
      </c>
      <c r="AT39" s="209">
        <v>7400</v>
      </c>
      <c r="AU39" s="209">
        <v>7850</v>
      </c>
      <c r="AV39" s="209">
        <v>7850</v>
      </c>
      <c r="AW39" s="209">
        <v>8275</v>
      </c>
      <c r="AX39" s="209">
        <v>8650</v>
      </c>
      <c r="AY39" s="209">
        <v>8650</v>
      </c>
      <c r="AZ39" s="209">
        <v>7875</v>
      </c>
      <c r="BA39" s="209">
        <v>8475</v>
      </c>
      <c r="BB39" s="209">
        <v>8475</v>
      </c>
      <c r="BC39" s="209">
        <v>8025</v>
      </c>
      <c r="BD39" s="209">
        <v>8525</v>
      </c>
      <c r="BE39" s="209">
        <v>8525</v>
      </c>
      <c r="BF39" s="209">
        <v>8100</v>
      </c>
      <c r="BG39" s="209">
        <v>8850</v>
      </c>
      <c r="BH39" s="209">
        <v>8850</v>
      </c>
      <c r="BI39" s="209">
        <v>8475</v>
      </c>
      <c r="BJ39" s="209">
        <v>8850</v>
      </c>
      <c r="BK39" s="209">
        <v>8850</v>
      </c>
      <c r="BL39" s="209">
        <v>8475</v>
      </c>
      <c r="BM39" s="209">
        <v>8850</v>
      </c>
      <c r="BN39" s="209">
        <v>8850</v>
      </c>
      <c r="BO39" s="209">
        <v>8475</v>
      </c>
      <c r="BP39" s="209">
        <v>8850</v>
      </c>
      <c r="BQ39" s="209">
        <v>8850</v>
      </c>
      <c r="BR39" s="213">
        <v>-100</v>
      </c>
      <c r="BS39" s="213">
        <v>-100</v>
      </c>
      <c r="BT39" s="213">
        <v>-100</v>
      </c>
      <c r="BU39" s="6">
        <f t="shared" si="7"/>
        <v>11166</v>
      </c>
      <c r="BV39" s="6">
        <f t="shared" si="8"/>
        <v>11541</v>
      </c>
      <c r="BW39" s="6">
        <f t="shared" si="9"/>
        <v>11541</v>
      </c>
      <c r="CH39" s="1"/>
      <c r="CI39" s="1"/>
    </row>
    <row r="40" spans="1:99" ht="14.5" x14ac:dyDescent="0.35">
      <c r="A40" s="80" t="s">
        <v>94</v>
      </c>
      <c r="B40" s="80"/>
      <c r="C40" s="81" t="s">
        <v>95</v>
      </c>
      <c r="D40" s="209">
        <v>7300</v>
      </c>
      <c r="E40" s="209">
        <v>7700</v>
      </c>
      <c r="F40" s="209">
        <v>7700</v>
      </c>
      <c r="G40" s="209">
        <v>7300</v>
      </c>
      <c r="H40" s="209">
        <v>7700</v>
      </c>
      <c r="I40" s="209">
        <v>7700</v>
      </c>
      <c r="J40" s="209">
        <v>7300</v>
      </c>
      <c r="K40" s="209">
        <v>7700</v>
      </c>
      <c r="L40" s="209">
        <v>7700</v>
      </c>
      <c r="M40" s="209">
        <v>7300</v>
      </c>
      <c r="N40" s="209">
        <v>7700</v>
      </c>
      <c r="O40" s="209">
        <v>7700</v>
      </c>
      <c r="P40" s="209">
        <v>7300</v>
      </c>
      <c r="Q40" s="209">
        <v>7700</v>
      </c>
      <c r="R40" s="209">
        <v>7700</v>
      </c>
      <c r="S40" s="209">
        <v>7300</v>
      </c>
      <c r="T40" s="209">
        <v>7700</v>
      </c>
      <c r="U40" s="209">
        <v>7700</v>
      </c>
      <c r="V40" s="209">
        <v>7300</v>
      </c>
      <c r="W40" s="209">
        <v>7700</v>
      </c>
      <c r="X40" s="209">
        <v>7700</v>
      </c>
      <c r="Y40" s="209">
        <v>7300</v>
      </c>
      <c r="Z40" s="209">
        <v>7700</v>
      </c>
      <c r="AA40" s="209">
        <v>7700</v>
      </c>
      <c r="AB40" s="209">
        <v>7300</v>
      </c>
      <c r="AC40" s="209">
        <v>7700</v>
      </c>
      <c r="AD40" s="209">
        <v>7700</v>
      </c>
      <c r="AE40" s="209">
        <v>7300</v>
      </c>
      <c r="AF40" s="209">
        <v>7700</v>
      </c>
      <c r="AG40" s="209">
        <v>7700</v>
      </c>
      <c r="AH40" s="209">
        <v>7100</v>
      </c>
      <c r="AI40" s="209">
        <v>7500</v>
      </c>
      <c r="AJ40" s="209">
        <v>7500</v>
      </c>
      <c r="AK40" s="209">
        <v>7600</v>
      </c>
      <c r="AL40" s="209">
        <v>8100</v>
      </c>
      <c r="AM40" s="209">
        <v>8100</v>
      </c>
      <c r="AN40" s="213">
        <v>1300</v>
      </c>
      <c r="AO40" s="213">
        <v>1400</v>
      </c>
      <c r="AP40" s="213">
        <v>1400</v>
      </c>
      <c r="AQ40" s="209">
        <v>7940</v>
      </c>
      <c r="AR40" s="209">
        <v>8665</v>
      </c>
      <c r="AS40" s="209">
        <v>8665</v>
      </c>
      <c r="AT40" s="209">
        <v>7425</v>
      </c>
      <c r="AU40" s="209">
        <v>7900</v>
      </c>
      <c r="AV40" s="209">
        <v>7900</v>
      </c>
      <c r="AW40" s="209">
        <v>8300</v>
      </c>
      <c r="AX40" s="209">
        <v>8700</v>
      </c>
      <c r="AY40" s="209">
        <v>8700</v>
      </c>
      <c r="AZ40" s="209">
        <v>7900</v>
      </c>
      <c r="BA40" s="209">
        <v>8525</v>
      </c>
      <c r="BB40" s="209">
        <v>8525</v>
      </c>
      <c r="BC40" s="209">
        <v>8050</v>
      </c>
      <c r="BD40" s="209">
        <v>8575</v>
      </c>
      <c r="BE40" s="209">
        <v>8575</v>
      </c>
      <c r="BF40" s="209">
        <v>8125</v>
      </c>
      <c r="BG40" s="209">
        <v>8900</v>
      </c>
      <c r="BH40" s="209">
        <v>8900</v>
      </c>
      <c r="BI40" s="209">
        <v>8500</v>
      </c>
      <c r="BJ40" s="209">
        <v>8900</v>
      </c>
      <c r="BK40" s="209">
        <v>8900</v>
      </c>
      <c r="BL40" s="209">
        <v>8500</v>
      </c>
      <c r="BM40" s="209">
        <v>8900</v>
      </c>
      <c r="BN40" s="209">
        <v>8900</v>
      </c>
      <c r="BO40" s="209">
        <v>8500</v>
      </c>
      <c r="BP40" s="209">
        <v>8900</v>
      </c>
      <c r="BQ40" s="209">
        <v>8900</v>
      </c>
      <c r="BR40" s="213">
        <v>-100</v>
      </c>
      <c r="BS40" s="213">
        <v>-100</v>
      </c>
      <c r="BT40" s="213">
        <v>-100</v>
      </c>
      <c r="BU40" s="6">
        <f t="shared" si="7"/>
        <v>11191</v>
      </c>
      <c r="BV40" s="6">
        <f t="shared" si="8"/>
        <v>11591</v>
      </c>
      <c r="BW40" s="6">
        <f t="shared" si="9"/>
        <v>11591</v>
      </c>
      <c r="CH40" s="1"/>
      <c r="CI40" s="1"/>
    </row>
    <row r="41" spans="1:99" ht="14.5" x14ac:dyDescent="0.35">
      <c r="A41" s="80" t="s">
        <v>96</v>
      </c>
      <c r="B41" s="80"/>
      <c r="C41" s="81" t="s">
        <v>97</v>
      </c>
      <c r="D41" s="209">
        <v>7300</v>
      </c>
      <c r="E41" s="209">
        <v>7700</v>
      </c>
      <c r="F41" s="209">
        <v>7700</v>
      </c>
      <c r="G41" s="209">
        <v>7300</v>
      </c>
      <c r="H41" s="209">
        <v>7700</v>
      </c>
      <c r="I41" s="209">
        <v>7700</v>
      </c>
      <c r="J41" s="209">
        <v>7300</v>
      </c>
      <c r="K41" s="209">
        <v>7700</v>
      </c>
      <c r="L41" s="209">
        <v>7700</v>
      </c>
      <c r="M41" s="209">
        <v>7300</v>
      </c>
      <c r="N41" s="209">
        <v>7700</v>
      </c>
      <c r="O41" s="209">
        <v>7700</v>
      </c>
      <c r="P41" s="209">
        <v>7300</v>
      </c>
      <c r="Q41" s="209">
        <v>7700</v>
      </c>
      <c r="R41" s="209">
        <v>7700</v>
      </c>
      <c r="S41" s="209">
        <v>7300</v>
      </c>
      <c r="T41" s="209">
        <v>7700</v>
      </c>
      <c r="U41" s="209">
        <v>7700</v>
      </c>
      <c r="V41" s="209">
        <v>7300</v>
      </c>
      <c r="W41" s="209">
        <v>7700</v>
      </c>
      <c r="X41" s="209">
        <v>7700</v>
      </c>
      <c r="Y41" s="209">
        <v>7300</v>
      </c>
      <c r="Z41" s="209">
        <v>7700</v>
      </c>
      <c r="AA41" s="209">
        <v>7700</v>
      </c>
      <c r="AB41" s="209">
        <v>7300</v>
      </c>
      <c r="AC41" s="209">
        <v>7700</v>
      </c>
      <c r="AD41" s="209">
        <v>7700</v>
      </c>
      <c r="AE41" s="209">
        <v>7300</v>
      </c>
      <c r="AF41" s="209">
        <v>7700</v>
      </c>
      <c r="AG41" s="209">
        <v>7700</v>
      </c>
      <c r="AH41" s="209">
        <v>7100</v>
      </c>
      <c r="AI41" s="209">
        <v>7500</v>
      </c>
      <c r="AJ41" s="209">
        <v>7500</v>
      </c>
      <c r="AK41" s="209">
        <v>7600</v>
      </c>
      <c r="AL41" s="209">
        <v>8100</v>
      </c>
      <c r="AM41" s="209">
        <v>8100</v>
      </c>
      <c r="AN41" s="213">
        <v>1300</v>
      </c>
      <c r="AO41" s="213">
        <v>1400</v>
      </c>
      <c r="AP41" s="213">
        <v>1400</v>
      </c>
      <c r="AQ41" s="209">
        <v>7940</v>
      </c>
      <c r="AR41" s="209">
        <v>8665</v>
      </c>
      <c r="AS41" s="209">
        <v>8665</v>
      </c>
      <c r="AT41" s="209">
        <v>7425</v>
      </c>
      <c r="AU41" s="209">
        <v>7900</v>
      </c>
      <c r="AV41" s="209">
        <v>7900</v>
      </c>
      <c r="AW41" s="209">
        <v>8300</v>
      </c>
      <c r="AX41" s="209">
        <v>8700</v>
      </c>
      <c r="AY41" s="209">
        <v>8700</v>
      </c>
      <c r="AZ41" s="209">
        <v>7900</v>
      </c>
      <c r="BA41" s="209">
        <v>8525</v>
      </c>
      <c r="BB41" s="209">
        <v>8525</v>
      </c>
      <c r="BC41" s="209">
        <v>8050</v>
      </c>
      <c r="BD41" s="209">
        <v>8575</v>
      </c>
      <c r="BE41" s="209">
        <v>8575</v>
      </c>
      <c r="BF41" s="209">
        <v>8125</v>
      </c>
      <c r="BG41" s="209">
        <v>8900</v>
      </c>
      <c r="BH41" s="209">
        <v>8900</v>
      </c>
      <c r="BI41" s="209">
        <v>8500</v>
      </c>
      <c r="BJ41" s="209">
        <v>8900</v>
      </c>
      <c r="BK41" s="209">
        <v>8900</v>
      </c>
      <c r="BL41" s="209">
        <v>8500</v>
      </c>
      <c r="BM41" s="209">
        <v>8900</v>
      </c>
      <c r="BN41" s="209">
        <v>8900</v>
      </c>
      <c r="BO41" s="209">
        <v>8500</v>
      </c>
      <c r="BP41" s="209">
        <v>8900</v>
      </c>
      <c r="BQ41" s="209">
        <v>8900</v>
      </c>
      <c r="BR41" s="213">
        <v>-100</v>
      </c>
      <c r="BS41" s="213">
        <v>-100</v>
      </c>
      <c r="BT41" s="213">
        <v>-100</v>
      </c>
      <c r="BU41" s="6">
        <f t="shared" si="7"/>
        <v>11191</v>
      </c>
      <c r="BV41" s="6">
        <f t="shared" si="8"/>
        <v>11591</v>
      </c>
      <c r="BW41" s="6">
        <f t="shared" si="9"/>
        <v>11591</v>
      </c>
      <c r="CH41" s="1"/>
      <c r="CI41" s="1"/>
    </row>
    <row r="42" spans="1:99" ht="14.5" x14ac:dyDescent="0.35">
      <c r="A42" s="80" t="s">
        <v>98</v>
      </c>
      <c r="B42" s="80"/>
      <c r="C42" s="81" t="s">
        <v>99</v>
      </c>
      <c r="D42" s="209">
        <v>7300</v>
      </c>
      <c r="E42" s="209">
        <v>7700</v>
      </c>
      <c r="F42" s="209">
        <v>7700</v>
      </c>
      <c r="G42" s="209">
        <v>7300</v>
      </c>
      <c r="H42" s="209">
        <v>7700</v>
      </c>
      <c r="I42" s="209">
        <v>7700</v>
      </c>
      <c r="J42" s="209">
        <v>7300</v>
      </c>
      <c r="K42" s="209">
        <v>7700</v>
      </c>
      <c r="L42" s="209">
        <v>7700</v>
      </c>
      <c r="M42" s="209">
        <v>7300</v>
      </c>
      <c r="N42" s="209">
        <v>7700</v>
      </c>
      <c r="O42" s="209">
        <v>7700</v>
      </c>
      <c r="P42" s="209">
        <v>7300</v>
      </c>
      <c r="Q42" s="209">
        <v>7700</v>
      </c>
      <c r="R42" s="209">
        <v>7700</v>
      </c>
      <c r="S42" s="209">
        <v>7300</v>
      </c>
      <c r="T42" s="209">
        <v>7700</v>
      </c>
      <c r="U42" s="209">
        <v>7700</v>
      </c>
      <c r="V42" s="209">
        <v>7300</v>
      </c>
      <c r="W42" s="209">
        <v>7700</v>
      </c>
      <c r="X42" s="209">
        <v>7700</v>
      </c>
      <c r="Y42" s="209">
        <v>7300</v>
      </c>
      <c r="Z42" s="209">
        <v>7700</v>
      </c>
      <c r="AA42" s="209">
        <v>7700</v>
      </c>
      <c r="AB42" s="209">
        <v>7300</v>
      </c>
      <c r="AC42" s="209">
        <v>7700</v>
      </c>
      <c r="AD42" s="209">
        <v>7700</v>
      </c>
      <c r="AE42" s="209">
        <v>7300</v>
      </c>
      <c r="AF42" s="209">
        <v>7700</v>
      </c>
      <c r="AG42" s="209">
        <v>7700</v>
      </c>
      <c r="AH42" s="209">
        <v>7100</v>
      </c>
      <c r="AI42" s="209">
        <v>7500</v>
      </c>
      <c r="AJ42" s="209">
        <v>7500</v>
      </c>
      <c r="AK42" s="209">
        <v>7600</v>
      </c>
      <c r="AL42" s="209">
        <v>8100</v>
      </c>
      <c r="AM42" s="209">
        <v>8100</v>
      </c>
      <c r="AN42" s="213">
        <v>1300</v>
      </c>
      <c r="AO42" s="213">
        <v>1400</v>
      </c>
      <c r="AP42" s="213">
        <v>1400</v>
      </c>
      <c r="AQ42" s="209">
        <v>7940</v>
      </c>
      <c r="AR42" s="209">
        <v>8665</v>
      </c>
      <c r="AS42" s="209">
        <v>8665</v>
      </c>
      <c r="AT42" s="209">
        <v>7425</v>
      </c>
      <c r="AU42" s="209">
        <v>7900</v>
      </c>
      <c r="AV42" s="209">
        <v>7900</v>
      </c>
      <c r="AW42" s="209">
        <v>8300</v>
      </c>
      <c r="AX42" s="209">
        <v>8700</v>
      </c>
      <c r="AY42" s="209">
        <v>8700</v>
      </c>
      <c r="AZ42" s="209">
        <v>7900</v>
      </c>
      <c r="BA42" s="209">
        <v>8525</v>
      </c>
      <c r="BB42" s="209">
        <v>8525</v>
      </c>
      <c r="BC42" s="209">
        <v>8050</v>
      </c>
      <c r="BD42" s="209">
        <v>8575</v>
      </c>
      <c r="BE42" s="209">
        <v>8575</v>
      </c>
      <c r="BF42" s="209">
        <v>8125</v>
      </c>
      <c r="BG42" s="209">
        <v>8900</v>
      </c>
      <c r="BH42" s="209">
        <v>8900</v>
      </c>
      <c r="BI42" s="209">
        <v>8500</v>
      </c>
      <c r="BJ42" s="209">
        <v>8900</v>
      </c>
      <c r="BK42" s="209">
        <v>8900</v>
      </c>
      <c r="BL42" s="209">
        <v>8500</v>
      </c>
      <c r="BM42" s="209">
        <v>8900</v>
      </c>
      <c r="BN42" s="209">
        <v>8900</v>
      </c>
      <c r="BO42" s="209">
        <v>8500</v>
      </c>
      <c r="BP42" s="209">
        <v>8900</v>
      </c>
      <c r="BQ42" s="209">
        <v>8900</v>
      </c>
      <c r="BR42" s="213">
        <v>-100</v>
      </c>
      <c r="BS42" s="213">
        <v>-100</v>
      </c>
      <c r="BT42" s="213">
        <v>-100</v>
      </c>
      <c r="BU42" s="6">
        <f t="shared" si="7"/>
        <v>11191</v>
      </c>
      <c r="BV42" s="6">
        <f t="shared" si="8"/>
        <v>11591</v>
      </c>
      <c r="BW42" s="6">
        <f t="shared" si="9"/>
        <v>11591</v>
      </c>
      <c r="CH42" s="1"/>
      <c r="CI42" s="1"/>
    </row>
    <row r="43" spans="1:99" ht="14.5" x14ac:dyDescent="0.35">
      <c r="A43" s="80" t="s">
        <v>100</v>
      </c>
      <c r="B43" s="80"/>
      <c r="C43" s="81" t="s">
        <v>101</v>
      </c>
      <c r="D43" s="209">
        <v>7300</v>
      </c>
      <c r="E43" s="209">
        <v>7700</v>
      </c>
      <c r="F43" s="209">
        <v>7700</v>
      </c>
      <c r="G43" s="209">
        <v>7300</v>
      </c>
      <c r="H43" s="209">
        <v>7700</v>
      </c>
      <c r="I43" s="209">
        <v>7700</v>
      </c>
      <c r="J43" s="209">
        <v>7300</v>
      </c>
      <c r="K43" s="209">
        <v>7700</v>
      </c>
      <c r="L43" s="209">
        <v>7700</v>
      </c>
      <c r="M43" s="209">
        <v>7300</v>
      </c>
      <c r="N43" s="209">
        <v>7700</v>
      </c>
      <c r="O43" s="209">
        <v>7700</v>
      </c>
      <c r="P43" s="209">
        <v>7300</v>
      </c>
      <c r="Q43" s="209">
        <v>7700</v>
      </c>
      <c r="R43" s="209">
        <v>7700</v>
      </c>
      <c r="S43" s="209">
        <v>7300</v>
      </c>
      <c r="T43" s="209">
        <v>7700</v>
      </c>
      <c r="U43" s="209">
        <v>7700</v>
      </c>
      <c r="V43" s="209">
        <v>7300</v>
      </c>
      <c r="W43" s="209">
        <v>7700</v>
      </c>
      <c r="X43" s="209">
        <v>7700</v>
      </c>
      <c r="Y43" s="209">
        <v>7300</v>
      </c>
      <c r="Z43" s="209">
        <v>7700</v>
      </c>
      <c r="AA43" s="209">
        <v>7700</v>
      </c>
      <c r="AB43" s="209">
        <v>7300</v>
      </c>
      <c r="AC43" s="209">
        <v>7700</v>
      </c>
      <c r="AD43" s="209">
        <v>7700</v>
      </c>
      <c r="AE43" s="209">
        <v>7300</v>
      </c>
      <c r="AF43" s="209">
        <v>7700</v>
      </c>
      <c r="AG43" s="209">
        <v>7700</v>
      </c>
      <c r="AH43" s="209">
        <v>7100</v>
      </c>
      <c r="AI43" s="209">
        <v>7500</v>
      </c>
      <c r="AJ43" s="209">
        <v>7500</v>
      </c>
      <c r="AK43" s="209">
        <v>7600</v>
      </c>
      <c r="AL43" s="209">
        <v>8100</v>
      </c>
      <c r="AM43" s="209">
        <v>8100</v>
      </c>
      <c r="AN43" s="213">
        <v>1300</v>
      </c>
      <c r="AO43" s="213">
        <v>1400</v>
      </c>
      <c r="AP43" s="213">
        <v>1400</v>
      </c>
      <c r="AQ43" s="209">
        <v>7940</v>
      </c>
      <c r="AR43" s="209">
        <v>8665</v>
      </c>
      <c r="AS43" s="209">
        <v>8665</v>
      </c>
      <c r="AT43" s="209">
        <v>7425</v>
      </c>
      <c r="AU43" s="209">
        <v>7900</v>
      </c>
      <c r="AV43" s="209">
        <v>7900</v>
      </c>
      <c r="AW43" s="209">
        <v>8300</v>
      </c>
      <c r="AX43" s="209">
        <v>8700</v>
      </c>
      <c r="AY43" s="209">
        <v>8700</v>
      </c>
      <c r="AZ43" s="209">
        <v>7900</v>
      </c>
      <c r="BA43" s="209">
        <v>8525</v>
      </c>
      <c r="BB43" s="209">
        <v>8525</v>
      </c>
      <c r="BC43" s="209">
        <v>8050</v>
      </c>
      <c r="BD43" s="209">
        <v>8575</v>
      </c>
      <c r="BE43" s="209">
        <v>8575</v>
      </c>
      <c r="BF43" s="209">
        <v>8125</v>
      </c>
      <c r="BG43" s="209">
        <v>8900</v>
      </c>
      <c r="BH43" s="209">
        <v>8900</v>
      </c>
      <c r="BI43" s="209">
        <v>8500</v>
      </c>
      <c r="BJ43" s="209">
        <v>8900</v>
      </c>
      <c r="BK43" s="209">
        <v>8900</v>
      </c>
      <c r="BL43" s="209">
        <v>8500</v>
      </c>
      <c r="BM43" s="209">
        <v>8900</v>
      </c>
      <c r="BN43" s="209">
        <v>8900</v>
      </c>
      <c r="BO43" s="209">
        <v>8500</v>
      </c>
      <c r="BP43" s="209">
        <v>8900</v>
      </c>
      <c r="BQ43" s="209">
        <v>8900</v>
      </c>
      <c r="BR43" s="213">
        <v>-100</v>
      </c>
      <c r="BS43" s="213">
        <v>-100</v>
      </c>
      <c r="BT43" s="213">
        <v>-100</v>
      </c>
      <c r="BU43" s="6">
        <f t="shared" si="7"/>
        <v>11191</v>
      </c>
      <c r="BV43" s="6">
        <f t="shared" si="8"/>
        <v>11591</v>
      </c>
      <c r="BW43" s="6">
        <f t="shared" si="9"/>
        <v>11591</v>
      </c>
      <c r="CH43" s="1"/>
      <c r="CI43" s="1"/>
    </row>
    <row r="44" spans="1:99" ht="14.5" x14ac:dyDescent="0.35">
      <c r="A44" s="80" t="s">
        <v>102</v>
      </c>
      <c r="B44" s="80"/>
      <c r="C44" s="81" t="s">
        <v>103</v>
      </c>
      <c r="D44" s="209">
        <v>7350</v>
      </c>
      <c r="E44" s="209">
        <v>7800</v>
      </c>
      <c r="F44" s="209">
        <v>7800</v>
      </c>
      <c r="G44" s="209">
        <v>7350</v>
      </c>
      <c r="H44" s="209">
        <v>7800</v>
      </c>
      <c r="I44" s="209">
        <v>7800</v>
      </c>
      <c r="J44" s="209">
        <v>7350</v>
      </c>
      <c r="K44" s="209">
        <v>7800</v>
      </c>
      <c r="L44" s="209">
        <v>7800</v>
      </c>
      <c r="M44" s="209">
        <v>7350</v>
      </c>
      <c r="N44" s="209">
        <v>7800</v>
      </c>
      <c r="O44" s="209">
        <v>7800</v>
      </c>
      <c r="P44" s="209">
        <v>7350</v>
      </c>
      <c r="Q44" s="209">
        <v>7800</v>
      </c>
      <c r="R44" s="209">
        <v>7800</v>
      </c>
      <c r="S44" s="209">
        <v>7350</v>
      </c>
      <c r="T44" s="209">
        <v>7800</v>
      </c>
      <c r="U44" s="209">
        <v>7800</v>
      </c>
      <c r="V44" s="209">
        <v>7350</v>
      </c>
      <c r="W44" s="209">
        <v>7800</v>
      </c>
      <c r="X44" s="209">
        <v>7800</v>
      </c>
      <c r="Y44" s="209">
        <v>7350</v>
      </c>
      <c r="Z44" s="209">
        <v>7800</v>
      </c>
      <c r="AA44" s="209">
        <v>7800</v>
      </c>
      <c r="AB44" s="209">
        <v>7350</v>
      </c>
      <c r="AC44" s="209">
        <v>7800</v>
      </c>
      <c r="AD44" s="209">
        <v>7800</v>
      </c>
      <c r="AE44" s="209">
        <v>7350</v>
      </c>
      <c r="AF44" s="209">
        <v>7800</v>
      </c>
      <c r="AG44" s="209">
        <v>7800</v>
      </c>
      <c r="AH44" s="209">
        <v>7150</v>
      </c>
      <c r="AI44" s="209">
        <v>7600</v>
      </c>
      <c r="AJ44" s="209">
        <v>7600</v>
      </c>
      <c r="AK44" s="209">
        <v>7650</v>
      </c>
      <c r="AL44" s="209">
        <v>8200</v>
      </c>
      <c r="AM44" s="209">
        <v>8200</v>
      </c>
      <c r="AN44" s="213">
        <v>1300</v>
      </c>
      <c r="AO44" s="213">
        <v>1400</v>
      </c>
      <c r="AP44" s="213">
        <v>1400</v>
      </c>
      <c r="AQ44" s="209">
        <v>7990</v>
      </c>
      <c r="AR44" s="209">
        <v>8765</v>
      </c>
      <c r="AS44" s="209">
        <v>8765</v>
      </c>
      <c r="AT44" s="209">
        <v>7475</v>
      </c>
      <c r="AU44" s="209">
        <v>8000</v>
      </c>
      <c r="AV44" s="209">
        <v>8000</v>
      </c>
      <c r="AW44" s="209">
        <v>8350</v>
      </c>
      <c r="AX44" s="209">
        <v>8800</v>
      </c>
      <c r="AY44" s="209">
        <v>8800</v>
      </c>
      <c r="AZ44" s="209">
        <v>7950</v>
      </c>
      <c r="BA44" s="209">
        <v>8625</v>
      </c>
      <c r="BB44" s="209">
        <v>8625</v>
      </c>
      <c r="BC44" s="209">
        <v>8100</v>
      </c>
      <c r="BD44" s="209">
        <v>8675</v>
      </c>
      <c r="BE44" s="209">
        <v>8675</v>
      </c>
      <c r="BF44" s="209">
        <v>8175</v>
      </c>
      <c r="BG44" s="209">
        <v>9000</v>
      </c>
      <c r="BH44" s="209">
        <v>9000</v>
      </c>
      <c r="BI44" s="209">
        <v>8550</v>
      </c>
      <c r="BJ44" s="209">
        <v>9000</v>
      </c>
      <c r="BK44" s="209">
        <v>9000</v>
      </c>
      <c r="BL44" s="209">
        <v>8550</v>
      </c>
      <c r="BM44" s="209">
        <v>9000</v>
      </c>
      <c r="BN44" s="209">
        <v>9000</v>
      </c>
      <c r="BO44" s="209">
        <v>8550</v>
      </c>
      <c r="BP44" s="209">
        <v>9000</v>
      </c>
      <c r="BQ44" s="209">
        <v>9000</v>
      </c>
      <c r="BR44" s="213">
        <v>-100</v>
      </c>
      <c r="BS44" s="213">
        <v>-100</v>
      </c>
      <c r="BT44" s="213">
        <v>-100</v>
      </c>
      <c r="BU44" s="6">
        <f t="shared" si="7"/>
        <v>11241</v>
      </c>
      <c r="BV44" s="6">
        <f t="shared" si="8"/>
        <v>11691</v>
      </c>
      <c r="BW44" s="6">
        <f t="shared" si="9"/>
        <v>11691</v>
      </c>
      <c r="CH44" s="1"/>
      <c r="CI44" s="1"/>
    </row>
    <row r="45" spans="1:99" ht="14.5" x14ac:dyDescent="0.35">
      <c r="A45" s="80" t="s">
        <v>104</v>
      </c>
      <c r="B45" s="80"/>
      <c r="C45" s="81" t="s">
        <v>105</v>
      </c>
      <c r="D45" s="209">
        <v>7300</v>
      </c>
      <c r="E45" s="209">
        <v>7700</v>
      </c>
      <c r="F45" s="209">
        <v>7700</v>
      </c>
      <c r="G45" s="209">
        <v>7300</v>
      </c>
      <c r="H45" s="209">
        <v>7700</v>
      </c>
      <c r="I45" s="209">
        <v>7700</v>
      </c>
      <c r="J45" s="209">
        <v>7300</v>
      </c>
      <c r="K45" s="209">
        <v>7700</v>
      </c>
      <c r="L45" s="209">
        <v>7700</v>
      </c>
      <c r="M45" s="209">
        <v>7300</v>
      </c>
      <c r="N45" s="209">
        <v>7700</v>
      </c>
      <c r="O45" s="209">
        <v>7700</v>
      </c>
      <c r="P45" s="209">
        <v>7300</v>
      </c>
      <c r="Q45" s="209">
        <v>7700</v>
      </c>
      <c r="R45" s="209">
        <v>7700</v>
      </c>
      <c r="S45" s="209">
        <v>7300</v>
      </c>
      <c r="T45" s="209">
        <v>7700</v>
      </c>
      <c r="U45" s="209">
        <v>7700</v>
      </c>
      <c r="V45" s="209">
        <v>7300</v>
      </c>
      <c r="W45" s="209">
        <v>7700</v>
      </c>
      <c r="X45" s="209">
        <v>7700</v>
      </c>
      <c r="Y45" s="209">
        <v>7300</v>
      </c>
      <c r="Z45" s="209">
        <v>7700</v>
      </c>
      <c r="AA45" s="209">
        <v>7700</v>
      </c>
      <c r="AB45" s="209">
        <v>7300</v>
      </c>
      <c r="AC45" s="209">
        <v>7700</v>
      </c>
      <c r="AD45" s="209">
        <v>7700</v>
      </c>
      <c r="AE45" s="209">
        <v>7300</v>
      </c>
      <c r="AF45" s="209">
        <v>7700</v>
      </c>
      <c r="AG45" s="209">
        <v>7700</v>
      </c>
      <c r="AH45" s="209">
        <v>7100</v>
      </c>
      <c r="AI45" s="209">
        <v>7500</v>
      </c>
      <c r="AJ45" s="209">
        <v>7500</v>
      </c>
      <c r="AK45" s="209">
        <v>7600</v>
      </c>
      <c r="AL45" s="209">
        <v>8100</v>
      </c>
      <c r="AM45" s="209">
        <v>8100</v>
      </c>
      <c r="AN45" s="213">
        <v>1300</v>
      </c>
      <c r="AO45" s="213">
        <v>1400</v>
      </c>
      <c r="AP45" s="213">
        <v>1400</v>
      </c>
      <c r="AQ45" s="209">
        <v>7940</v>
      </c>
      <c r="AR45" s="209">
        <v>8665</v>
      </c>
      <c r="AS45" s="209">
        <v>8665</v>
      </c>
      <c r="AT45" s="209">
        <v>7425</v>
      </c>
      <c r="AU45" s="209">
        <v>7900</v>
      </c>
      <c r="AV45" s="209">
        <v>7900</v>
      </c>
      <c r="AW45" s="209">
        <v>8300</v>
      </c>
      <c r="AX45" s="209">
        <v>8700</v>
      </c>
      <c r="AY45" s="209">
        <v>8700</v>
      </c>
      <c r="AZ45" s="209">
        <v>7900</v>
      </c>
      <c r="BA45" s="209">
        <v>8525</v>
      </c>
      <c r="BB45" s="209">
        <v>8525</v>
      </c>
      <c r="BC45" s="209">
        <v>8050</v>
      </c>
      <c r="BD45" s="209">
        <v>8575</v>
      </c>
      <c r="BE45" s="209">
        <v>8575</v>
      </c>
      <c r="BF45" s="209">
        <v>8125</v>
      </c>
      <c r="BG45" s="209">
        <v>8900</v>
      </c>
      <c r="BH45" s="209">
        <v>8900</v>
      </c>
      <c r="BI45" s="209">
        <v>8500</v>
      </c>
      <c r="BJ45" s="209">
        <v>8900</v>
      </c>
      <c r="BK45" s="209">
        <v>8900</v>
      </c>
      <c r="BL45" s="209">
        <v>8500</v>
      </c>
      <c r="BM45" s="209">
        <v>8900</v>
      </c>
      <c r="BN45" s="209">
        <v>8900</v>
      </c>
      <c r="BO45" s="209">
        <v>8500</v>
      </c>
      <c r="BP45" s="209">
        <v>8900</v>
      </c>
      <c r="BQ45" s="209">
        <v>8900</v>
      </c>
      <c r="BR45" s="213">
        <v>-100</v>
      </c>
      <c r="BS45" s="213">
        <v>-100</v>
      </c>
      <c r="BT45" s="213">
        <v>-100</v>
      </c>
      <c r="BU45" s="6">
        <f t="shared" si="7"/>
        <v>11191</v>
      </c>
      <c r="BV45" s="6">
        <f t="shared" si="8"/>
        <v>11591</v>
      </c>
      <c r="BW45" s="6">
        <f t="shared" si="9"/>
        <v>11591</v>
      </c>
      <c r="CH45" s="1"/>
      <c r="CI45" s="1"/>
    </row>
    <row r="46" spans="1:99" ht="14.5" x14ac:dyDescent="0.35">
      <c r="A46" s="80" t="s">
        <v>106</v>
      </c>
      <c r="B46" s="80"/>
      <c r="C46" s="81" t="s">
        <v>107</v>
      </c>
      <c r="D46" s="209">
        <v>7300</v>
      </c>
      <c r="E46" s="209">
        <v>7700</v>
      </c>
      <c r="F46" s="209">
        <v>7700</v>
      </c>
      <c r="G46" s="209">
        <v>7300</v>
      </c>
      <c r="H46" s="209">
        <v>7700</v>
      </c>
      <c r="I46" s="209">
        <v>7700</v>
      </c>
      <c r="J46" s="209">
        <v>7300</v>
      </c>
      <c r="K46" s="209">
        <v>7700</v>
      </c>
      <c r="L46" s="209">
        <v>7700</v>
      </c>
      <c r="M46" s="209">
        <v>7300</v>
      </c>
      <c r="N46" s="209">
        <v>7700</v>
      </c>
      <c r="O46" s="209">
        <v>7700</v>
      </c>
      <c r="P46" s="209">
        <v>7300</v>
      </c>
      <c r="Q46" s="209">
        <v>7700</v>
      </c>
      <c r="R46" s="209">
        <v>7700</v>
      </c>
      <c r="S46" s="209">
        <v>7300</v>
      </c>
      <c r="T46" s="209">
        <v>7700</v>
      </c>
      <c r="U46" s="209">
        <v>7700</v>
      </c>
      <c r="V46" s="209">
        <v>7300</v>
      </c>
      <c r="W46" s="209">
        <v>7700</v>
      </c>
      <c r="X46" s="209">
        <v>7700</v>
      </c>
      <c r="Y46" s="209">
        <v>7300</v>
      </c>
      <c r="Z46" s="209">
        <v>7700</v>
      </c>
      <c r="AA46" s="209">
        <v>7700</v>
      </c>
      <c r="AB46" s="209">
        <v>7300</v>
      </c>
      <c r="AC46" s="209">
        <v>7700</v>
      </c>
      <c r="AD46" s="209">
        <v>7700</v>
      </c>
      <c r="AE46" s="209">
        <v>7300</v>
      </c>
      <c r="AF46" s="209">
        <v>7700</v>
      </c>
      <c r="AG46" s="209">
        <v>7700</v>
      </c>
      <c r="AH46" s="209">
        <v>7100</v>
      </c>
      <c r="AI46" s="209">
        <v>7500</v>
      </c>
      <c r="AJ46" s="209">
        <v>7500</v>
      </c>
      <c r="AK46" s="209">
        <v>7600</v>
      </c>
      <c r="AL46" s="209">
        <v>8100</v>
      </c>
      <c r="AM46" s="209">
        <v>8100</v>
      </c>
      <c r="AN46" s="213">
        <v>1300</v>
      </c>
      <c r="AO46" s="213">
        <v>1400</v>
      </c>
      <c r="AP46" s="213">
        <v>1400</v>
      </c>
      <c r="AQ46" s="209">
        <v>7940</v>
      </c>
      <c r="AR46" s="209">
        <v>8665</v>
      </c>
      <c r="AS46" s="209">
        <v>8665</v>
      </c>
      <c r="AT46" s="209">
        <v>7425</v>
      </c>
      <c r="AU46" s="209">
        <v>7900</v>
      </c>
      <c r="AV46" s="209">
        <v>7900</v>
      </c>
      <c r="AW46" s="209">
        <v>8300</v>
      </c>
      <c r="AX46" s="209">
        <v>8700</v>
      </c>
      <c r="AY46" s="209">
        <v>8700</v>
      </c>
      <c r="AZ46" s="209">
        <v>7900</v>
      </c>
      <c r="BA46" s="209">
        <v>8525</v>
      </c>
      <c r="BB46" s="209">
        <v>8525</v>
      </c>
      <c r="BC46" s="209">
        <v>8050</v>
      </c>
      <c r="BD46" s="209">
        <v>8575</v>
      </c>
      <c r="BE46" s="209">
        <v>8575</v>
      </c>
      <c r="BF46" s="209">
        <v>8125</v>
      </c>
      <c r="BG46" s="209">
        <v>8900</v>
      </c>
      <c r="BH46" s="209">
        <v>8900</v>
      </c>
      <c r="BI46" s="209">
        <v>8500</v>
      </c>
      <c r="BJ46" s="209">
        <v>8900</v>
      </c>
      <c r="BK46" s="209">
        <v>8900</v>
      </c>
      <c r="BL46" s="209">
        <v>8500</v>
      </c>
      <c r="BM46" s="209">
        <v>8900</v>
      </c>
      <c r="BN46" s="209">
        <v>8900</v>
      </c>
      <c r="BO46" s="209">
        <v>8500</v>
      </c>
      <c r="BP46" s="209">
        <v>8900</v>
      </c>
      <c r="BQ46" s="209">
        <v>8900</v>
      </c>
      <c r="BR46" s="213">
        <v>-100</v>
      </c>
      <c r="BS46" s="213">
        <v>-100</v>
      </c>
      <c r="BT46" s="213">
        <v>-100</v>
      </c>
      <c r="BU46" s="6">
        <f t="shared" si="7"/>
        <v>11191</v>
      </c>
      <c r="BV46" s="6">
        <f t="shared" si="8"/>
        <v>11591</v>
      </c>
      <c r="BW46" s="6">
        <f t="shared" si="9"/>
        <v>11591</v>
      </c>
      <c r="CH46" s="1"/>
      <c r="CI46" s="1"/>
    </row>
    <row r="47" spans="1:99" ht="14.5" x14ac:dyDescent="0.35">
      <c r="A47" s="80" t="s">
        <v>108</v>
      </c>
      <c r="B47" s="80"/>
      <c r="C47" s="81" t="s">
        <v>109</v>
      </c>
      <c r="D47" s="209">
        <v>7300</v>
      </c>
      <c r="E47" s="209">
        <v>7700</v>
      </c>
      <c r="F47" s="209">
        <v>7700</v>
      </c>
      <c r="G47" s="209">
        <v>7300</v>
      </c>
      <c r="H47" s="209">
        <v>7700</v>
      </c>
      <c r="I47" s="209">
        <v>7700</v>
      </c>
      <c r="J47" s="209">
        <v>7300</v>
      </c>
      <c r="K47" s="209">
        <v>7700</v>
      </c>
      <c r="L47" s="209">
        <v>7700</v>
      </c>
      <c r="M47" s="209">
        <v>7300</v>
      </c>
      <c r="N47" s="209">
        <v>7700</v>
      </c>
      <c r="O47" s="209">
        <v>7700</v>
      </c>
      <c r="P47" s="209">
        <v>7300</v>
      </c>
      <c r="Q47" s="209">
        <v>7700</v>
      </c>
      <c r="R47" s="209">
        <v>7700</v>
      </c>
      <c r="S47" s="209">
        <v>7300</v>
      </c>
      <c r="T47" s="209">
        <v>7700</v>
      </c>
      <c r="U47" s="209">
        <v>7700</v>
      </c>
      <c r="V47" s="209">
        <v>7300</v>
      </c>
      <c r="W47" s="209">
        <v>7700</v>
      </c>
      <c r="X47" s="209">
        <v>7700</v>
      </c>
      <c r="Y47" s="209">
        <v>7300</v>
      </c>
      <c r="Z47" s="209">
        <v>7700</v>
      </c>
      <c r="AA47" s="209">
        <v>7700</v>
      </c>
      <c r="AB47" s="209">
        <v>7300</v>
      </c>
      <c r="AC47" s="209">
        <v>7700</v>
      </c>
      <c r="AD47" s="209">
        <v>7700</v>
      </c>
      <c r="AE47" s="209">
        <v>7300</v>
      </c>
      <c r="AF47" s="209">
        <v>7700</v>
      </c>
      <c r="AG47" s="209">
        <v>7700</v>
      </c>
      <c r="AH47" s="209">
        <v>7100</v>
      </c>
      <c r="AI47" s="209">
        <v>7500</v>
      </c>
      <c r="AJ47" s="209">
        <v>7500</v>
      </c>
      <c r="AK47" s="209">
        <v>7600</v>
      </c>
      <c r="AL47" s="209">
        <v>8100</v>
      </c>
      <c r="AM47" s="209">
        <v>8100</v>
      </c>
      <c r="AN47" s="213">
        <v>1300</v>
      </c>
      <c r="AO47" s="213">
        <v>1400</v>
      </c>
      <c r="AP47" s="213">
        <v>1400</v>
      </c>
      <c r="AQ47" s="209">
        <v>7940</v>
      </c>
      <c r="AR47" s="209">
        <v>8665</v>
      </c>
      <c r="AS47" s="209">
        <v>8665</v>
      </c>
      <c r="AT47" s="209">
        <v>7425</v>
      </c>
      <c r="AU47" s="209">
        <v>7900</v>
      </c>
      <c r="AV47" s="209">
        <v>7900</v>
      </c>
      <c r="AW47" s="209">
        <v>8300</v>
      </c>
      <c r="AX47" s="209">
        <v>8700</v>
      </c>
      <c r="AY47" s="209">
        <v>8700</v>
      </c>
      <c r="AZ47" s="209">
        <v>7900</v>
      </c>
      <c r="BA47" s="209">
        <v>8525</v>
      </c>
      <c r="BB47" s="209">
        <v>8525</v>
      </c>
      <c r="BC47" s="209">
        <v>8050</v>
      </c>
      <c r="BD47" s="209">
        <v>8575</v>
      </c>
      <c r="BE47" s="209">
        <v>8575</v>
      </c>
      <c r="BF47" s="209">
        <v>8125</v>
      </c>
      <c r="BG47" s="209">
        <v>8900</v>
      </c>
      <c r="BH47" s="209">
        <v>8900</v>
      </c>
      <c r="BI47" s="209">
        <v>8500</v>
      </c>
      <c r="BJ47" s="209">
        <v>8900</v>
      </c>
      <c r="BK47" s="209">
        <v>8900</v>
      </c>
      <c r="BL47" s="209">
        <v>8500</v>
      </c>
      <c r="BM47" s="209">
        <v>8900</v>
      </c>
      <c r="BN47" s="209">
        <v>8900</v>
      </c>
      <c r="BO47" s="209">
        <v>8500</v>
      </c>
      <c r="BP47" s="209">
        <v>8900</v>
      </c>
      <c r="BQ47" s="209">
        <v>8900</v>
      </c>
      <c r="BR47" s="213">
        <v>-100</v>
      </c>
      <c r="BS47" s="213">
        <v>-100</v>
      </c>
      <c r="BT47" s="213">
        <v>-100</v>
      </c>
      <c r="BU47" s="6">
        <f t="shared" si="7"/>
        <v>11191</v>
      </c>
      <c r="BV47" s="6">
        <f t="shared" si="8"/>
        <v>11591</v>
      </c>
      <c r="BW47" s="6">
        <f t="shared" si="9"/>
        <v>11591</v>
      </c>
      <c r="CH47" s="1"/>
      <c r="CI47" s="1"/>
    </row>
    <row r="48" spans="1:99" ht="14.5" x14ac:dyDescent="0.35">
      <c r="A48" s="80" t="s">
        <v>429</v>
      </c>
      <c r="B48" s="80"/>
      <c r="C48" s="81" t="s">
        <v>430</v>
      </c>
      <c r="D48" s="209">
        <v>7300</v>
      </c>
      <c r="E48" s="209">
        <v>7700</v>
      </c>
      <c r="F48" s="209">
        <v>7700</v>
      </c>
      <c r="G48" s="209">
        <v>7300</v>
      </c>
      <c r="H48" s="209">
        <v>7700</v>
      </c>
      <c r="I48" s="209">
        <v>7700</v>
      </c>
      <c r="J48" s="209">
        <v>7300</v>
      </c>
      <c r="K48" s="209">
        <v>7700</v>
      </c>
      <c r="L48" s="209">
        <v>7700</v>
      </c>
      <c r="M48" s="209">
        <v>7300</v>
      </c>
      <c r="N48" s="209">
        <v>7700</v>
      </c>
      <c r="O48" s="209">
        <v>7700</v>
      </c>
      <c r="P48" s="209">
        <v>7300</v>
      </c>
      <c r="Q48" s="209">
        <v>7700</v>
      </c>
      <c r="R48" s="209">
        <v>7700</v>
      </c>
      <c r="S48" s="209">
        <v>7300</v>
      </c>
      <c r="T48" s="209">
        <v>7700</v>
      </c>
      <c r="U48" s="209">
        <v>7700</v>
      </c>
      <c r="V48" s="209">
        <v>7300</v>
      </c>
      <c r="W48" s="209">
        <v>7700</v>
      </c>
      <c r="X48" s="209">
        <v>7700</v>
      </c>
      <c r="Y48" s="209">
        <v>7300</v>
      </c>
      <c r="Z48" s="209">
        <v>7700</v>
      </c>
      <c r="AA48" s="209">
        <v>7700</v>
      </c>
      <c r="AB48" s="209">
        <v>7300</v>
      </c>
      <c r="AC48" s="209">
        <v>7700</v>
      </c>
      <c r="AD48" s="209">
        <v>7700</v>
      </c>
      <c r="AE48" s="209">
        <v>7300</v>
      </c>
      <c r="AF48" s="209">
        <v>7700</v>
      </c>
      <c r="AG48" s="209">
        <v>7700</v>
      </c>
      <c r="AH48" s="209">
        <v>7100</v>
      </c>
      <c r="AI48" s="209">
        <v>7500</v>
      </c>
      <c r="AJ48" s="209">
        <v>7500</v>
      </c>
      <c r="AK48" s="209">
        <v>7600</v>
      </c>
      <c r="AL48" s="209">
        <v>8100</v>
      </c>
      <c r="AM48" s="209">
        <v>8100</v>
      </c>
      <c r="AN48" s="213">
        <v>1300</v>
      </c>
      <c r="AO48" s="213">
        <v>1400</v>
      </c>
      <c r="AP48" s="213">
        <v>1400</v>
      </c>
      <c r="AQ48" s="209">
        <v>7940</v>
      </c>
      <c r="AR48" s="209">
        <v>8665</v>
      </c>
      <c r="AS48" s="209">
        <v>8665</v>
      </c>
      <c r="AT48" s="209">
        <v>7425</v>
      </c>
      <c r="AU48" s="209">
        <v>7900</v>
      </c>
      <c r="AV48" s="209">
        <v>7900</v>
      </c>
      <c r="AW48" s="209">
        <v>8300</v>
      </c>
      <c r="AX48" s="209">
        <v>8700</v>
      </c>
      <c r="AY48" s="209">
        <v>8700</v>
      </c>
      <c r="AZ48" s="209">
        <v>7900</v>
      </c>
      <c r="BA48" s="209">
        <v>8525</v>
      </c>
      <c r="BB48" s="209">
        <v>8525</v>
      </c>
      <c r="BC48" s="209">
        <v>8050</v>
      </c>
      <c r="BD48" s="209">
        <v>8575</v>
      </c>
      <c r="BE48" s="209">
        <v>8575</v>
      </c>
      <c r="BF48" s="209">
        <v>8125</v>
      </c>
      <c r="BG48" s="209">
        <v>8900</v>
      </c>
      <c r="BH48" s="209">
        <v>8900</v>
      </c>
      <c r="BI48" s="209">
        <v>8500</v>
      </c>
      <c r="BJ48" s="209">
        <v>8900</v>
      </c>
      <c r="BK48" s="209">
        <v>8900</v>
      </c>
      <c r="BL48" s="209">
        <v>8500</v>
      </c>
      <c r="BM48" s="209">
        <v>8900</v>
      </c>
      <c r="BN48" s="209">
        <v>8900</v>
      </c>
      <c r="BO48" s="209">
        <v>8500</v>
      </c>
      <c r="BP48" s="209">
        <v>8900</v>
      </c>
      <c r="BQ48" s="209">
        <v>8900</v>
      </c>
      <c r="BR48" s="213">
        <v>-100</v>
      </c>
      <c r="BS48" s="213">
        <v>-100</v>
      </c>
      <c r="BT48" s="213">
        <v>-100</v>
      </c>
      <c r="BU48" s="6">
        <f t="shared" si="7"/>
        <v>11191</v>
      </c>
      <c r="BV48" s="6">
        <f t="shared" si="8"/>
        <v>11591</v>
      </c>
      <c r="BW48" s="6">
        <f t="shared" si="9"/>
        <v>11591</v>
      </c>
      <c r="CH48" s="1"/>
      <c r="CI48" s="1"/>
    </row>
    <row r="49" spans="1:87" ht="14.5" x14ac:dyDescent="0.35">
      <c r="A49" s="80" t="s">
        <v>110</v>
      </c>
      <c r="B49" s="80"/>
      <c r="C49" s="81" t="s">
        <v>111</v>
      </c>
      <c r="D49" s="209">
        <v>7300</v>
      </c>
      <c r="E49" s="209">
        <v>7700</v>
      </c>
      <c r="F49" s="209">
        <v>7700</v>
      </c>
      <c r="G49" s="209">
        <v>7300</v>
      </c>
      <c r="H49" s="209">
        <v>7700</v>
      </c>
      <c r="I49" s="209">
        <v>7700</v>
      </c>
      <c r="J49" s="209">
        <v>7300</v>
      </c>
      <c r="K49" s="209">
        <v>7700</v>
      </c>
      <c r="L49" s="209">
        <v>7700</v>
      </c>
      <c r="M49" s="209">
        <v>7300</v>
      </c>
      <c r="N49" s="209">
        <v>7700</v>
      </c>
      <c r="O49" s="209">
        <v>7700</v>
      </c>
      <c r="P49" s="209">
        <v>7300</v>
      </c>
      <c r="Q49" s="209">
        <v>7700</v>
      </c>
      <c r="R49" s="209">
        <v>7700</v>
      </c>
      <c r="S49" s="209">
        <v>7300</v>
      </c>
      <c r="T49" s="209">
        <v>7700</v>
      </c>
      <c r="U49" s="209">
        <v>7700</v>
      </c>
      <c r="V49" s="209">
        <v>7300</v>
      </c>
      <c r="W49" s="209">
        <v>7700</v>
      </c>
      <c r="X49" s="209">
        <v>7700</v>
      </c>
      <c r="Y49" s="209">
        <v>7300</v>
      </c>
      <c r="Z49" s="209">
        <v>7700</v>
      </c>
      <c r="AA49" s="209">
        <v>7700</v>
      </c>
      <c r="AB49" s="209">
        <v>7300</v>
      </c>
      <c r="AC49" s="209">
        <v>7700</v>
      </c>
      <c r="AD49" s="209">
        <v>7700</v>
      </c>
      <c r="AE49" s="209">
        <v>7300</v>
      </c>
      <c r="AF49" s="209">
        <v>7700</v>
      </c>
      <c r="AG49" s="209">
        <v>7700</v>
      </c>
      <c r="AH49" s="209">
        <v>7100</v>
      </c>
      <c r="AI49" s="209">
        <v>7500</v>
      </c>
      <c r="AJ49" s="209">
        <v>7500</v>
      </c>
      <c r="AK49" s="209">
        <v>7600</v>
      </c>
      <c r="AL49" s="209">
        <v>8100</v>
      </c>
      <c r="AM49" s="209">
        <v>8100</v>
      </c>
      <c r="AN49" s="213">
        <v>1300</v>
      </c>
      <c r="AO49" s="213">
        <v>1400</v>
      </c>
      <c r="AP49" s="213">
        <v>1400</v>
      </c>
      <c r="AQ49" s="209">
        <v>7940</v>
      </c>
      <c r="AR49" s="209">
        <v>8665</v>
      </c>
      <c r="AS49" s="209">
        <v>8665</v>
      </c>
      <c r="AT49" s="209">
        <v>7425</v>
      </c>
      <c r="AU49" s="209">
        <v>7900</v>
      </c>
      <c r="AV49" s="209">
        <v>7900</v>
      </c>
      <c r="AW49" s="209">
        <v>8300</v>
      </c>
      <c r="AX49" s="209">
        <v>8700</v>
      </c>
      <c r="AY49" s="209">
        <v>8700</v>
      </c>
      <c r="AZ49" s="209">
        <v>7900</v>
      </c>
      <c r="BA49" s="209">
        <v>8525</v>
      </c>
      <c r="BB49" s="209">
        <v>8525</v>
      </c>
      <c r="BC49" s="209">
        <v>8050</v>
      </c>
      <c r="BD49" s="209">
        <v>8575</v>
      </c>
      <c r="BE49" s="209">
        <v>8575</v>
      </c>
      <c r="BF49" s="209">
        <v>8125</v>
      </c>
      <c r="BG49" s="209">
        <v>8900</v>
      </c>
      <c r="BH49" s="209">
        <v>8900</v>
      </c>
      <c r="BI49" s="209">
        <v>8500</v>
      </c>
      <c r="BJ49" s="209">
        <v>8900</v>
      </c>
      <c r="BK49" s="209">
        <v>8900</v>
      </c>
      <c r="BL49" s="209">
        <v>8500</v>
      </c>
      <c r="BM49" s="209">
        <v>8900</v>
      </c>
      <c r="BN49" s="209">
        <v>8900</v>
      </c>
      <c r="BO49" s="209">
        <v>8500</v>
      </c>
      <c r="BP49" s="209">
        <v>8900</v>
      </c>
      <c r="BQ49" s="209">
        <v>8900</v>
      </c>
      <c r="BR49" s="213">
        <v>-100</v>
      </c>
      <c r="BS49" s="213">
        <v>-100</v>
      </c>
      <c r="BT49" s="213">
        <v>-100</v>
      </c>
      <c r="BU49" s="6">
        <f t="shared" si="7"/>
        <v>11191</v>
      </c>
      <c r="BV49" s="6">
        <f t="shared" si="8"/>
        <v>11591</v>
      </c>
      <c r="BW49" s="6">
        <f t="shared" si="9"/>
        <v>11591</v>
      </c>
      <c r="CH49" s="1"/>
      <c r="CI49" s="1"/>
    </row>
    <row r="50" spans="1:87" ht="14.5" x14ac:dyDescent="0.35">
      <c r="A50" s="3" t="s">
        <v>112</v>
      </c>
      <c r="B50" s="3"/>
      <c r="C50" s="53" t="s">
        <v>113</v>
      </c>
      <c r="D50" s="209">
        <v>7375</v>
      </c>
      <c r="E50" s="209">
        <v>7900</v>
      </c>
      <c r="F50" s="209">
        <v>7900</v>
      </c>
      <c r="G50" s="209">
        <v>7375</v>
      </c>
      <c r="H50" s="209">
        <v>7900</v>
      </c>
      <c r="I50" s="209">
        <v>7900</v>
      </c>
      <c r="J50" s="209">
        <v>7375</v>
      </c>
      <c r="K50" s="209">
        <v>7900</v>
      </c>
      <c r="L50" s="209">
        <v>7900</v>
      </c>
      <c r="M50" s="209">
        <v>7375</v>
      </c>
      <c r="N50" s="209">
        <v>7900</v>
      </c>
      <c r="O50" s="209">
        <v>7900</v>
      </c>
      <c r="P50" s="209">
        <v>7375</v>
      </c>
      <c r="Q50" s="209">
        <v>7900</v>
      </c>
      <c r="R50" s="209">
        <v>7900</v>
      </c>
      <c r="S50" s="209">
        <v>7375</v>
      </c>
      <c r="T50" s="209">
        <v>7900</v>
      </c>
      <c r="U50" s="209">
        <v>7900</v>
      </c>
      <c r="V50" s="209">
        <v>7375</v>
      </c>
      <c r="W50" s="209">
        <v>7900</v>
      </c>
      <c r="X50" s="209">
        <v>7900</v>
      </c>
      <c r="Y50" s="209">
        <v>7375</v>
      </c>
      <c r="Z50" s="209">
        <v>7900</v>
      </c>
      <c r="AA50" s="209">
        <v>7900</v>
      </c>
      <c r="AB50" s="209">
        <v>7375</v>
      </c>
      <c r="AC50" s="209">
        <v>7900</v>
      </c>
      <c r="AD50" s="209">
        <v>7900</v>
      </c>
      <c r="AE50" s="209">
        <v>7375</v>
      </c>
      <c r="AF50" s="209">
        <v>7900</v>
      </c>
      <c r="AG50" s="209">
        <v>7900</v>
      </c>
      <c r="AH50" s="209">
        <v>7175</v>
      </c>
      <c r="AI50" s="209">
        <v>7700</v>
      </c>
      <c r="AJ50" s="209">
        <v>7700</v>
      </c>
      <c r="AK50" s="209">
        <v>7675</v>
      </c>
      <c r="AL50" s="209">
        <v>8300</v>
      </c>
      <c r="AM50" s="209">
        <v>8300</v>
      </c>
      <c r="AN50" s="213">
        <v>1300</v>
      </c>
      <c r="AO50" s="213">
        <v>1400</v>
      </c>
      <c r="AP50" s="213">
        <v>1400</v>
      </c>
      <c r="AQ50" s="209">
        <v>8015</v>
      </c>
      <c r="AR50" s="209">
        <v>8865</v>
      </c>
      <c r="AS50" s="209">
        <v>8865</v>
      </c>
      <c r="AT50" s="209">
        <v>7500</v>
      </c>
      <c r="AU50" s="209">
        <v>8100</v>
      </c>
      <c r="AV50" s="209">
        <v>8100</v>
      </c>
      <c r="AW50" s="209">
        <v>8375</v>
      </c>
      <c r="AX50" s="209">
        <v>8900</v>
      </c>
      <c r="AY50" s="209">
        <v>8900</v>
      </c>
      <c r="AZ50" s="209">
        <v>7975</v>
      </c>
      <c r="BA50" s="209">
        <v>8725</v>
      </c>
      <c r="BB50" s="209">
        <v>8725</v>
      </c>
      <c r="BC50" s="209">
        <v>8125</v>
      </c>
      <c r="BD50" s="209">
        <v>8775</v>
      </c>
      <c r="BE50" s="209">
        <v>8775</v>
      </c>
      <c r="BF50" s="209">
        <v>8200</v>
      </c>
      <c r="BG50" s="209">
        <v>9100</v>
      </c>
      <c r="BH50" s="209">
        <v>9100</v>
      </c>
      <c r="BI50" s="209">
        <v>8575</v>
      </c>
      <c r="BJ50" s="209">
        <v>9100</v>
      </c>
      <c r="BK50" s="209">
        <v>9100</v>
      </c>
      <c r="BL50" s="209">
        <v>8575</v>
      </c>
      <c r="BM50" s="209">
        <v>9100</v>
      </c>
      <c r="BN50" s="209">
        <v>9100</v>
      </c>
      <c r="BO50" s="209">
        <v>8575</v>
      </c>
      <c r="BP50" s="209">
        <v>9100</v>
      </c>
      <c r="BQ50" s="209">
        <v>9100</v>
      </c>
      <c r="BR50" s="213">
        <v>-100</v>
      </c>
      <c r="BS50" s="213">
        <v>-100</v>
      </c>
      <c r="BT50" s="213">
        <v>-100</v>
      </c>
      <c r="BU50" s="6">
        <f t="shared" si="7"/>
        <v>11266</v>
      </c>
      <c r="BV50" s="6">
        <f t="shared" si="8"/>
        <v>11791</v>
      </c>
      <c r="BW50" s="6">
        <f t="shared" si="9"/>
        <v>11791</v>
      </c>
      <c r="CH50" s="1"/>
      <c r="CI50" s="1"/>
    </row>
    <row r="51" spans="1:87" ht="14.5" x14ac:dyDescent="0.35">
      <c r="A51" s="3" t="s">
        <v>114</v>
      </c>
      <c r="B51" s="3"/>
      <c r="C51" s="53" t="s">
        <v>115</v>
      </c>
      <c r="D51" s="209">
        <v>7500</v>
      </c>
      <c r="E51" s="209">
        <v>8050</v>
      </c>
      <c r="F51" s="209">
        <v>8050</v>
      </c>
      <c r="G51" s="209">
        <v>7500</v>
      </c>
      <c r="H51" s="209">
        <v>8050</v>
      </c>
      <c r="I51" s="209">
        <v>8050</v>
      </c>
      <c r="J51" s="209">
        <v>7500</v>
      </c>
      <c r="K51" s="209">
        <v>8050</v>
      </c>
      <c r="L51" s="209">
        <v>8050</v>
      </c>
      <c r="M51" s="209">
        <v>7500</v>
      </c>
      <c r="N51" s="209">
        <v>8050</v>
      </c>
      <c r="O51" s="209">
        <v>8050</v>
      </c>
      <c r="P51" s="209">
        <v>7500</v>
      </c>
      <c r="Q51" s="209">
        <v>8050</v>
      </c>
      <c r="R51" s="209">
        <v>8050</v>
      </c>
      <c r="S51" s="209">
        <v>7500</v>
      </c>
      <c r="T51" s="209">
        <v>8050</v>
      </c>
      <c r="U51" s="209">
        <v>8050</v>
      </c>
      <c r="V51" s="209">
        <v>7500</v>
      </c>
      <c r="W51" s="209">
        <v>8050</v>
      </c>
      <c r="X51" s="209">
        <v>8050</v>
      </c>
      <c r="Y51" s="209">
        <v>7500</v>
      </c>
      <c r="Z51" s="209">
        <v>8050</v>
      </c>
      <c r="AA51" s="209">
        <v>8050</v>
      </c>
      <c r="AB51" s="209">
        <v>7500</v>
      </c>
      <c r="AC51" s="209">
        <v>8050</v>
      </c>
      <c r="AD51" s="209">
        <v>8050</v>
      </c>
      <c r="AE51" s="209">
        <v>7500</v>
      </c>
      <c r="AF51" s="209">
        <v>8050</v>
      </c>
      <c r="AG51" s="209">
        <v>8050</v>
      </c>
      <c r="AH51" s="209">
        <v>7300</v>
      </c>
      <c r="AI51" s="209">
        <v>7850</v>
      </c>
      <c r="AJ51" s="209">
        <v>7850</v>
      </c>
      <c r="AK51" s="209">
        <v>7800</v>
      </c>
      <c r="AL51" s="209">
        <v>8450</v>
      </c>
      <c r="AM51" s="209">
        <v>8450</v>
      </c>
      <c r="AN51" s="213">
        <v>1300</v>
      </c>
      <c r="AO51" s="213">
        <v>1400</v>
      </c>
      <c r="AP51" s="213">
        <v>1400</v>
      </c>
      <c r="AQ51" s="209">
        <v>8140</v>
      </c>
      <c r="AR51" s="209">
        <v>9015</v>
      </c>
      <c r="AS51" s="209">
        <v>9015</v>
      </c>
      <c r="AT51" s="209">
        <v>7625</v>
      </c>
      <c r="AU51" s="209">
        <v>8250</v>
      </c>
      <c r="AV51" s="209">
        <v>8250</v>
      </c>
      <c r="AW51" s="209">
        <v>8500</v>
      </c>
      <c r="AX51" s="209">
        <v>9050</v>
      </c>
      <c r="AY51" s="209">
        <v>9050</v>
      </c>
      <c r="AZ51" s="209">
        <v>8100</v>
      </c>
      <c r="BA51" s="209">
        <v>8875</v>
      </c>
      <c r="BB51" s="209">
        <v>8875</v>
      </c>
      <c r="BC51" s="209">
        <v>8250</v>
      </c>
      <c r="BD51" s="209">
        <v>8925</v>
      </c>
      <c r="BE51" s="209">
        <v>8925</v>
      </c>
      <c r="BF51" s="209">
        <v>8325</v>
      </c>
      <c r="BG51" s="209">
        <v>9250</v>
      </c>
      <c r="BH51" s="209">
        <v>9250</v>
      </c>
      <c r="BI51" s="209">
        <v>8700</v>
      </c>
      <c r="BJ51" s="209">
        <v>9250</v>
      </c>
      <c r="BK51" s="209">
        <v>9250</v>
      </c>
      <c r="BL51" s="209">
        <v>8700</v>
      </c>
      <c r="BM51" s="209">
        <v>9250</v>
      </c>
      <c r="BN51" s="209">
        <v>9250</v>
      </c>
      <c r="BO51" s="209">
        <v>8700</v>
      </c>
      <c r="BP51" s="209">
        <v>9250</v>
      </c>
      <c r="BQ51" s="209">
        <v>9250</v>
      </c>
      <c r="BR51" s="213">
        <v>-100</v>
      </c>
      <c r="BS51" s="213">
        <v>-100</v>
      </c>
      <c r="BT51" s="213">
        <v>-100</v>
      </c>
      <c r="BU51" s="6">
        <f t="shared" si="7"/>
        <v>11391</v>
      </c>
      <c r="BV51" s="6">
        <f t="shared" si="8"/>
        <v>11941</v>
      </c>
      <c r="BW51" s="6">
        <f t="shared" si="9"/>
        <v>11941</v>
      </c>
      <c r="CH51" s="1"/>
      <c r="CI51" s="1"/>
    </row>
    <row r="52" spans="1:87" ht="14.5" x14ac:dyDescent="0.35">
      <c r="A52" s="3" t="s">
        <v>116</v>
      </c>
      <c r="B52" s="3"/>
      <c r="C52" s="53" t="s">
        <v>117</v>
      </c>
      <c r="D52" s="209">
        <v>7500</v>
      </c>
      <c r="E52" s="209">
        <v>8050</v>
      </c>
      <c r="F52" s="209">
        <v>8050</v>
      </c>
      <c r="G52" s="209">
        <v>7500</v>
      </c>
      <c r="H52" s="209">
        <v>8050</v>
      </c>
      <c r="I52" s="209">
        <v>8050</v>
      </c>
      <c r="J52" s="209">
        <v>7500</v>
      </c>
      <c r="K52" s="209">
        <v>8050</v>
      </c>
      <c r="L52" s="209">
        <v>8050</v>
      </c>
      <c r="M52" s="209">
        <v>7500</v>
      </c>
      <c r="N52" s="209">
        <v>8050</v>
      </c>
      <c r="O52" s="209">
        <v>8050</v>
      </c>
      <c r="P52" s="209">
        <v>7500</v>
      </c>
      <c r="Q52" s="209">
        <v>8050</v>
      </c>
      <c r="R52" s="209">
        <v>8050</v>
      </c>
      <c r="S52" s="209">
        <v>7500</v>
      </c>
      <c r="T52" s="209">
        <v>8050</v>
      </c>
      <c r="U52" s="209">
        <v>8050</v>
      </c>
      <c r="V52" s="209">
        <v>7500</v>
      </c>
      <c r="W52" s="209">
        <v>8050</v>
      </c>
      <c r="X52" s="209">
        <v>8050</v>
      </c>
      <c r="Y52" s="209">
        <v>7500</v>
      </c>
      <c r="Z52" s="209">
        <v>8050</v>
      </c>
      <c r="AA52" s="209">
        <v>8050</v>
      </c>
      <c r="AB52" s="209">
        <v>7500</v>
      </c>
      <c r="AC52" s="209">
        <v>8050</v>
      </c>
      <c r="AD52" s="209">
        <v>8050</v>
      </c>
      <c r="AE52" s="209">
        <v>7500</v>
      </c>
      <c r="AF52" s="209">
        <v>8050</v>
      </c>
      <c r="AG52" s="209">
        <v>8050</v>
      </c>
      <c r="AH52" s="209">
        <v>7300</v>
      </c>
      <c r="AI52" s="209">
        <v>7850</v>
      </c>
      <c r="AJ52" s="209">
        <v>7850</v>
      </c>
      <c r="AK52" s="209">
        <v>7800</v>
      </c>
      <c r="AL52" s="209">
        <v>8450</v>
      </c>
      <c r="AM52" s="209">
        <v>8450</v>
      </c>
      <c r="AN52" s="213">
        <v>1300</v>
      </c>
      <c r="AO52" s="213">
        <v>1400</v>
      </c>
      <c r="AP52" s="213">
        <v>1400</v>
      </c>
      <c r="AQ52" s="209">
        <v>8140</v>
      </c>
      <c r="AR52" s="209">
        <v>9015</v>
      </c>
      <c r="AS52" s="209">
        <v>9015</v>
      </c>
      <c r="AT52" s="209">
        <v>7625</v>
      </c>
      <c r="AU52" s="209">
        <v>8250</v>
      </c>
      <c r="AV52" s="209">
        <v>8250</v>
      </c>
      <c r="AW52" s="209">
        <v>8500</v>
      </c>
      <c r="AX52" s="209">
        <v>9050</v>
      </c>
      <c r="AY52" s="209">
        <v>9050</v>
      </c>
      <c r="AZ52" s="209">
        <v>8100</v>
      </c>
      <c r="BA52" s="209">
        <v>8875</v>
      </c>
      <c r="BB52" s="209">
        <v>8875</v>
      </c>
      <c r="BC52" s="209">
        <v>8250</v>
      </c>
      <c r="BD52" s="209">
        <v>8925</v>
      </c>
      <c r="BE52" s="209">
        <v>8925</v>
      </c>
      <c r="BF52" s="209">
        <v>8325</v>
      </c>
      <c r="BG52" s="209">
        <v>9250</v>
      </c>
      <c r="BH52" s="209">
        <v>9250</v>
      </c>
      <c r="BI52" s="209">
        <v>8700</v>
      </c>
      <c r="BJ52" s="209">
        <v>9250</v>
      </c>
      <c r="BK52" s="209">
        <v>9250</v>
      </c>
      <c r="BL52" s="209">
        <v>8700</v>
      </c>
      <c r="BM52" s="209">
        <v>9250</v>
      </c>
      <c r="BN52" s="209">
        <v>9250</v>
      </c>
      <c r="BO52" s="209">
        <v>8700</v>
      </c>
      <c r="BP52" s="209">
        <v>9250</v>
      </c>
      <c r="BQ52" s="209">
        <v>9250</v>
      </c>
      <c r="BR52" s="213">
        <v>-100</v>
      </c>
      <c r="BS52" s="213">
        <v>-100</v>
      </c>
      <c r="BT52" s="213">
        <v>-100</v>
      </c>
      <c r="BU52" s="6">
        <f t="shared" si="7"/>
        <v>11391</v>
      </c>
      <c r="BV52" s="6">
        <f t="shared" si="8"/>
        <v>11941</v>
      </c>
      <c r="BW52" s="6">
        <f t="shared" si="9"/>
        <v>11941</v>
      </c>
      <c r="CH52" s="1"/>
      <c r="CI52" s="1"/>
    </row>
    <row r="53" spans="1:87" ht="14.5" x14ac:dyDescent="0.35">
      <c r="A53" s="80" t="s">
        <v>118</v>
      </c>
      <c r="B53" s="80"/>
      <c r="C53" s="81" t="s">
        <v>119</v>
      </c>
      <c r="D53" s="209">
        <v>7300</v>
      </c>
      <c r="E53" s="209">
        <v>7700</v>
      </c>
      <c r="F53" s="209">
        <v>7700</v>
      </c>
      <c r="G53" s="209">
        <v>7300</v>
      </c>
      <c r="H53" s="209">
        <v>7700</v>
      </c>
      <c r="I53" s="209">
        <v>7700</v>
      </c>
      <c r="J53" s="209">
        <v>7300</v>
      </c>
      <c r="K53" s="209">
        <v>7700</v>
      </c>
      <c r="L53" s="209">
        <v>7700</v>
      </c>
      <c r="M53" s="209">
        <v>7300</v>
      </c>
      <c r="N53" s="209">
        <v>7700</v>
      </c>
      <c r="O53" s="209">
        <v>7700</v>
      </c>
      <c r="P53" s="209">
        <v>7300</v>
      </c>
      <c r="Q53" s="209">
        <v>7700</v>
      </c>
      <c r="R53" s="209">
        <v>7700</v>
      </c>
      <c r="S53" s="209">
        <v>7300</v>
      </c>
      <c r="T53" s="209">
        <v>7700</v>
      </c>
      <c r="U53" s="209">
        <v>7700</v>
      </c>
      <c r="V53" s="209">
        <v>7300</v>
      </c>
      <c r="W53" s="209">
        <v>7700</v>
      </c>
      <c r="X53" s="209">
        <v>7700</v>
      </c>
      <c r="Y53" s="209">
        <v>7300</v>
      </c>
      <c r="Z53" s="209">
        <v>7700</v>
      </c>
      <c r="AA53" s="209">
        <v>7700</v>
      </c>
      <c r="AB53" s="209">
        <v>7300</v>
      </c>
      <c r="AC53" s="209">
        <v>7700</v>
      </c>
      <c r="AD53" s="209">
        <v>7700</v>
      </c>
      <c r="AE53" s="209">
        <v>7300</v>
      </c>
      <c r="AF53" s="209">
        <v>7700</v>
      </c>
      <c r="AG53" s="209">
        <v>7700</v>
      </c>
      <c r="AH53" s="209">
        <v>7100</v>
      </c>
      <c r="AI53" s="209">
        <v>7500</v>
      </c>
      <c r="AJ53" s="209">
        <v>7500</v>
      </c>
      <c r="AK53" s="209">
        <v>7600</v>
      </c>
      <c r="AL53" s="209">
        <v>8100</v>
      </c>
      <c r="AM53" s="209">
        <v>8100</v>
      </c>
      <c r="AN53" s="213">
        <v>1300</v>
      </c>
      <c r="AO53" s="213">
        <v>1400</v>
      </c>
      <c r="AP53" s="213">
        <v>1400</v>
      </c>
      <c r="AQ53" s="209">
        <v>7940</v>
      </c>
      <c r="AR53" s="209">
        <v>8665</v>
      </c>
      <c r="AS53" s="209">
        <v>8665</v>
      </c>
      <c r="AT53" s="209">
        <v>7425</v>
      </c>
      <c r="AU53" s="209">
        <v>7900</v>
      </c>
      <c r="AV53" s="209">
        <v>7900</v>
      </c>
      <c r="AW53" s="209">
        <v>8300</v>
      </c>
      <c r="AX53" s="209">
        <v>8700</v>
      </c>
      <c r="AY53" s="209">
        <v>8700</v>
      </c>
      <c r="AZ53" s="209">
        <v>7900</v>
      </c>
      <c r="BA53" s="209">
        <v>8525</v>
      </c>
      <c r="BB53" s="209">
        <v>8525</v>
      </c>
      <c r="BC53" s="209">
        <v>8050</v>
      </c>
      <c r="BD53" s="209">
        <v>8575</v>
      </c>
      <c r="BE53" s="209">
        <v>8575</v>
      </c>
      <c r="BF53" s="209">
        <v>8125</v>
      </c>
      <c r="BG53" s="209">
        <v>8900</v>
      </c>
      <c r="BH53" s="209">
        <v>8900</v>
      </c>
      <c r="BI53" s="209">
        <v>8500</v>
      </c>
      <c r="BJ53" s="209">
        <v>8900</v>
      </c>
      <c r="BK53" s="209">
        <v>8900</v>
      </c>
      <c r="BL53" s="209">
        <v>8500</v>
      </c>
      <c r="BM53" s="209">
        <v>8900</v>
      </c>
      <c r="BN53" s="209">
        <v>8900</v>
      </c>
      <c r="BO53" s="209">
        <v>8500</v>
      </c>
      <c r="BP53" s="209">
        <v>8900</v>
      </c>
      <c r="BQ53" s="209">
        <v>8900</v>
      </c>
      <c r="BR53" s="213">
        <v>-100</v>
      </c>
      <c r="BS53" s="213">
        <v>-100</v>
      </c>
      <c r="BT53" s="213">
        <v>-100</v>
      </c>
      <c r="BU53" s="6">
        <f t="shared" si="7"/>
        <v>11191</v>
      </c>
      <c r="BV53" s="6">
        <f t="shared" si="8"/>
        <v>11591</v>
      </c>
      <c r="BW53" s="6">
        <f t="shared" si="9"/>
        <v>11591</v>
      </c>
      <c r="CH53" s="1"/>
      <c r="CI53" s="1"/>
    </row>
    <row r="54" spans="1:87" ht="14.5" x14ac:dyDescent="0.35">
      <c r="A54" s="277" t="s">
        <v>507</v>
      </c>
      <c r="B54" s="277" t="s">
        <v>55</v>
      </c>
      <c r="C54" s="278" t="s">
        <v>508</v>
      </c>
      <c r="D54" s="279">
        <v>7450</v>
      </c>
      <c r="E54" s="279">
        <v>8170</v>
      </c>
      <c r="F54" s="279">
        <v>8170</v>
      </c>
      <c r="G54" s="279">
        <v>7450</v>
      </c>
      <c r="H54" s="279">
        <v>8170</v>
      </c>
      <c r="I54" s="279">
        <v>8170</v>
      </c>
      <c r="J54" s="279">
        <v>7450</v>
      </c>
      <c r="K54" s="279">
        <v>8170</v>
      </c>
      <c r="L54" s="279">
        <v>8170</v>
      </c>
      <c r="M54" s="279">
        <v>7450</v>
      </c>
      <c r="N54" s="279">
        <v>8170</v>
      </c>
      <c r="O54" s="279">
        <v>8170</v>
      </c>
      <c r="P54" s="279">
        <v>7450</v>
      </c>
      <c r="Q54" s="279">
        <v>8170</v>
      </c>
      <c r="R54" s="279">
        <v>8170</v>
      </c>
      <c r="S54" s="279">
        <v>7450</v>
      </c>
      <c r="T54" s="279">
        <v>8170</v>
      </c>
      <c r="U54" s="279">
        <v>8170</v>
      </c>
      <c r="V54" s="279">
        <v>7450</v>
      </c>
      <c r="W54" s="279">
        <v>8170</v>
      </c>
      <c r="X54" s="279">
        <v>8170</v>
      </c>
      <c r="Y54" s="279">
        <v>7450</v>
      </c>
      <c r="Z54" s="279">
        <v>8170</v>
      </c>
      <c r="AA54" s="279">
        <v>8170</v>
      </c>
      <c r="AB54" s="279">
        <v>7450</v>
      </c>
      <c r="AC54" s="279">
        <v>8170</v>
      </c>
      <c r="AD54" s="279">
        <v>8170</v>
      </c>
      <c r="AE54" s="279">
        <v>7450</v>
      </c>
      <c r="AF54" s="279">
        <v>8170</v>
      </c>
      <c r="AG54" s="279">
        <v>8170</v>
      </c>
      <c r="AH54" s="279">
        <v>7250</v>
      </c>
      <c r="AI54" s="279">
        <v>7970</v>
      </c>
      <c r="AJ54" s="279">
        <v>7970</v>
      </c>
      <c r="AK54" s="279">
        <v>7750</v>
      </c>
      <c r="AL54" s="279">
        <v>8570</v>
      </c>
      <c r="AM54" s="279">
        <v>8570</v>
      </c>
      <c r="AN54" s="280">
        <v>800</v>
      </c>
      <c r="AO54" s="280">
        <v>800</v>
      </c>
      <c r="AP54" s="280">
        <v>800</v>
      </c>
      <c r="AQ54" s="279">
        <v>8090</v>
      </c>
      <c r="AR54" s="279">
        <v>9135</v>
      </c>
      <c r="AS54" s="279">
        <v>9135</v>
      </c>
      <c r="AT54" s="279">
        <v>7575</v>
      </c>
      <c r="AU54" s="279">
        <v>8370</v>
      </c>
      <c r="AV54" s="279">
        <v>8370</v>
      </c>
      <c r="AW54" s="279">
        <v>8450</v>
      </c>
      <c r="AX54" s="279">
        <v>9170</v>
      </c>
      <c r="AY54" s="279">
        <v>9170</v>
      </c>
      <c r="AZ54" s="279">
        <v>8050</v>
      </c>
      <c r="BA54" s="279">
        <v>8995</v>
      </c>
      <c r="BB54" s="279">
        <v>8995</v>
      </c>
      <c r="BC54" s="279">
        <v>8200</v>
      </c>
      <c r="BD54" s="279">
        <v>9045</v>
      </c>
      <c r="BE54" s="279">
        <v>9045</v>
      </c>
      <c r="BF54" s="279">
        <v>8275</v>
      </c>
      <c r="BG54" s="279">
        <v>9370</v>
      </c>
      <c r="BH54" s="279">
        <v>9370</v>
      </c>
      <c r="BI54" s="279">
        <v>8650</v>
      </c>
      <c r="BJ54" s="279">
        <v>9370</v>
      </c>
      <c r="BK54" s="279">
        <v>9370</v>
      </c>
      <c r="BL54" s="279">
        <v>8650</v>
      </c>
      <c r="BM54" s="279">
        <v>9370</v>
      </c>
      <c r="BN54" s="279">
        <v>9370</v>
      </c>
      <c r="BO54" s="279">
        <v>8650</v>
      </c>
      <c r="BP54" s="279">
        <v>9370</v>
      </c>
      <c r="BQ54" s="279">
        <v>9370</v>
      </c>
      <c r="BR54" s="280"/>
      <c r="BS54" s="280"/>
      <c r="BT54" s="280"/>
      <c r="BU54" s="281">
        <f t="shared" ref="BU54" si="10">(BO54+2791)-100</f>
        <v>11341</v>
      </c>
      <c r="BV54" s="281">
        <f t="shared" ref="BV54" si="11">(BP54+2791)-100</f>
        <v>12061</v>
      </c>
      <c r="BW54" s="281">
        <f t="shared" ref="BW54" si="12">(BQ54+2791)-100</f>
        <v>12061</v>
      </c>
      <c r="CH54" s="1"/>
      <c r="CI54" s="1"/>
    </row>
    <row r="55" spans="1:87" ht="14.5" x14ac:dyDescent="0.35">
      <c r="A55" s="80" t="s">
        <v>120</v>
      </c>
      <c r="B55" s="80"/>
      <c r="C55" s="81" t="s">
        <v>121</v>
      </c>
      <c r="D55" s="209">
        <v>7350</v>
      </c>
      <c r="E55" s="209">
        <v>7750</v>
      </c>
      <c r="F55" s="209">
        <v>7750</v>
      </c>
      <c r="G55" s="209">
        <v>7350</v>
      </c>
      <c r="H55" s="209">
        <v>7750</v>
      </c>
      <c r="I55" s="209">
        <v>7750</v>
      </c>
      <c r="J55" s="209">
        <v>7350</v>
      </c>
      <c r="K55" s="209">
        <v>7750</v>
      </c>
      <c r="L55" s="209">
        <v>7750</v>
      </c>
      <c r="M55" s="209">
        <v>7350</v>
      </c>
      <c r="N55" s="209">
        <v>7750</v>
      </c>
      <c r="O55" s="209">
        <v>7750</v>
      </c>
      <c r="P55" s="209">
        <v>7350</v>
      </c>
      <c r="Q55" s="209">
        <v>7750</v>
      </c>
      <c r="R55" s="209">
        <v>7750</v>
      </c>
      <c r="S55" s="209">
        <v>7350</v>
      </c>
      <c r="T55" s="209">
        <v>7750</v>
      </c>
      <c r="U55" s="209">
        <v>7750</v>
      </c>
      <c r="V55" s="209">
        <v>7350</v>
      </c>
      <c r="W55" s="209">
        <v>7750</v>
      </c>
      <c r="X55" s="209">
        <v>7750</v>
      </c>
      <c r="Y55" s="209">
        <v>7350</v>
      </c>
      <c r="Z55" s="209">
        <v>7750</v>
      </c>
      <c r="AA55" s="209">
        <v>7750</v>
      </c>
      <c r="AB55" s="209">
        <v>7350</v>
      </c>
      <c r="AC55" s="209">
        <v>7750</v>
      </c>
      <c r="AD55" s="209">
        <v>7750</v>
      </c>
      <c r="AE55" s="209">
        <v>7350</v>
      </c>
      <c r="AF55" s="209">
        <v>7750</v>
      </c>
      <c r="AG55" s="209">
        <v>7750</v>
      </c>
      <c r="AH55" s="209">
        <v>7150</v>
      </c>
      <c r="AI55" s="209">
        <v>7550</v>
      </c>
      <c r="AJ55" s="209">
        <v>7550</v>
      </c>
      <c r="AK55" s="209">
        <v>7650</v>
      </c>
      <c r="AL55" s="209">
        <v>8150</v>
      </c>
      <c r="AM55" s="209">
        <v>8150</v>
      </c>
      <c r="AN55" s="213">
        <v>1300</v>
      </c>
      <c r="AO55" s="213">
        <v>1400</v>
      </c>
      <c r="AP55" s="213">
        <v>1400</v>
      </c>
      <c r="AQ55" s="209">
        <v>7990</v>
      </c>
      <c r="AR55" s="209">
        <v>8715</v>
      </c>
      <c r="AS55" s="209">
        <v>8715</v>
      </c>
      <c r="AT55" s="209">
        <v>7475</v>
      </c>
      <c r="AU55" s="209">
        <v>7950</v>
      </c>
      <c r="AV55" s="209">
        <v>7950</v>
      </c>
      <c r="AW55" s="209">
        <v>8350</v>
      </c>
      <c r="AX55" s="209">
        <v>8750</v>
      </c>
      <c r="AY55" s="209">
        <v>8750</v>
      </c>
      <c r="AZ55" s="209">
        <v>7950</v>
      </c>
      <c r="BA55" s="209">
        <v>8575</v>
      </c>
      <c r="BB55" s="209">
        <v>8575</v>
      </c>
      <c r="BC55" s="209">
        <v>8100</v>
      </c>
      <c r="BD55" s="209">
        <v>8625</v>
      </c>
      <c r="BE55" s="209">
        <v>8625</v>
      </c>
      <c r="BF55" s="209">
        <v>8175</v>
      </c>
      <c r="BG55" s="209">
        <v>8950</v>
      </c>
      <c r="BH55" s="209">
        <v>8950</v>
      </c>
      <c r="BI55" s="209">
        <v>8550</v>
      </c>
      <c r="BJ55" s="209">
        <v>8950</v>
      </c>
      <c r="BK55" s="209">
        <v>8950</v>
      </c>
      <c r="BL55" s="209">
        <v>8550</v>
      </c>
      <c r="BM55" s="209">
        <v>8950</v>
      </c>
      <c r="BN55" s="209">
        <v>8950</v>
      </c>
      <c r="BO55" s="209">
        <v>8550</v>
      </c>
      <c r="BP55" s="209">
        <v>8950</v>
      </c>
      <c r="BQ55" s="209">
        <v>8950</v>
      </c>
      <c r="BR55" s="213">
        <v>-100</v>
      </c>
      <c r="BS55" s="213">
        <v>-100</v>
      </c>
      <c r="BT55" s="213">
        <v>-100</v>
      </c>
      <c r="BU55" s="6">
        <f t="shared" si="7"/>
        <v>11241</v>
      </c>
      <c r="BV55" s="6">
        <f t="shared" si="8"/>
        <v>11641</v>
      </c>
      <c r="BW55" s="6">
        <f t="shared" si="9"/>
        <v>11641</v>
      </c>
      <c r="CH55" s="1"/>
      <c r="CI55" s="1"/>
    </row>
    <row r="56" spans="1:87" ht="14.5" x14ac:dyDescent="0.35">
      <c r="A56" s="3" t="s">
        <v>122</v>
      </c>
      <c r="B56" s="3"/>
      <c r="C56" s="53" t="s">
        <v>123</v>
      </c>
      <c r="D56" s="209">
        <v>7450</v>
      </c>
      <c r="E56" s="209">
        <v>7850</v>
      </c>
      <c r="F56" s="209">
        <v>7850</v>
      </c>
      <c r="G56" s="209">
        <v>7450</v>
      </c>
      <c r="H56" s="209">
        <v>7850</v>
      </c>
      <c r="I56" s="209">
        <v>7850</v>
      </c>
      <c r="J56" s="209">
        <v>7450</v>
      </c>
      <c r="K56" s="209">
        <v>7850</v>
      </c>
      <c r="L56" s="209">
        <v>7850</v>
      </c>
      <c r="M56" s="209">
        <v>7450</v>
      </c>
      <c r="N56" s="209">
        <v>7850</v>
      </c>
      <c r="O56" s="209">
        <v>7850</v>
      </c>
      <c r="P56" s="209">
        <v>7450</v>
      </c>
      <c r="Q56" s="209">
        <v>7850</v>
      </c>
      <c r="R56" s="209">
        <v>7850</v>
      </c>
      <c r="S56" s="209">
        <v>7450</v>
      </c>
      <c r="T56" s="209">
        <v>7850</v>
      </c>
      <c r="U56" s="209">
        <v>7850</v>
      </c>
      <c r="V56" s="209">
        <v>7450</v>
      </c>
      <c r="W56" s="209">
        <v>7850</v>
      </c>
      <c r="X56" s="209">
        <v>7850</v>
      </c>
      <c r="Y56" s="209">
        <v>7450</v>
      </c>
      <c r="Z56" s="209">
        <v>7850</v>
      </c>
      <c r="AA56" s="209">
        <v>7850</v>
      </c>
      <c r="AB56" s="209">
        <v>7450</v>
      </c>
      <c r="AC56" s="209">
        <v>7850</v>
      </c>
      <c r="AD56" s="209">
        <v>7850</v>
      </c>
      <c r="AE56" s="209">
        <v>7450</v>
      </c>
      <c r="AF56" s="209">
        <v>7850</v>
      </c>
      <c r="AG56" s="209">
        <v>7850</v>
      </c>
      <c r="AH56" s="209">
        <v>7250</v>
      </c>
      <c r="AI56" s="209">
        <v>7650</v>
      </c>
      <c r="AJ56" s="209">
        <v>7650</v>
      </c>
      <c r="AK56" s="209">
        <v>7750</v>
      </c>
      <c r="AL56" s="209">
        <v>8250</v>
      </c>
      <c r="AM56" s="209">
        <v>8250</v>
      </c>
      <c r="AN56" s="213">
        <v>1300</v>
      </c>
      <c r="AO56" s="213">
        <v>1400</v>
      </c>
      <c r="AP56" s="213">
        <v>1400</v>
      </c>
      <c r="AQ56" s="209">
        <v>8090</v>
      </c>
      <c r="AR56" s="209">
        <v>8815</v>
      </c>
      <c r="AS56" s="209">
        <v>8815</v>
      </c>
      <c r="AT56" s="209">
        <v>7575</v>
      </c>
      <c r="AU56" s="209">
        <v>8050</v>
      </c>
      <c r="AV56" s="209">
        <v>8050</v>
      </c>
      <c r="AW56" s="209">
        <v>8450</v>
      </c>
      <c r="AX56" s="209">
        <v>8850</v>
      </c>
      <c r="AY56" s="209">
        <v>8850</v>
      </c>
      <c r="AZ56" s="209">
        <v>8050</v>
      </c>
      <c r="BA56" s="209">
        <v>8675</v>
      </c>
      <c r="BB56" s="209">
        <v>8675</v>
      </c>
      <c r="BC56" s="209">
        <v>8200</v>
      </c>
      <c r="BD56" s="209">
        <v>8725</v>
      </c>
      <c r="BE56" s="209">
        <v>8725</v>
      </c>
      <c r="BF56" s="209">
        <v>8275</v>
      </c>
      <c r="BG56" s="209">
        <v>9050</v>
      </c>
      <c r="BH56" s="209">
        <v>9050</v>
      </c>
      <c r="BI56" s="209">
        <v>8650</v>
      </c>
      <c r="BJ56" s="209">
        <v>9050</v>
      </c>
      <c r="BK56" s="209">
        <v>9050</v>
      </c>
      <c r="BL56" s="209">
        <v>8650</v>
      </c>
      <c r="BM56" s="209">
        <v>9050</v>
      </c>
      <c r="BN56" s="209">
        <v>9050</v>
      </c>
      <c r="BO56" s="209">
        <v>8650</v>
      </c>
      <c r="BP56" s="209">
        <v>9050</v>
      </c>
      <c r="BQ56" s="209">
        <v>9050</v>
      </c>
      <c r="BR56" s="213">
        <v>-100</v>
      </c>
      <c r="BS56" s="213">
        <v>-100</v>
      </c>
      <c r="BT56" s="213">
        <v>-100</v>
      </c>
      <c r="BU56" s="6">
        <f t="shared" si="7"/>
        <v>11341</v>
      </c>
      <c r="BV56" s="6">
        <f t="shared" si="8"/>
        <v>11741</v>
      </c>
      <c r="BW56" s="6">
        <f t="shared" si="9"/>
        <v>11741</v>
      </c>
      <c r="CH56" s="1"/>
      <c r="CI56" s="1"/>
    </row>
    <row r="57" spans="1:87" ht="14.5" x14ac:dyDescent="0.35">
      <c r="A57" s="3" t="s">
        <v>124</v>
      </c>
      <c r="B57" s="3"/>
      <c r="C57" s="53" t="s">
        <v>125</v>
      </c>
      <c r="D57" s="209">
        <v>7400</v>
      </c>
      <c r="E57" s="209">
        <v>7950</v>
      </c>
      <c r="F57" s="209">
        <v>7950</v>
      </c>
      <c r="G57" s="209">
        <v>7400</v>
      </c>
      <c r="H57" s="209">
        <v>7950</v>
      </c>
      <c r="I57" s="209">
        <v>7950</v>
      </c>
      <c r="J57" s="209">
        <v>7400</v>
      </c>
      <c r="K57" s="209">
        <v>7950</v>
      </c>
      <c r="L57" s="209">
        <v>7950</v>
      </c>
      <c r="M57" s="209">
        <v>7400</v>
      </c>
      <c r="N57" s="209">
        <v>7950</v>
      </c>
      <c r="O57" s="209">
        <v>7950</v>
      </c>
      <c r="P57" s="209">
        <v>7400</v>
      </c>
      <c r="Q57" s="209">
        <v>7950</v>
      </c>
      <c r="R57" s="209">
        <v>7950</v>
      </c>
      <c r="S57" s="209">
        <v>7400</v>
      </c>
      <c r="T57" s="209">
        <v>7950</v>
      </c>
      <c r="U57" s="209">
        <v>7950</v>
      </c>
      <c r="V57" s="209">
        <v>7400</v>
      </c>
      <c r="W57" s="209">
        <v>7950</v>
      </c>
      <c r="X57" s="209">
        <v>7950</v>
      </c>
      <c r="Y57" s="209">
        <v>7400</v>
      </c>
      <c r="Z57" s="209">
        <v>7950</v>
      </c>
      <c r="AA57" s="209">
        <v>7950</v>
      </c>
      <c r="AB57" s="209">
        <v>7400</v>
      </c>
      <c r="AC57" s="209">
        <v>7950</v>
      </c>
      <c r="AD57" s="209">
        <v>7950</v>
      </c>
      <c r="AE57" s="209">
        <v>7400</v>
      </c>
      <c r="AF57" s="209">
        <v>7950</v>
      </c>
      <c r="AG57" s="209">
        <v>7950</v>
      </c>
      <c r="AH57" s="209">
        <v>7200</v>
      </c>
      <c r="AI57" s="209">
        <v>7750</v>
      </c>
      <c r="AJ57" s="209">
        <v>7750</v>
      </c>
      <c r="AK57" s="209">
        <v>7700</v>
      </c>
      <c r="AL57" s="209">
        <v>8350</v>
      </c>
      <c r="AM57" s="209">
        <v>8350</v>
      </c>
      <c r="AN57" s="213">
        <v>1300</v>
      </c>
      <c r="AO57" s="213">
        <v>1400</v>
      </c>
      <c r="AP57" s="213">
        <v>1400</v>
      </c>
      <c r="AQ57" s="209">
        <v>8040</v>
      </c>
      <c r="AR57" s="209">
        <v>8915</v>
      </c>
      <c r="AS57" s="209">
        <v>8915</v>
      </c>
      <c r="AT57" s="209">
        <v>7525</v>
      </c>
      <c r="AU57" s="209">
        <v>8150</v>
      </c>
      <c r="AV57" s="209">
        <v>8150</v>
      </c>
      <c r="AW57" s="209">
        <v>8400</v>
      </c>
      <c r="AX57" s="209">
        <v>8950</v>
      </c>
      <c r="AY57" s="209">
        <v>8950</v>
      </c>
      <c r="AZ57" s="209">
        <v>8000</v>
      </c>
      <c r="BA57" s="209">
        <v>8775</v>
      </c>
      <c r="BB57" s="209">
        <v>8775</v>
      </c>
      <c r="BC57" s="209">
        <v>8150</v>
      </c>
      <c r="BD57" s="209">
        <v>8825</v>
      </c>
      <c r="BE57" s="209">
        <v>8825</v>
      </c>
      <c r="BF57" s="209">
        <v>8225</v>
      </c>
      <c r="BG57" s="209">
        <v>9150</v>
      </c>
      <c r="BH57" s="209">
        <v>9150</v>
      </c>
      <c r="BI57" s="209">
        <v>8600</v>
      </c>
      <c r="BJ57" s="209">
        <v>9150</v>
      </c>
      <c r="BK57" s="209">
        <v>9150</v>
      </c>
      <c r="BL57" s="209">
        <v>8600</v>
      </c>
      <c r="BM57" s="209">
        <v>9150</v>
      </c>
      <c r="BN57" s="209">
        <v>9150</v>
      </c>
      <c r="BO57" s="209">
        <v>8600</v>
      </c>
      <c r="BP57" s="209">
        <v>9150</v>
      </c>
      <c r="BQ57" s="209">
        <v>9150</v>
      </c>
      <c r="BR57" s="213">
        <v>-100</v>
      </c>
      <c r="BS57" s="213">
        <v>-100</v>
      </c>
      <c r="BT57" s="213">
        <v>-100</v>
      </c>
      <c r="BU57" s="6">
        <f t="shared" si="7"/>
        <v>11291</v>
      </c>
      <c r="BV57" s="6">
        <f t="shared" si="8"/>
        <v>11841</v>
      </c>
      <c r="BW57" s="6">
        <f t="shared" si="9"/>
        <v>11841</v>
      </c>
      <c r="CH57" s="1"/>
      <c r="CI57" s="1"/>
    </row>
    <row r="58" spans="1:87" ht="14.5" x14ac:dyDescent="0.35">
      <c r="A58" s="3" t="s">
        <v>126</v>
      </c>
      <c r="B58" s="3" t="s">
        <v>55</v>
      </c>
      <c r="C58" s="53" t="s">
        <v>127</v>
      </c>
      <c r="D58" s="209">
        <v>7550</v>
      </c>
      <c r="E58" s="209">
        <v>8050</v>
      </c>
      <c r="F58" s="209">
        <v>8050</v>
      </c>
      <c r="G58" s="209">
        <v>7550</v>
      </c>
      <c r="H58" s="209">
        <v>8050</v>
      </c>
      <c r="I58" s="209">
        <v>8050</v>
      </c>
      <c r="J58" s="209">
        <v>7550</v>
      </c>
      <c r="K58" s="209">
        <v>8050</v>
      </c>
      <c r="L58" s="209">
        <v>8050</v>
      </c>
      <c r="M58" s="209">
        <v>7550</v>
      </c>
      <c r="N58" s="209">
        <v>8050</v>
      </c>
      <c r="O58" s="209">
        <v>8050</v>
      </c>
      <c r="P58" s="209">
        <v>7550</v>
      </c>
      <c r="Q58" s="209">
        <v>8050</v>
      </c>
      <c r="R58" s="209">
        <v>8050</v>
      </c>
      <c r="S58" s="209">
        <v>7550</v>
      </c>
      <c r="T58" s="209">
        <v>8050</v>
      </c>
      <c r="U58" s="209">
        <v>8050</v>
      </c>
      <c r="V58" s="209">
        <v>7550</v>
      </c>
      <c r="W58" s="209">
        <v>8050</v>
      </c>
      <c r="X58" s="209">
        <v>8050</v>
      </c>
      <c r="Y58" s="209">
        <v>7550</v>
      </c>
      <c r="Z58" s="209">
        <v>8050</v>
      </c>
      <c r="AA58" s="209">
        <v>8050</v>
      </c>
      <c r="AB58" s="209">
        <v>7550</v>
      </c>
      <c r="AC58" s="209">
        <v>8050</v>
      </c>
      <c r="AD58" s="209">
        <v>8050</v>
      </c>
      <c r="AE58" s="209">
        <v>7550</v>
      </c>
      <c r="AF58" s="209">
        <v>8050</v>
      </c>
      <c r="AG58" s="209">
        <v>8050</v>
      </c>
      <c r="AH58" s="209">
        <v>7350</v>
      </c>
      <c r="AI58" s="209">
        <v>7850</v>
      </c>
      <c r="AJ58" s="209">
        <v>7850</v>
      </c>
      <c r="AK58" s="209">
        <v>7850</v>
      </c>
      <c r="AL58" s="209">
        <v>8450</v>
      </c>
      <c r="AM58" s="209">
        <v>8450</v>
      </c>
      <c r="AN58" s="213">
        <v>1300</v>
      </c>
      <c r="AO58" s="213">
        <v>1400</v>
      </c>
      <c r="AP58" s="213">
        <v>1400</v>
      </c>
      <c r="AQ58" s="209">
        <v>8190</v>
      </c>
      <c r="AR58" s="209">
        <v>9015</v>
      </c>
      <c r="AS58" s="209">
        <v>9015</v>
      </c>
      <c r="AT58" s="209">
        <v>7675</v>
      </c>
      <c r="AU58" s="209">
        <v>8250</v>
      </c>
      <c r="AV58" s="209">
        <v>8250</v>
      </c>
      <c r="AW58" s="209">
        <v>8550</v>
      </c>
      <c r="AX58" s="209">
        <v>9050</v>
      </c>
      <c r="AY58" s="209">
        <v>9050</v>
      </c>
      <c r="AZ58" s="209">
        <v>8150</v>
      </c>
      <c r="BA58" s="209">
        <v>8875</v>
      </c>
      <c r="BB58" s="209">
        <v>8875</v>
      </c>
      <c r="BC58" s="209">
        <v>8300</v>
      </c>
      <c r="BD58" s="209">
        <v>8925</v>
      </c>
      <c r="BE58" s="209">
        <v>8925</v>
      </c>
      <c r="BF58" s="209">
        <v>8375</v>
      </c>
      <c r="BG58" s="209">
        <v>9250</v>
      </c>
      <c r="BH58" s="209">
        <v>9250</v>
      </c>
      <c r="BI58" s="209">
        <v>8750</v>
      </c>
      <c r="BJ58" s="209">
        <v>9250</v>
      </c>
      <c r="BK58" s="209">
        <v>9250</v>
      </c>
      <c r="BL58" s="209">
        <v>8750</v>
      </c>
      <c r="BM58" s="209">
        <v>9250</v>
      </c>
      <c r="BN58" s="209">
        <v>9250</v>
      </c>
      <c r="BO58" s="209">
        <v>8750</v>
      </c>
      <c r="BP58" s="209">
        <v>9250</v>
      </c>
      <c r="BQ58" s="209">
        <v>9250</v>
      </c>
      <c r="BR58" s="213">
        <v>-100</v>
      </c>
      <c r="BS58" s="213">
        <v>-100</v>
      </c>
      <c r="BT58" s="213">
        <v>-100</v>
      </c>
      <c r="BU58" s="6">
        <f t="shared" si="7"/>
        <v>11441</v>
      </c>
      <c r="BV58" s="6">
        <f t="shared" si="8"/>
        <v>11941</v>
      </c>
      <c r="BW58" s="6">
        <f t="shared" si="9"/>
        <v>11941</v>
      </c>
      <c r="CH58" s="1"/>
      <c r="CI58" s="1"/>
    </row>
    <row r="59" spans="1:87" ht="14.5" x14ac:dyDescent="0.35">
      <c r="A59" s="3" t="s">
        <v>128</v>
      </c>
      <c r="B59" s="3" t="s">
        <v>415</v>
      </c>
      <c r="C59" s="53" t="s">
        <v>129</v>
      </c>
      <c r="D59" s="209">
        <v>7450</v>
      </c>
      <c r="E59" s="209">
        <v>7900</v>
      </c>
      <c r="F59" s="209">
        <v>7900</v>
      </c>
      <c r="G59" s="209">
        <v>7450</v>
      </c>
      <c r="H59" s="209">
        <v>7900</v>
      </c>
      <c r="I59" s="209">
        <v>7900</v>
      </c>
      <c r="J59" s="209">
        <v>7450</v>
      </c>
      <c r="K59" s="209">
        <v>7900</v>
      </c>
      <c r="L59" s="209">
        <v>7900</v>
      </c>
      <c r="M59" s="209">
        <v>7450</v>
      </c>
      <c r="N59" s="209">
        <v>7900</v>
      </c>
      <c r="O59" s="209">
        <v>7900</v>
      </c>
      <c r="P59" s="209">
        <v>7450</v>
      </c>
      <c r="Q59" s="209">
        <v>7900</v>
      </c>
      <c r="R59" s="209">
        <v>7900</v>
      </c>
      <c r="S59" s="209">
        <v>7450</v>
      </c>
      <c r="T59" s="209">
        <v>7900</v>
      </c>
      <c r="U59" s="209">
        <v>7900</v>
      </c>
      <c r="V59" s="209">
        <v>7450</v>
      </c>
      <c r="W59" s="209">
        <v>7900</v>
      </c>
      <c r="X59" s="209">
        <v>7900</v>
      </c>
      <c r="Y59" s="209">
        <v>7450</v>
      </c>
      <c r="Z59" s="209">
        <v>7900</v>
      </c>
      <c r="AA59" s="209">
        <v>7900</v>
      </c>
      <c r="AB59" s="209">
        <v>7450</v>
      </c>
      <c r="AC59" s="209">
        <v>7900</v>
      </c>
      <c r="AD59" s="209">
        <v>7900</v>
      </c>
      <c r="AE59" s="209">
        <v>7450</v>
      </c>
      <c r="AF59" s="209">
        <v>7900</v>
      </c>
      <c r="AG59" s="209">
        <v>7900</v>
      </c>
      <c r="AH59" s="209">
        <v>7250</v>
      </c>
      <c r="AI59" s="209">
        <v>7700</v>
      </c>
      <c r="AJ59" s="209">
        <v>7700</v>
      </c>
      <c r="AK59" s="209">
        <v>7750</v>
      </c>
      <c r="AL59" s="209">
        <v>8300</v>
      </c>
      <c r="AM59" s="209">
        <v>8300</v>
      </c>
      <c r="AN59" s="213">
        <v>1300</v>
      </c>
      <c r="AO59" s="213">
        <v>1400</v>
      </c>
      <c r="AP59" s="213">
        <v>1400</v>
      </c>
      <c r="AQ59" s="209">
        <v>8090</v>
      </c>
      <c r="AR59" s="209">
        <v>8865</v>
      </c>
      <c r="AS59" s="209">
        <v>8865</v>
      </c>
      <c r="AT59" s="209">
        <v>7575</v>
      </c>
      <c r="AU59" s="209">
        <v>8100</v>
      </c>
      <c r="AV59" s="209">
        <v>8100</v>
      </c>
      <c r="AW59" s="209">
        <v>8450</v>
      </c>
      <c r="AX59" s="209">
        <v>8900</v>
      </c>
      <c r="AY59" s="209">
        <v>8900</v>
      </c>
      <c r="AZ59" s="209">
        <v>8050</v>
      </c>
      <c r="BA59" s="209">
        <v>8725</v>
      </c>
      <c r="BB59" s="209">
        <v>8725</v>
      </c>
      <c r="BC59" s="209">
        <v>8200</v>
      </c>
      <c r="BD59" s="209">
        <v>8775</v>
      </c>
      <c r="BE59" s="209">
        <v>8775</v>
      </c>
      <c r="BF59" s="209">
        <v>8275</v>
      </c>
      <c r="BG59" s="209">
        <v>9100</v>
      </c>
      <c r="BH59" s="209">
        <v>9100</v>
      </c>
      <c r="BI59" s="209">
        <v>8650</v>
      </c>
      <c r="BJ59" s="209">
        <v>9100</v>
      </c>
      <c r="BK59" s="209">
        <v>9100</v>
      </c>
      <c r="BL59" s="209">
        <v>8650</v>
      </c>
      <c r="BM59" s="209">
        <v>9100</v>
      </c>
      <c r="BN59" s="209">
        <v>9100</v>
      </c>
      <c r="BO59" s="209">
        <v>8650</v>
      </c>
      <c r="BP59" s="209">
        <v>9100</v>
      </c>
      <c r="BQ59" s="209">
        <v>9100</v>
      </c>
      <c r="BR59" s="213">
        <v>-100</v>
      </c>
      <c r="BS59" s="213">
        <v>-100</v>
      </c>
      <c r="BT59" s="213">
        <v>-100</v>
      </c>
      <c r="BU59" s="6">
        <f t="shared" si="7"/>
        <v>11341</v>
      </c>
      <c r="BV59" s="6">
        <f t="shared" si="8"/>
        <v>11791</v>
      </c>
      <c r="BW59" s="6">
        <f t="shared" si="9"/>
        <v>11791</v>
      </c>
      <c r="CH59" s="1"/>
      <c r="CI59" s="1"/>
    </row>
    <row r="60" spans="1:87" ht="14.5" x14ac:dyDescent="0.35">
      <c r="A60" s="3" t="s">
        <v>128</v>
      </c>
      <c r="B60" s="3" t="s">
        <v>431</v>
      </c>
      <c r="C60" s="53" t="s">
        <v>129</v>
      </c>
      <c r="D60" s="209">
        <v>7425</v>
      </c>
      <c r="E60" s="209">
        <v>7850</v>
      </c>
      <c r="F60" s="209">
        <v>7850</v>
      </c>
      <c r="G60" s="209">
        <v>7425</v>
      </c>
      <c r="H60" s="209">
        <v>7850</v>
      </c>
      <c r="I60" s="209">
        <v>7850</v>
      </c>
      <c r="J60" s="209">
        <v>7425</v>
      </c>
      <c r="K60" s="209">
        <v>7850</v>
      </c>
      <c r="L60" s="209">
        <v>7850</v>
      </c>
      <c r="M60" s="209">
        <v>7425</v>
      </c>
      <c r="N60" s="209">
        <v>7850</v>
      </c>
      <c r="O60" s="209">
        <v>7850</v>
      </c>
      <c r="P60" s="209">
        <v>7425</v>
      </c>
      <c r="Q60" s="209">
        <v>7850</v>
      </c>
      <c r="R60" s="209">
        <v>7850</v>
      </c>
      <c r="S60" s="209">
        <v>7425</v>
      </c>
      <c r="T60" s="209">
        <v>7850</v>
      </c>
      <c r="U60" s="209">
        <v>7850</v>
      </c>
      <c r="V60" s="209">
        <v>7425</v>
      </c>
      <c r="W60" s="209">
        <v>7850</v>
      </c>
      <c r="X60" s="209">
        <v>7850</v>
      </c>
      <c r="Y60" s="209">
        <v>7425</v>
      </c>
      <c r="Z60" s="209">
        <v>7850</v>
      </c>
      <c r="AA60" s="209">
        <v>7850</v>
      </c>
      <c r="AB60" s="209">
        <v>7425</v>
      </c>
      <c r="AC60" s="209">
        <v>7850</v>
      </c>
      <c r="AD60" s="209">
        <v>7850</v>
      </c>
      <c r="AE60" s="209">
        <v>7425</v>
      </c>
      <c r="AF60" s="209">
        <v>7850</v>
      </c>
      <c r="AG60" s="209">
        <v>7850</v>
      </c>
      <c r="AH60" s="209">
        <v>7225</v>
      </c>
      <c r="AI60" s="209">
        <v>7650</v>
      </c>
      <c r="AJ60" s="209">
        <v>7650</v>
      </c>
      <c r="AK60" s="209">
        <v>7725</v>
      </c>
      <c r="AL60" s="209">
        <v>8250</v>
      </c>
      <c r="AM60" s="209">
        <v>8250</v>
      </c>
      <c r="AN60" s="213">
        <v>1300</v>
      </c>
      <c r="AO60" s="213">
        <v>1400</v>
      </c>
      <c r="AP60" s="213">
        <v>1400</v>
      </c>
      <c r="AQ60" s="209">
        <v>8065</v>
      </c>
      <c r="AR60" s="209">
        <v>8815</v>
      </c>
      <c r="AS60" s="209">
        <v>8815</v>
      </c>
      <c r="AT60" s="209">
        <v>7550</v>
      </c>
      <c r="AU60" s="209">
        <v>8050</v>
      </c>
      <c r="AV60" s="209">
        <v>8050</v>
      </c>
      <c r="AW60" s="209">
        <v>8425</v>
      </c>
      <c r="AX60" s="209">
        <v>8850</v>
      </c>
      <c r="AY60" s="209">
        <v>8850</v>
      </c>
      <c r="AZ60" s="209">
        <v>8025</v>
      </c>
      <c r="BA60" s="209">
        <v>8675</v>
      </c>
      <c r="BB60" s="209">
        <v>8675</v>
      </c>
      <c r="BC60" s="209">
        <v>8175</v>
      </c>
      <c r="BD60" s="209">
        <v>8725</v>
      </c>
      <c r="BE60" s="209">
        <v>8725</v>
      </c>
      <c r="BF60" s="209">
        <v>8250</v>
      </c>
      <c r="BG60" s="209">
        <v>9050</v>
      </c>
      <c r="BH60" s="209">
        <v>9050</v>
      </c>
      <c r="BI60" s="209">
        <v>8625</v>
      </c>
      <c r="BJ60" s="209">
        <v>9050</v>
      </c>
      <c r="BK60" s="209">
        <v>9050</v>
      </c>
      <c r="BL60" s="209">
        <v>8625</v>
      </c>
      <c r="BM60" s="209">
        <v>9050</v>
      </c>
      <c r="BN60" s="209">
        <v>9050</v>
      </c>
      <c r="BO60" s="209">
        <v>8625</v>
      </c>
      <c r="BP60" s="209">
        <v>9050</v>
      </c>
      <c r="BQ60" s="209">
        <v>9050</v>
      </c>
      <c r="BR60" s="213">
        <v>-100</v>
      </c>
      <c r="BS60" s="213">
        <v>-100</v>
      </c>
      <c r="BT60" s="213">
        <v>-100</v>
      </c>
      <c r="BU60" s="6">
        <f t="shared" si="7"/>
        <v>11316</v>
      </c>
      <c r="BV60" s="6">
        <f t="shared" si="8"/>
        <v>11741</v>
      </c>
      <c r="BW60" s="6">
        <f t="shared" si="9"/>
        <v>11741</v>
      </c>
      <c r="CH60" s="1"/>
      <c r="CI60" s="1"/>
    </row>
    <row r="61" spans="1:87" ht="14.5" x14ac:dyDescent="0.35">
      <c r="A61" s="3" t="s">
        <v>128</v>
      </c>
      <c r="B61" s="3" t="s">
        <v>432</v>
      </c>
      <c r="C61" s="53" t="s">
        <v>129</v>
      </c>
      <c r="D61" s="209">
        <v>7470</v>
      </c>
      <c r="E61" s="209">
        <v>7770</v>
      </c>
      <c r="F61" s="209">
        <v>7770</v>
      </c>
      <c r="G61" s="209">
        <v>7470</v>
      </c>
      <c r="H61" s="209">
        <v>7770</v>
      </c>
      <c r="I61" s="209">
        <v>7770</v>
      </c>
      <c r="J61" s="209">
        <v>7470</v>
      </c>
      <c r="K61" s="209">
        <v>7770</v>
      </c>
      <c r="L61" s="209">
        <v>7770</v>
      </c>
      <c r="M61" s="209">
        <v>7470</v>
      </c>
      <c r="N61" s="209">
        <v>7770</v>
      </c>
      <c r="O61" s="209">
        <v>7770</v>
      </c>
      <c r="P61" s="209">
        <v>7470</v>
      </c>
      <c r="Q61" s="209">
        <v>7770</v>
      </c>
      <c r="R61" s="209">
        <v>7770</v>
      </c>
      <c r="S61" s="209">
        <v>7470</v>
      </c>
      <c r="T61" s="209">
        <v>7770</v>
      </c>
      <c r="U61" s="209">
        <v>7770</v>
      </c>
      <c r="V61" s="209">
        <v>7470</v>
      </c>
      <c r="W61" s="209">
        <v>7770</v>
      </c>
      <c r="X61" s="209">
        <v>7770</v>
      </c>
      <c r="Y61" s="209">
        <v>7470</v>
      </c>
      <c r="Z61" s="209">
        <v>7770</v>
      </c>
      <c r="AA61" s="209">
        <v>7770</v>
      </c>
      <c r="AB61" s="209">
        <v>7470</v>
      </c>
      <c r="AC61" s="209">
        <v>7770</v>
      </c>
      <c r="AD61" s="209">
        <v>7770</v>
      </c>
      <c r="AE61" s="209">
        <v>7470</v>
      </c>
      <c r="AF61" s="209">
        <v>7770</v>
      </c>
      <c r="AG61" s="209">
        <v>7770</v>
      </c>
      <c r="AH61" s="209">
        <v>7270</v>
      </c>
      <c r="AI61" s="209">
        <v>7570</v>
      </c>
      <c r="AJ61" s="209">
        <v>7570</v>
      </c>
      <c r="AK61" s="209">
        <v>7770</v>
      </c>
      <c r="AL61" s="209">
        <v>8170</v>
      </c>
      <c r="AM61" s="209">
        <v>8170</v>
      </c>
      <c r="AN61" s="213">
        <v>1300</v>
      </c>
      <c r="AO61" s="213">
        <v>1400</v>
      </c>
      <c r="AP61" s="213">
        <v>1400</v>
      </c>
      <c r="AQ61" s="209">
        <v>8110</v>
      </c>
      <c r="AR61" s="209">
        <v>8735</v>
      </c>
      <c r="AS61" s="209">
        <v>8735</v>
      </c>
      <c r="AT61" s="209">
        <v>7595</v>
      </c>
      <c r="AU61" s="209">
        <v>7970</v>
      </c>
      <c r="AV61" s="209">
        <v>7970</v>
      </c>
      <c r="AW61" s="209">
        <v>8470</v>
      </c>
      <c r="AX61" s="209">
        <v>8770</v>
      </c>
      <c r="AY61" s="209">
        <v>8770</v>
      </c>
      <c r="AZ61" s="209">
        <v>8070</v>
      </c>
      <c r="BA61" s="209">
        <v>8595</v>
      </c>
      <c r="BB61" s="209">
        <v>8595</v>
      </c>
      <c r="BC61" s="209">
        <v>8220</v>
      </c>
      <c r="BD61" s="209">
        <v>8645</v>
      </c>
      <c r="BE61" s="209">
        <v>8645</v>
      </c>
      <c r="BF61" s="209">
        <v>8295</v>
      </c>
      <c r="BG61" s="209">
        <v>8970</v>
      </c>
      <c r="BH61" s="209">
        <v>8970</v>
      </c>
      <c r="BI61" s="209">
        <v>8670</v>
      </c>
      <c r="BJ61" s="209">
        <v>8970</v>
      </c>
      <c r="BK61" s="209">
        <v>8970</v>
      </c>
      <c r="BL61" s="209">
        <v>8670</v>
      </c>
      <c r="BM61" s="209">
        <v>8970</v>
      </c>
      <c r="BN61" s="209">
        <v>8970</v>
      </c>
      <c r="BO61" s="209">
        <v>8670</v>
      </c>
      <c r="BP61" s="209">
        <v>8970</v>
      </c>
      <c r="BQ61" s="209">
        <v>8970</v>
      </c>
      <c r="BR61" s="213">
        <v>-100</v>
      </c>
      <c r="BS61" s="213">
        <v>-100</v>
      </c>
      <c r="BT61" s="213">
        <v>-100</v>
      </c>
      <c r="BU61" s="6">
        <f t="shared" si="7"/>
        <v>11361</v>
      </c>
      <c r="BV61" s="6">
        <f t="shared" si="8"/>
        <v>11661</v>
      </c>
      <c r="BW61" s="6">
        <f t="shared" si="9"/>
        <v>11661</v>
      </c>
      <c r="CH61" s="1"/>
      <c r="CI61" s="1"/>
    </row>
    <row r="62" spans="1:87" ht="14.5" x14ac:dyDescent="0.35">
      <c r="A62" s="3" t="s">
        <v>130</v>
      </c>
      <c r="B62" s="3" t="s">
        <v>435</v>
      </c>
      <c r="C62" s="53" t="s">
        <v>131</v>
      </c>
      <c r="D62" s="209">
        <v>7450</v>
      </c>
      <c r="E62" s="209">
        <v>7800</v>
      </c>
      <c r="F62" s="209">
        <v>7800</v>
      </c>
      <c r="G62" s="209">
        <v>7450</v>
      </c>
      <c r="H62" s="209">
        <v>7800</v>
      </c>
      <c r="I62" s="209">
        <v>7800</v>
      </c>
      <c r="J62" s="209">
        <v>7450</v>
      </c>
      <c r="K62" s="209">
        <v>7800</v>
      </c>
      <c r="L62" s="209">
        <v>7800</v>
      </c>
      <c r="M62" s="209">
        <v>7450</v>
      </c>
      <c r="N62" s="209">
        <v>7800</v>
      </c>
      <c r="O62" s="209">
        <v>7800</v>
      </c>
      <c r="P62" s="209">
        <v>7450</v>
      </c>
      <c r="Q62" s="209">
        <v>7800</v>
      </c>
      <c r="R62" s="209">
        <v>7800</v>
      </c>
      <c r="S62" s="209">
        <v>7450</v>
      </c>
      <c r="T62" s="209">
        <v>7800</v>
      </c>
      <c r="U62" s="209">
        <v>7800</v>
      </c>
      <c r="V62" s="209">
        <v>7450</v>
      </c>
      <c r="W62" s="209">
        <v>7800</v>
      </c>
      <c r="X62" s="209">
        <v>7800</v>
      </c>
      <c r="Y62" s="209">
        <v>7450</v>
      </c>
      <c r="Z62" s="209">
        <v>7800</v>
      </c>
      <c r="AA62" s="209">
        <v>7800</v>
      </c>
      <c r="AB62" s="209">
        <v>7450</v>
      </c>
      <c r="AC62" s="209">
        <v>7800</v>
      </c>
      <c r="AD62" s="209">
        <v>7800</v>
      </c>
      <c r="AE62" s="209">
        <v>7450</v>
      </c>
      <c r="AF62" s="209">
        <v>7800</v>
      </c>
      <c r="AG62" s="209">
        <v>7800</v>
      </c>
      <c r="AH62" s="209">
        <v>7250</v>
      </c>
      <c r="AI62" s="209">
        <v>7600</v>
      </c>
      <c r="AJ62" s="209">
        <v>7600</v>
      </c>
      <c r="AK62" s="209">
        <v>7750</v>
      </c>
      <c r="AL62" s="209">
        <v>8200</v>
      </c>
      <c r="AM62" s="209">
        <v>8200</v>
      </c>
      <c r="AN62" s="213">
        <v>1300</v>
      </c>
      <c r="AO62" s="213">
        <v>1400</v>
      </c>
      <c r="AP62" s="213">
        <v>1400</v>
      </c>
      <c r="AQ62" s="209">
        <v>8090</v>
      </c>
      <c r="AR62" s="209">
        <v>8765</v>
      </c>
      <c r="AS62" s="209">
        <v>8765</v>
      </c>
      <c r="AT62" s="209">
        <v>7575</v>
      </c>
      <c r="AU62" s="209">
        <v>8000</v>
      </c>
      <c r="AV62" s="209">
        <v>8000</v>
      </c>
      <c r="AW62" s="209">
        <v>8450</v>
      </c>
      <c r="AX62" s="209">
        <v>8800</v>
      </c>
      <c r="AY62" s="209">
        <v>8800</v>
      </c>
      <c r="AZ62" s="209">
        <v>8050</v>
      </c>
      <c r="BA62" s="209">
        <v>8625</v>
      </c>
      <c r="BB62" s="209">
        <v>8625</v>
      </c>
      <c r="BC62" s="209">
        <v>8200</v>
      </c>
      <c r="BD62" s="209">
        <v>8675</v>
      </c>
      <c r="BE62" s="209">
        <v>8675</v>
      </c>
      <c r="BF62" s="209">
        <v>8275</v>
      </c>
      <c r="BG62" s="209">
        <v>9000</v>
      </c>
      <c r="BH62" s="209">
        <v>9000</v>
      </c>
      <c r="BI62" s="209">
        <v>8650</v>
      </c>
      <c r="BJ62" s="209">
        <v>9000</v>
      </c>
      <c r="BK62" s="209">
        <v>9000</v>
      </c>
      <c r="BL62" s="209">
        <v>8650</v>
      </c>
      <c r="BM62" s="209">
        <v>9000</v>
      </c>
      <c r="BN62" s="209">
        <v>9000</v>
      </c>
      <c r="BO62" s="209">
        <v>8650</v>
      </c>
      <c r="BP62" s="209">
        <v>9000</v>
      </c>
      <c r="BQ62" s="209">
        <v>9000</v>
      </c>
      <c r="BR62" s="213">
        <v>-100</v>
      </c>
      <c r="BS62" s="213">
        <v>-100</v>
      </c>
      <c r="BT62" s="213">
        <v>-100</v>
      </c>
      <c r="BU62" s="6">
        <f t="shared" si="7"/>
        <v>11341</v>
      </c>
      <c r="BV62" s="6">
        <f t="shared" si="8"/>
        <v>11691</v>
      </c>
      <c r="BW62" s="6">
        <f t="shared" si="9"/>
        <v>11691</v>
      </c>
      <c r="CH62" s="1"/>
      <c r="CI62" s="1"/>
    </row>
    <row r="63" spans="1:87" ht="14.5" x14ac:dyDescent="0.35">
      <c r="A63" s="3" t="s">
        <v>130</v>
      </c>
      <c r="B63" s="3" t="s">
        <v>431</v>
      </c>
      <c r="C63" s="53" t="s">
        <v>131</v>
      </c>
      <c r="D63" s="209">
        <v>7450</v>
      </c>
      <c r="E63" s="209">
        <v>7800</v>
      </c>
      <c r="F63" s="209">
        <v>7800</v>
      </c>
      <c r="G63" s="209">
        <v>7450</v>
      </c>
      <c r="H63" s="209">
        <v>7800</v>
      </c>
      <c r="I63" s="209">
        <v>7800</v>
      </c>
      <c r="J63" s="209">
        <v>7450</v>
      </c>
      <c r="K63" s="209">
        <v>7800</v>
      </c>
      <c r="L63" s="209">
        <v>7800</v>
      </c>
      <c r="M63" s="209">
        <v>7450</v>
      </c>
      <c r="N63" s="209">
        <v>7800</v>
      </c>
      <c r="O63" s="209">
        <v>7800</v>
      </c>
      <c r="P63" s="209">
        <v>7450</v>
      </c>
      <c r="Q63" s="209">
        <v>7800</v>
      </c>
      <c r="R63" s="209">
        <v>7800</v>
      </c>
      <c r="S63" s="209">
        <v>7450</v>
      </c>
      <c r="T63" s="209">
        <v>7800</v>
      </c>
      <c r="U63" s="209">
        <v>7800</v>
      </c>
      <c r="V63" s="209">
        <v>7450</v>
      </c>
      <c r="W63" s="209">
        <v>7800</v>
      </c>
      <c r="X63" s="209">
        <v>7800</v>
      </c>
      <c r="Y63" s="209">
        <v>7450</v>
      </c>
      <c r="Z63" s="209">
        <v>7800</v>
      </c>
      <c r="AA63" s="209">
        <v>7800</v>
      </c>
      <c r="AB63" s="209">
        <v>7450</v>
      </c>
      <c r="AC63" s="209">
        <v>7800</v>
      </c>
      <c r="AD63" s="209">
        <v>7800</v>
      </c>
      <c r="AE63" s="209">
        <v>7450</v>
      </c>
      <c r="AF63" s="209">
        <v>7800</v>
      </c>
      <c r="AG63" s="209">
        <v>7800</v>
      </c>
      <c r="AH63" s="209">
        <v>7250</v>
      </c>
      <c r="AI63" s="209">
        <v>7600</v>
      </c>
      <c r="AJ63" s="209">
        <v>7600</v>
      </c>
      <c r="AK63" s="209">
        <v>7750</v>
      </c>
      <c r="AL63" s="209">
        <v>8200</v>
      </c>
      <c r="AM63" s="209">
        <v>8200</v>
      </c>
      <c r="AN63" s="213">
        <v>1300</v>
      </c>
      <c r="AO63" s="213">
        <v>1400</v>
      </c>
      <c r="AP63" s="213">
        <v>1400</v>
      </c>
      <c r="AQ63" s="209">
        <v>8090</v>
      </c>
      <c r="AR63" s="209">
        <v>8765</v>
      </c>
      <c r="AS63" s="209">
        <v>8765</v>
      </c>
      <c r="AT63" s="209">
        <v>7575</v>
      </c>
      <c r="AU63" s="209">
        <v>8000</v>
      </c>
      <c r="AV63" s="209">
        <v>8000</v>
      </c>
      <c r="AW63" s="209">
        <v>8450</v>
      </c>
      <c r="AX63" s="209">
        <v>8800</v>
      </c>
      <c r="AY63" s="209">
        <v>8800</v>
      </c>
      <c r="AZ63" s="209">
        <v>8050</v>
      </c>
      <c r="BA63" s="209">
        <v>8625</v>
      </c>
      <c r="BB63" s="209">
        <v>8625</v>
      </c>
      <c r="BC63" s="209">
        <v>8200</v>
      </c>
      <c r="BD63" s="209">
        <v>8675</v>
      </c>
      <c r="BE63" s="209">
        <v>8675</v>
      </c>
      <c r="BF63" s="209">
        <v>8275</v>
      </c>
      <c r="BG63" s="209">
        <v>9000</v>
      </c>
      <c r="BH63" s="209">
        <v>9000</v>
      </c>
      <c r="BI63" s="209">
        <v>8650</v>
      </c>
      <c r="BJ63" s="209">
        <v>9000</v>
      </c>
      <c r="BK63" s="209">
        <v>9000</v>
      </c>
      <c r="BL63" s="209">
        <v>8650</v>
      </c>
      <c r="BM63" s="209">
        <v>9000</v>
      </c>
      <c r="BN63" s="209">
        <v>9000</v>
      </c>
      <c r="BO63" s="209">
        <v>8650</v>
      </c>
      <c r="BP63" s="209">
        <v>9000</v>
      </c>
      <c r="BQ63" s="209">
        <v>9000</v>
      </c>
      <c r="BR63" s="213">
        <v>-100</v>
      </c>
      <c r="BS63" s="213">
        <v>-100</v>
      </c>
      <c r="BT63" s="213">
        <v>-100</v>
      </c>
      <c r="BU63" s="6">
        <f t="shared" si="7"/>
        <v>11341</v>
      </c>
      <c r="BV63" s="6">
        <f t="shared" si="8"/>
        <v>11691</v>
      </c>
      <c r="BW63" s="6">
        <f t="shared" si="9"/>
        <v>11691</v>
      </c>
      <c r="CH63" s="1"/>
      <c r="CI63" s="1"/>
    </row>
    <row r="64" spans="1:87" ht="14.5" x14ac:dyDescent="0.35">
      <c r="A64" s="3" t="s">
        <v>132</v>
      </c>
      <c r="B64" s="3"/>
      <c r="C64" s="53" t="s">
        <v>133</v>
      </c>
      <c r="D64" s="209">
        <v>7450</v>
      </c>
      <c r="E64" s="209">
        <v>7950</v>
      </c>
      <c r="F64" s="209">
        <v>7950</v>
      </c>
      <c r="G64" s="209">
        <v>7450</v>
      </c>
      <c r="H64" s="209">
        <v>7950</v>
      </c>
      <c r="I64" s="209">
        <v>7950</v>
      </c>
      <c r="J64" s="209">
        <v>7450</v>
      </c>
      <c r="K64" s="209">
        <v>7950</v>
      </c>
      <c r="L64" s="209">
        <v>7950</v>
      </c>
      <c r="M64" s="209">
        <v>7450</v>
      </c>
      <c r="N64" s="209">
        <v>7950</v>
      </c>
      <c r="O64" s="209">
        <v>7950</v>
      </c>
      <c r="P64" s="209">
        <v>7450</v>
      </c>
      <c r="Q64" s="209">
        <v>7950</v>
      </c>
      <c r="R64" s="209">
        <v>7950</v>
      </c>
      <c r="S64" s="209">
        <v>7450</v>
      </c>
      <c r="T64" s="209">
        <v>7950</v>
      </c>
      <c r="U64" s="209">
        <v>7950</v>
      </c>
      <c r="V64" s="209">
        <v>7450</v>
      </c>
      <c r="W64" s="209">
        <v>7950</v>
      </c>
      <c r="X64" s="209">
        <v>7950</v>
      </c>
      <c r="Y64" s="209">
        <v>7450</v>
      </c>
      <c r="Z64" s="209">
        <v>7950</v>
      </c>
      <c r="AA64" s="209">
        <v>7950</v>
      </c>
      <c r="AB64" s="209">
        <v>7450</v>
      </c>
      <c r="AC64" s="209">
        <v>7950</v>
      </c>
      <c r="AD64" s="209">
        <v>7950</v>
      </c>
      <c r="AE64" s="209">
        <v>7450</v>
      </c>
      <c r="AF64" s="209">
        <v>7950</v>
      </c>
      <c r="AG64" s="209">
        <v>7950</v>
      </c>
      <c r="AH64" s="209">
        <v>7250</v>
      </c>
      <c r="AI64" s="209">
        <v>7750</v>
      </c>
      <c r="AJ64" s="209">
        <v>7750</v>
      </c>
      <c r="AK64" s="209">
        <v>7750</v>
      </c>
      <c r="AL64" s="209">
        <v>8350</v>
      </c>
      <c r="AM64" s="209">
        <v>8350</v>
      </c>
      <c r="AN64" s="213">
        <v>1300</v>
      </c>
      <c r="AO64" s="213">
        <v>1400</v>
      </c>
      <c r="AP64" s="213">
        <v>1400</v>
      </c>
      <c r="AQ64" s="209">
        <v>8090</v>
      </c>
      <c r="AR64" s="209">
        <v>8915</v>
      </c>
      <c r="AS64" s="209">
        <v>8915</v>
      </c>
      <c r="AT64" s="209">
        <v>7575</v>
      </c>
      <c r="AU64" s="209">
        <v>8150</v>
      </c>
      <c r="AV64" s="209">
        <v>8150</v>
      </c>
      <c r="AW64" s="209">
        <v>8450</v>
      </c>
      <c r="AX64" s="209">
        <v>8950</v>
      </c>
      <c r="AY64" s="209">
        <v>8950</v>
      </c>
      <c r="AZ64" s="209">
        <v>8050</v>
      </c>
      <c r="BA64" s="209">
        <v>8775</v>
      </c>
      <c r="BB64" s="209">
        <v>8775</v>
      </c>
      <c r="BC64" s="209">
        <v>8200</v>
      </c>
      <c r="BD64" s="209">
        <v>8825</v>
      </c>
      <c r="BE64" s="209">
        <v>8825</v>
      </c>
      <c r="BF64" s="209">
        <v>8275</v>
      </c>
      <c r="BG64" s="209">
        <v>9150</v>
      </c>
      <c r="BH64" s="209">
        <v>9150</v>
      </c>
      <c r="BI64" s="209">
        <v>8650</v>
      </c>
      <c r="BJ64" s="209">
        <v>9150</v>
      </c>
      <c r="BK64" s="209">
        <v>9150</v>
      </c>
      <c r="BL64" s="209">
        <v>8650</v>
      </c>
      <c r="BM64" s="209">
        <v>9150</v>
      </c>
      <c r="BN64" s="209">
        <v>9150</v>
      </c>
      <c r="BO64" s="209">
        <v>8650</v>
      </c>
      <c r="BP64" s="209">
        <v>9150</v>
      </c>
      <c r="BQ64" s="209">
        <v>9150</v>
      </c>
      <c r="BR64" s="213">
        <v>-100</v>
      </c>
      <c r="BS64" s="213">
        <v>-100</v>
      </c>
      <c r="BT64" s="213">
        <v>-100</v>
      </c>
      <c r="BU64" s="6">
        <f t="shared" si="7"/>
        <v>11341</v>
      </c>
      <c r="BV64" s="6">
        <f t="shared" si="8"/>
        <v>11841</v>
      </c>
      <c r="BW64" s="6">
        <f t="shared" si="9"/>
        <v>11841</v>
      </c>
      <c r="CH64" s="1"/>
      <c r="CI64" s="1"/>
    </row>
    <row r="65" spans="1:87" ht="14.5" x14ac:dyDescent="0.35">
      <c r="A65" s="3" t="s">
        <v>134</v>
      </c>
      <c r="B65" s="3"/>
      <c r="C65" s="53" t="s">
        <v>135</v>
      </c>
      <c r="D65" s="209">
        <v>7300</v>
      </c>
      <c r="E65" s="209">
        <v>7700</v>
      </c>
      <c r="F65" s="209">
        <v>7700</v>
      </c>
      <c r="G65" s="209">
        <v>7300</v>
      </c>
      <c r="H65" s="209">
        <v>7700</v>
      </c>
      <c r="I65" s="209">
        <v>7700</v>
      </c>
      <c r="J65" s="209">
        <v>7300</v>
      </c>
      <c r="K65" s="209">
        <v>7700</v>
      </c>
      <c r="L65" s="209">
        <v>7700</v>
      </c>
      <c r="M65" s="209">
        <v>7300</v>
      </c>
      <c r="N65" s="209">
        <v>7700</v>
      </c>
      <c r="O65" s="209">
        <v>7700</v>
      </c>
      <c r="P65" s="209">
        <v>7300</v>
      </c>
      <c r="Q65" s="209">
        <v>7700</v>
      </c>
      <c r="R65" s="209">
        <v>7700</v>
      </c>
      <c r="S65" s="209">
        <v>7300</v>
      </c>
      <c r="T65" s="209">
        <v>7700</v>
      </c>
      <c r="U65" s="209">
        <v>7700</v>
      </c>
      <c r="V65" s="209">
        <v>7300</v>
      </c>
      <c r="W65" s="209">
        <v>7700</v>
      </c>
      <c r="X65" s="209">
        <v>7700</v>
      </c>
      <c r="Y65" s="209">
        <v>7300</v>
      </c>
      <c r="Z65" s="209">
        <v>7700</v>
      </c>
      <c r="AA65" s="209">
        <v>7700</v>
      </c>
      <c r="AB65" s="209">
        <v>7300</v>
      </c>
      <c r="AC65" s="209">
        <v>7700</v>
      </c>
      <c r="AD65" s="209">
        <v>7700</v>
      </c>
      <c r="AE65" s="209">
        <v>7300</v>
      </c>
      <c r="AF65" s="209">
        <v>7700</v>
      </c>
      <c r="AG65" s="209">
        <v>7700</v>
      </c>
      <c r="AH65" s="209">
        <v>7100</v>
      </c>
      <c r="AI65" s="209">
        <v>7500</v>
      </c>
      <c r="AJ65" s="209">
        <v>7500</v>
      </c>
      <c r="AK65" s="209">
        <v>7600</v>
      </c>
      <c r="AL65" s="209">
        <v>8100</v>
      </c>
      <c r="AM65" s="209">
        <v>8100</v>
      </c>
      <c r="AN65" s="213">
        <v>1300</v>
      </c>
      <c r="AO65" s="213">
        <v>1400</v>
      </c>
      <c r="AP65" s="213">
        <v>1400</v>
      </c>
      <c r="AQ65" s="209">
        <v>7940</v>
      </c>
      <c r="AR65" s="209">
        <v>8665</v>
      </c>
      <c r="AS65" s="209">
        <v>8665</v>
      </c>
      <c r="AT65" s="209">
        <v>7425</v>
      </c>
      <c r="AU65" s="209">
        <v>7900</v>
      </c>
      <c r="AV65" s="209">
        <v>7900</v>
      </c>
      <c r="AW65" s="209">
        <v>8300</v>
      </c>
      <c r="AX65" s="209">
        <v>8700</v>
      </c>
      <c r="AY65" s="209">
        <v>8700</v>
      </c>
      <c r="AZ65" s="209">
        <v>7900</v>
      </c>
      <c r="BA65" s="209">
        <v>8525</v>
      </c>
      <c r="BB65" s="209">
        <v>8525</v>
      </c>
      <c r="BC65" s="209">
        <v>8050</v>
      </c>
      <c r="BD65" s="209">
        <v>8575</v>
      </c>
      <c r="BE65" s="209">
        <v>8575</v>
      </c>
      <c r="BF65" s="209">
        <v>8125</v>
      </c>
      <c r="BG65" s="209">
        <v>8900</v>
      </c>
      <c r="BH65" s="209">
        <v>8900</v>
      </c>
      <c r="BI65" s="209">
        <v>8500</v>
      </c>
      <c r="BJ65" s="209">
        <v>8900</v>
      </c>
      <c r="BK65" s="209">
        <v>8900</v>
      </c>
      <c r="BL65" s="209">
        <v>8500</v>
      </c>
      <c r="BM65" s="209">
        <v>8900</v>
      </c>
      <c r="BN65" s="209">
        <v>8900</v>
      </c>
      <c r="BO65" s="209">
        <v>8500</v>
      </c>
      <c r="BP65" s="209">
        <v>8900</v>
      </c>
      <c r="BQ65" s="209">
        <v>8900</v>
      </c>
      <c r="BR65" s="213">
        <v>-100</v>
      </c>
      <c r="BS65" s="213">
        <v>-100</v>
      </c>
      <c r="BT65" s="213">
        <v>-100</v>
      </c>
      <c r="BU65" s="6">
        <f t="shared" si="7"/>
        <v>11191</v>
      </c>
      <c r="BV65" s="6">
        <f t="shared" si="8"/>
        <v>11591</v>
      </c>
      <c r="BW65" s="6">
        <f t="shared" si="9"/>
        <v>11591</v>
      </c>
      <c r="CH65" s="1"/>
      <c r="CI65" s="1"/>
    </row>
    <row r="66" spans="1:87" ht="14.5" x14ac:dyDescent="0.35">
      <c r="A66" s="3" t="s">
        <v>136</v>
      </c>
      <c r="B66" s="3"/>
      <c r="C66" s="53" t="s">
        <v>137</v>
      </c>
      <c r="D66" s="209">
        <v>7400</v>
      </c>
      <c r="E66" s="209">
        <v>7850</v>
      </c>
      <c r="F66" s="209">
        <v>7850</v>
      </c>
      <c r="G66" s="209">
        <v>7400</v>
      </c>
      <c r="H66" s="209">
        <v>7850</v>
      </c>
      <c r="I66" s="209">
        <v>7850</v>
      </c>
      <c r="J66" s="209">
        <v>7400</v>
      </c>
      <c r="K66" s="209">
        <v>7850</v>
      </c>
      <c r="L66" s="209">
        <v>7850</v>
      </c>
      <c r="M66" s="209">
        <v>7400</v>
      </c>
      <c r="N66" s="209">
        <v>7850</v>
      </c>
      <c r="O66" s="209">
        <v>7850</v>
      </c>
      <c r="P66" s="209">
        <v>7400</v>
      </c>
      <c r="Q66" s="209">
        <v>7850</v>
      </c>
      <c r="R66" s="209">
        <v>7850</v>
      </c>
      <c r="S66" s="209">
        <v>7400</v>
      </c>
      <c r="T66" s="209">
        <v>7850</v>
      </c>
      <c r="U66" s="209">
        <v>7850</v>
      </c>
      <c r="V66" s="209">
        <v>7400</v>
      </c>
      <c r="W66" s="209">
        <v>7850</v>
      </c>
      <c r="X66" s="209">
        <v>7850</v>
      </c>
      <c r="Y66" s="209">
        <v>7400</v>
      </c>
      <c r="Z66" s="209">
        <v>7850</v>
      </c>
      <c r="AA66" s="209">
        <v>7850</v>
      </c>
      <c r="AB66" s="209">
        <v>7400</v>
      </c>
      <c r="AC66" s="209">
        <v>7850</v>
      </c>
      <c r="AD66" s="209">
        <v>7850</v>
      </c>
      <c r="AE66" s="209">
        <v>7400</v>
      </c>
      <c r="AF66" s="209">
        <v>7850</v>
      </c>
      <c r="AG66" s="209">
        <v>7850</v>
      </c>
      <c r="AH66" s="209">
        <v>7200</v>
      </c>
      <c r="AI66" s="209">
        <v>7650</v>
      </c>
      <c r="AJ66" s="209">
        <v>7650</v>
      </c>
      <c r="AK66" s="209">
        <v>7700</v>
      </c>
      <c r="AL66" s="209">
        <v>8250</v>
      </c>
      <c r="AM66" s="209">
        <v>8250</v>
      </c>
      <c r="AN66" s="213">
        <v>1300</v>
      </c>
      <c r="AO66" s="213">
        <v>1400</v>
      </c>
      <c r="AP66" s="213">
        <v>1400</v>
      </c>
      <c r="AQ66" s="209">
        <v>8040</v>
      </c>
      <c r="AR66" s="209">
        <v>8815</v>
      </c>
      <c r="AS66" s="209">
        <v>8815</v>
      </c>
      <c r="AT66" s="209">
        <v>7525</v>
      </c>
      <c r="AU66" s="209">
        <v>8050</v>
      </c>
      <c r="AV66" s="209">
        <v>8050</v>
      </c>
      <c r="AW66" s="209">
        <v>8400</v>
      </c>
      <c r="AX66" s="209">
        <v>8850</v>
      </c>
      <c r="AY66" s="209">
        <v>8850</v>
      </c>
      <c r="AZ66" s="209">
        <v>8000</v>
      </c>
      <c r="BA66" s="209">
        <v>8675</v>
      </c>
      <c r="BB66" s="209">
        <v>8675</v>
      </c>
      <c r="BC66" s="209">
        <v>8150</v>
      </c>
      <c r="BD66" s="209">
        <v>8725</v>
      </c>
      <c r="BE66" s="209">
        <v>8725</v>
      </c>
      <c r="BF66" s="209">
        <v>8225</v>
      </c>
      <c r="BG66" s="209">
        <v>9050</v>
      </c>
      <c r="BH66" s="209">
        <v>9050</v>
      </c>
      <c r="BI66" s="209">
        <v>8600</v>
      </c>
      <c r="BJ66" s="209">
        <v>9050</v>
      </c>
      <c r="BK66" s="209">
        <v>9050</v>
      </c>
      <c r="BL66" s="209">
        <v>8600</v>
      </c>
      <c r="BM66" s="209">
        <v>9050</v>
      </c>
      <c r="BN66" s="209">
        <v>9050</v>
      </c>
      <c r="BO66" s="209">
        <v>8600</v>
      </c>
      <c r="BP66" s="209">
        <v>9050</v>
      </c>
      <c r="BQ66" s="209">
        <v>9050</v>
      </c>
      <c r="BR66" s="213">
        <v>-100</v>
      </c>
      <c r="BS66" s="213">
        <v>-100</v>
      </c>
      <c r="BT66" s="213">
        <v>-100</v>
      </c>
      <c r="BU66" s="6">
        <f t="shared" si="7"/>
        <v>11291</v>
      </c>
      <c r="BV66" s="6">
        <f t="shared" si="8"/>
        <v>11741</v>
      </c>
      <c r="BW66" s="6">
        <f t="shared" si="9"/>
        <v>11741</v>
      </c>
      <c r="CH66" s="1"/>
      <c r="CI66" s="1"/>
    </row>
    <row r="67" spans="1:87" ht="14.5" x14ac:dyDescent="0.35">
      <c r="A67" s="3" t="s">
        <v>138</v>
      </c>
      <c r="B67" s="3"/>
      <c r="C67" s="53" t="s">
        <v>139</v>
      </c>
      <c r="D67" s="209">
        <v>7375</v>
      </c>
      <c r="E67" s="209">
        <v>7800</v>
      </c>
      <c r="F67" s="209">
        <v>7800</v>
      </c>
      <c r="G67" s="209">
        <v>7375</v>
      </c>
      <c r="H67" s="209">
        <v>7800</v>
      </c>
      <c r="I67" s="209">
        <v>7800</v>
      </c>
      <c r="J67" s="209">
        <v>7375</v>
      </c>
      <c r="K67" s="209">
        <v>7800</v>
      </c>
      <c r="L67" s="209">
        <v>7800</v>
      </c>
      <c r="M67" s="209">
        <v>7375</v>
      </c>
      <c r="N67" s="209">
        <v>7800</v>
      </c>
      <c r="O67" s="209">
        <v>7800</v>
      </c>
      <c r="P67" s="209">
        <v>7375</v>
      </c>
      <c r="Q67" s="209">
        <v>7800</v>
      </c>
      <c r="R67" s="209">
        <v>7800</v>
      </c>
      <c r="S67" s="209">
        <v>7375</v>
      </c>
      <c r="T67" s="209">
        <v>7800</v>
      </c>
      <c r="U67" s="209">
        <v>7800</v>
      </c>
      <c r="V67" s="209">
        <v>7375</v>
      </c>
      <c r="W67" s="209">
        <v>7800</v>
      </c>
      <c r="X67" s="209">
        <v>7800</v>
      </c>
      <c r="Y67" s="209">
        <v>7375</v>
      </c>
      <c r="Z67" s="209">
        <v>7800</v>
      </c>
      <c r="AA67" s="209">
        <v>7800</v>
      </c>
      <c r="AB67" s="209">
        <v>7375</v>
      </c>
      <c r="AC67" s="209">
        <v>7800</v>
      </c>
      <c r="AD67" s="209">
        <v>7800</v>
      </c>
      <c r="AE67" s="209">
        <v>7375</v>
      </c>
      <c r="AF67" s="209">
        <v>7800</v>
      </c>
      <c r="AG67" s="209">
        <v>7800</v>
      </c>
      <c r="AH67" s="209">
        <v>7175</v>
      </c>
      <c r="AI67" s="209">
        <v>7600</v>
      </c>
      <c r="AJ67" s="209">
        <v>7600</v>
      </c>
      <c r="AK67" s="209">
        <v>7675</v>
      </c>
      <c r="AL67" s="209">
        <v>8200</v>
      </c>
      <c r="AM67" s="209">
        <v>8200</v>
      </c>
      <c r="AN67" s="213">
        <v>1300</v>
      </c>
      <c r="AO67" s="213">
        <v>1400</v>
      </c>
      <c r="AP67" s="213">
        <v>1400</v>
      </c>
      <c r="AQ67" s="209">
        <v>8015</v>
      </c>
      <c r="AR67" s="209">
        <v>8765</v>
      </c>
      <c r="AS67" s="209">
        <v>8765</v>
      </c>
      <c r="AT67" s="209">
        <v>7500</v>
      </c>
      <c r="AU67" s="209">
        <v>8000</v>
      </c>
      <c r="AV67" s="209">
        <v>8000</v>
      </c>
      <c r="AW67" s="209">
        <v>8375</v>
      </c>
      <c r="AX67" s="209">
        <v>8800</v>
      </c>
      <c r="AY67" s="209">
        <v>8800</v>
      </c>
      <c r="AZ67" s="209">
        <v>7975</v>
      </c>
      <c r="BA67" s="209">
        <v>8625</v>
      </c>
      <c r="BB67" s="209">
        <v>8625</v>
      </c>
      <c r="BC67" s="209">
        <v>8125</v>
      </c>
      <c r="BD67" s="209">
        <v>8675</v>
      </c>
      <c r="BE67" s="209">
        <v>8675</v>
      </c>
      <c r="BF67" s="209">
        <v>8200</v>
      </c>
      <c r="BG67" s="209">
        <v>9000</v>
      </c>
      <c r="BH67" s="209">
        <v>9000</v>
      </c>
      <c r="BI67" s="209">
        <v>8575</v>
      </c>
      <c r="BJ67" s="209">
        <v>9000</v>
      </c>
      <c r="BK67" s="209">
        <v>9000</v>
      </c>
      <c r="BL67" s="209">
        <v>8575</v>
      </c>
      <c r="BM67" s="209">
        <v>9000</v>
      </c>
      <c r="BN67" s="209">
        <v>9000</v>
      </c>
      <c r="BO67" s="209">
        <v>8575</v>
      </c>
      <c r="BP67" s="209">
        <v>9000</v>
      </c>
      <c r="BQ67" s="209">
        <v>9000</v>
      </c>
      <c r="BR67" s="213">
        <v>-100</v>
      </c>
      <c r="BS67" s="213">
        <v>-100</v>
      </c>
      <c r="BT67" s="213">
        <v>-100</v>
      </c>
      <c r="BU67" s="6">
        <f t="shared" si="7"/>
        <v>11266</v>
      </c>
      <c r="BV67" s="6">
        <f t="shared" si="8"/>
        <v>11691</v>
      </c>
      <c r="BW67" s="6">
        <f t="shared" si="9"/>
        <v>11691</v>
      </c>
      <c r="CH67" s="1"/>
      <c r="CI67" s="1"/>
    </row>
    <row r="68" spans="1:87" ht="14.5" x14ac:dyDescent="0.35">
      <c r="A68" s="3" t="s">
        <v>140</v>
      </c>
      <c r="B68" s="3"/>
      <c r="C68" s="53" t="s">
        <v>141</v>
      </c>
      <c r="D68" s="209">
        <v>7600</v>
      </c>
      <c r="E68" s="209">
        <v>8100</v>
      </c>
      <c r="F68" s="209">
        <v>8100</v>
      </c>
      <c r="G68" s="209">
        <v>7600</v>
      </c>
      <c r="H68" s="209">
        <v>8300</v>
      </c>
      <c r="I68" s="209">
        <v>8300</v>
      </c>
      <c r="J68" s="209">
        <v>7600</v>
      </c>
      <c r="K68" s="209">
        <v>8100</v>
      </c>
      <c r="L68" s="209">
        <v>8100</v>
      </c>
      <c r="M68" s="209">
        <v>7600</v>
      </c>
      <c r="N68" s="209">
        <v>8100</v>
      </c>
      <c r="O68" s="209">
        <v>8100</v>
      </c>
      <c r="P68" s="209">
        <v>7600</v>
      </c>
      <c r="Q68" s="209">
        <v>8100</v>
      </c>
      <c r="R68" s="209">
        <v>8100</v>
      </c>
      <c r="S68" s="209">
        <v>7600</v>
      </c>
      <c r="T68" s="209">
        <v>8100</v>
      </c>
      <c r="U68" s="209">
        <v>8100</v>
      </c>
      <c r="V68" s="209">
        <v>7600</v>
      </c>
      <c r="W68" s="209">
        <v>8100</v>
      </c>
      <c r="X68" s="209">
        <v>8100</v>
      </c>
      <c r="Y68" s="209">
        <v>7600</v>
      </c>
      <c r="Z68" s="209">
        <v>8100</v>
      </c>
      <c r="AA68" s="209">
        <v>8100</v>
      </c>
      <c r="AB68" s="209">
        <v>7600</v>
      </c>
      <c r="AC68" s="209">
        <v>8100</v>
      </c>
      <c r="AD68" s="209">
        <v>8100</v>
      </c>
      <c r="AE68" s="209">
        <v>7600</v>
      </c>
      <c r="AF68" s="209">
        <v>8100</v>
      </c>
      <c r="AG68" s="209">
        <v>8100</v>
      </c>
      <c r="AH68" s="209">
        <v>7400</v>
      </c>
      <c r="AI68" s="209">
        <v>8100</v>
      </c>
      <c r="AJ68" s="209">
        <v>8100</v>
      </c>
      <c r="AK68" s="209">
        <v>7900</v>
      </c>
      <c r="AL68" s="209">
        <v>8700</v>
      </c>
      <c r="AM68" s="209">
        <v>8700</v>
      </c>
      <c r="AN68" s="213">
        <v>1300</v>
      </c>
      <c r="AO68" s="213">
        <v>1400</v>
      </c>
      <c r="AP68" s="213">
        <v>1400</v>
      </c>
      <c r="AQ68" s="209">
        <v>8240</v>
      </c>
      <c r="AR68" s="209">
        <v>8600</v>
      </c>
      <c r="AS68" s="209">
        <v>8600</v>
      </c>
      <c r="AT68" s="209">
        <v>7725</v>
      </c>
      <c r="AU68" s="209">
        <v>8100</v>
      </c>
      <c r="AV68" s="209">
        <v>8100</v>
      </c>
      <c r="AW68" s="209">
        <v>8600</v>
      </c>
      <c r="AX68" s="209">
        <v>8900</v>
      </c>
      <c r="AY68" s="209">
        <v>8900</v>
      </c>
      <c r="AZ68" s="209">
        <v>8200</v>
      </c>
      <c r="BA68" s="209">
        <v>8800</v>
      </c>
      <c r="BB68" s="209">
        <v>8800</v>
      </c>
      <c r="BC68" s="209">
        <v>8350</v>
      </c>
      <c r="BD68" s="209">
        <v>8600</v>
      </c>
      <c r="BE68" s="209">
        <v>8600</v>
      </c>
      <c r="BF68" s="209">
        <v>8425</v>
      </c>
      <c r="BG68" s="209">
        <v>8600</v>
      </c>
      <c r="BH68" s="209">
        <v>8600</v>
      </c>
      <c r="BI68" s="209">
        <v>8800</v>
      </c>
      <c r="BJ68" s="209">
        <v>9100</v>
      </c>
      <c r="BK68" s="209">
        <v>9100</v>
      </c>
      <c r="BL68" s="209">
        <v>8800</v>
      </c>
      <c r="BM68" s="209">
        <v>9300</v>
      </c>
      <c r="BN68" s="209">
        <v>9300</v>
      </c>
      <c r="BO68" s="209">
        <v>8800</v>
      </c>
      <c r="BP68" s="209">
        <v>9100</v>
      </c>
      <c r="BQ68" s="209">
        <v>9100</v>
      </c>
      <c r="BR68" s="213">
        <v>-100</v>
      </c>
      <c r="BS68" s="213">
        <v>-100</v>
      </c>
      <c r="BT68" s="213">
        <v>-100</v>
      </c>
      <c r="BU68" s="6">
        <f t="shared" si="7"/>
        <v>11491</v>
      </c>
      <c r="BV68" s="6">
        <f t="shared" si="8"/>
        <v>11791</v>
      </c>
      <c r="BW68" s="6">
        <f t="shared" si="9"/>
        <v>11791</v>
      </c>
      <c r="CH68" s="1"/>
      <c r="CI68" s="1"/>
    </row>
    <row r="69" spans="1:87" ht="14.5" x14ac:dyDescent="0.35">
      <c r="A69" s="80" t="s">
        <v>142</v>
      </c>
      <c r="B69" s="80" t="s">
        <v>143</v>
      </c>
      <c r="C69" s="81" t="s">
        <v>144</v>
      </c>
      <c r="D69" s="209">
        <v>7250</v>
      </c>
      <c r="E69" s="209">
        <v>7600</v>
      </c>
      <c r="F69" s="209">
        <v>7600</v>
      </c>
      <c r="G69" s="209">
        <v>7250</v>
      </c>
      <c r="H69" s="209">
        <v>7600</v>
      </c>
      <c r="I69" s="209">
        <v>7600</v>
      </c>
      <c r="J69" s="209">
        <v>7250</v>
      </c>
      <c r="K69" s="209">
        <v>7600</v>
      </c>
      <c r="L69" s="209">
        <v>7600</v>
      </c>
      <c r="M69" s="209">
        <v>7250</v>
      </c>
      <c r="N69" s="209">
        <v>7600</v>
      </c>
      <c r="O69" s="209">
        <v>7600</v>
      </c>
      <c r="P69" s="209">
        <v>7250</v>
      </c>
      <c r="Q69" s="209">
        <v>7600</v>
      </c>
      <c r="R69" s="209">
        <v>7600</v>
      </c>
      <c r="S69" s="209">
        <v>7250</v>
      </c>
      <c r="T69" s="209">
        <v>7600</v>
      </c>
      <c r="U69" s="209">
        <v>7600</v>
      </c>
      <c r="V69" s="209">
        <v>7250</v>
      </c>
      <c r="W69" s="209">
        <v>7600</v>
      </c>
      <c r="X69" s="209">
        <v>7600</v>
      </c>
      <c r="Y69" s="209">
        <v>7250</v>
      </c>
      <c r="Z69" s="209">
        <v>7600</v>
      </c>
      <c r="AA69" s="209">
        <v>7600</v>
      </c>
      <c r="AB69" s="209">
        <v>7250</v>
      </c>
      <c r="AC69" s="209">
        <v>7600</v>
      </c>
      <c r="AD69" s="209">
        <v>7600</v>
      </c>
      <c r="AE69" s="209">
        <v>7250</v>
      </c>
      <c r="AF69" s="209">
        <v>7600</v>
      </c>
      <c r="AG69" s="209">
        <v>7600</v>
      </c>
      <c r="AH69" s="209">
        <v>7050</v>
      </c>
      <c r="AI69" s="209">
        <v>7400</v>
      </c>
      <c r="AJ69" s="209">
        <v>7400</v>
      </c>
      <c r="AK69" s="209">
        <v>7550</v>
      </c>
      <c r="AL69" s="209">
        <v>8000</v>
      </c>
      <c r="AM69" s="209">
        <v>8000</v>
      </c>
      <c r="AN69" s="213">
        <v>1300</v>
      </c>
      <c r="AO69" s="213">
        <v>1400</v>
      </c>
      <c r="AP69" s="213">
        <v>1400</v>
      </c>
      <c r="AQ69" s="209">
        <v>7890</v>
      </c>
      <c r="AR69" s="209">
        <v>8565</v>
      </c>
      <c r="AS69" s="209">
        <v>8565</v>
      </c>
      <c r="AT69" s="209">
        <v>7375</v>
      </c>
      <c r="AU69" s="209">
        <v>7800</v>
      </c>
      <c r="AV69" s="209">
        <v>7800</v>
      </c>
      <c r="AW69" s="209">
        <v>8250</v>
      </c>
      <c r="AX69" s="209">
        <v>8600</v>
      </c>
      <c r="AY69" s="209">
        <v>8600</v>
      </c>
      <c r="AZ69" s="209">
        <v>7850</v>
      </c>
      <c r="BA69" s="209">
        <v>8425</v>
      </c>
      <c r="BB69" s="209">
        <v>8425</v>
      </c>
      <c r="BC69" s="209">
        <v>8000</v>
      </c>
      <c r="BD69" s="209">
        <v>8475</v>
      </c>
      <c r="BE69" s="209">
        <v>8475</v>
      </c>
      <c r="BF69" s="209">
        <v>8075</v>
      </c>
      <c r="BG69" s="209">
        <v>8800</v>
      </c>
      <c r="BH69" s="209">
        <v>8800</v>
      </c>
      <c r="BI69" s="209">
        <v>8450</v>
      </c>
      <c r="BJ69" s="209">
        <v>8800</v>
      </c>
      <c r="BK69" s="209">
        <v>8800</v>
      </c>
      <c r="BL69" s="209">
        <v>8450</v>
      </c>
      <c r="BM69" s="209">
        <v>8800</v>
      </c>
      <c r="BN69" s="209">
        <v>8800</v>
      </c>
      <c r="BO69" s="209">
        <v>8450</v>
      </c>
      <c r="BP69" s="209">
        <v>8800</v>
      </c>
      <c r="BQ69" s="209">
        <v>8800</v>
      </c>
      <c r="BR69" s="213">
        <v>-100</v>
      </c>
      <c r="BS69" s="213">
        <v>-100</v>
      </c>
      <c r="BT69" s="213">
        <v>-100</v>
      </c>
      <c r="BU69" s="6">
        <f t="shared" si="7"/>
        <v>11141</v>
      </c>
      <c r="BV69" s="6">
        <f t="shared" si="8"/>
        <v>11491</v>
      </c>
      <c r="BW69" s="6">
        <f t="shared" si="9"/>
        <v>11491</v>
      </c>
      <c r="CH69" s="1"/>
      <c r="CI69" s="1"/>
    </row>
    <row r="70" spans="1:87" ht="14.5" x14ac:dyDescent="0.35">
      <c r="A70" s="80" t="s">
        <v>145</v>
      </c>
      <c r="B70" s="80" t="s">
        <v>146</v>
      </c>
      <c r="C70" s="81" t="s">
        <v>147</v>
      </c>
      <c r="D70" s="209">
        <v>7300</v>
      </c>
      <c r="E70" s="209">
        <v>7800</v>
      </c>
      <c r="F70" s="209">
        <v>7800</v>
      </c>
      <c r="G70" s="209">
        <v>7300</v>
      </c>
      <c r="H70" s="209">
        <v>7800</v>
      </c>
      <c r="I70" s="209">
        <v>7800</v>
      </c>
      <c r="J70" s="209">
        <v>7300</v>
      </c>
      <c r="K70" s="209">
        <v>7800</v>
      </c>
      <c r="L70" s="209">
        <v>7800</v>
      </c>
      <c r="M70" s="209">
        <v>7300</v>
      </c>
      <c r="N70" s="209">
        <v>7800</v>
      </c>
      <c r="O70" s="209">
        <v>7800</v>
      </c>
      <c r="P70" s="209">
        <v>7300</v>
      </c>
      <c r="Q70" s="209">
        <v>7800</v>
      </c>
      <c r="R70" s="209">
        <v>7800</v>
      </c>
      <c r="S70" s="209">
        <v>7300</v>
      </c>
      <c r="T70" s="209">
        <v>7800</v>
      </c>
      <c r="U70" s="209">
        <v>7800</v>
      </c>
      <c r="V70" s="209">
        <v>7300</v>
      </c>
      <c r="W70" s="209">
        <v>7800</v>
      </c>
      <c r="X70" s="209">
        <v>7800</v>
      </c>
      <c r="Y70" s="209">
        <v>7300</v>
      </c>
      <c r="Z70" s="209">
        <v>7800</v>
      </c>
      <c r="AA70" s="209">
        <v>7800</v>
      </c>
      <c r="AB70" s="209">
        <v>7300</v>
      </c>
      <c r="AC70" s="209">
        <v>7800</v>
      </c>
      <c r="AD70" s="209">
        <v>7800</v>
      </c>
      <c r="AE70" s="209">
        <v>7300</v>
      </c>
      <c r="AF70" s="209">
        <v>7800</v>
      </c>
      <c r="AG70" s="209">
        <v>7800</v>
      </c>
      <c r="AH70" s="209">
        <v>7100</v>
      </c>
      <c r="AI70" s="209">
        <v>7600</v>
      </c>
      <c r="AJ70" s="209">
        <v>7600</v>
      </c>
      <c r="AK70" s="209">
        <v>7600</v>
      </c>
      <c r="AL70" s="209">
        <v>8200</v>
      </c>
      <c r="AM70" s="209">
        <v>8200</v>
      </c>
      <c r="AN70" s="213">
        <v>1300</v>
      </c>
      <c r="AO70" s="213">
        <v>1400</v>
      </c>
      <c r="AP70" s="213">
        <v>1400</v>
      </c>
      <c r="AQ70" s="209">
        <v>7940</v>
      </c>
      <c r="AR70" s="209">
        <v>8765</v>
      </c>
      <c r="AS70" s="209">
        <v>8765</v>
      </c>
      <c r="AT70" s="209">
        <v>7425</v>
      </c>
      <c r="AU70" s="209">
        <v>8000</v>
      </c>
      <c r="AV70" s="209">
        <v>8000</v>
      </c>
      <c r="AW70" s="209">
        <v>8300</v>
      </c>
      <c r="AX70" s="209">
        <v>8800</v>
      </c>
      <c r="AY70" s="209">
        <v>8800</v>
      </c>
      <c r="AZ70" s="209">
        <v>7900</v>
      </c>
      <c r="BA70" s="209">
        <v>8625</v>
      </c>
      <c r="BB70" s="209">
        <v>8625</v>
      </c>
      <c r="BC70" s="209">
        <v>8050</v>
      </c>
      <c r="BD70" s="209">
        <v>8675</v>
      </c>
      <c r="BE70" s="209">
        <v>8675</v>
      </c>
      <c r="BF70" s="209">
        <v>8125</v>
      </c>
      <c r="BG70" s="209">
        <v>9000</v>
      </c>
      <c r="BH70" s="209">
        <v>9000</v>
      </c>
      <c r="BI70" s="209">
        <v>8500</v>
      </c>
      <c r="BJ70" s="209">
        <v>9000</v>
      </c>
      <c r="BK70" s="209">
        <v>9000</v>
      </c>
      <c r="BL70" s="209">
        <v>8500</v>
      </c>
      <c r="BM70" s="209">
        <v>9000</v>
      </c>
      <c r="BN70" s="209">
        <v>9000</v>
      </c>
      <c r="BO70" s="209">
        <v>8500</v>
      </c>
      <c r="BP70" s="209">
        <v>9000</v>
      </c>
      <c r="BQ70" s="209">
        <v>9000</v>
      </c>
      <c r="BR70" s="213">
        <v>-100</v>
      </c>
      <c r="BS70" s="213">
        <v>-100</v>
      </c>
      <c r="BT70" s="213">
        <v>-100</v>
      </c>
      <c r="BU70" s="6">
        <f t="shared" si="7"/>
        <v>11191</v>
      </c>
      <c r="BV70" s="6">
        <f t="shared" si="8"/>
        <v>11691</v>
      </c>
      <c r="BW70" s="6">
        <f t="shared" si="9"/>
        <v>11691</v>
      </c>
      <c r="CH70" s="1"/>
      <c r="CI70" s="1"/>
    </row>
    <row r="71" spans="1:87" ht="14.5" x14ac:dyDescent="0.35">
      <c r="A71" s="80" t="s">
        <v>148</v>
      </c>
      <c r="B71" s="80" t="s">
        <v>143</v>
      </c>
      <c r="C71" s="81" t="s">
        <v>149</v>
      </c>
      <c r="D71" s="209">
        <v>7250</v>
      </c>
      <c r="E71" s="209">
        <v>7600</v>
      </c>
      <c r="F71" s="209">
        <v>7600</v>
      </c>
      <c r="G71" s="209">
        <v>7250</v>
      </c>
      <c r="H71" s="209">
        <v>7600</v>
      </c>
      <c r="I71" s="209">
        <v>7600</v>
      </c>
      <c r="J71" s="209">
        <v>7250</v>
      </c>
      <c r="K71" s="209">
        <v>7600</v>
      </c>
      <c r="L71" s="209">
        <v>7600</v>
      </c>
      <c r="M71" s="209">
        <v>7250</v>
      </c>
      <c r="N71" s="209">
        <v>7600</v>
      </c>
      <c r="O71" s="209">
        <v>7600</v>
      </c>
      <c r="P71" s="209">
        <v>7250</v>
      </c>
      <c r="Q71" s="209">
        <v>7600</v>
      </c>
      <c r="R71" s="209">
        <v>7600</v>
      </c>
      <c r="S71" s="209">
        <v>7250</v>
      </c>
      <c r="T71" s="209">
        <v>7600</v>
      </c>
      <c r="U71" s="209">
        <v>7600</v>
      </c>
      <c r="V71" s="209">
        <v>7250</v>
      </c>
      <c r="W71" s="209">
        <v>7600</v>
      </c>
      <c r="X71" s="209">
        <v>7600</v>
      </c>
      <c r="Y71" s="209">
        <v>7250</v>
      </c>
      <c r="Z71" s="209">
        <v>7600</v>
      </c>
      <c r="AA71" s="209">
        <v>7600</v>
      </c>
      <c r="AB71" s="209">
        <v>7250</v>
      </c>
      <c r="AC71" s="209">
        <v>7600</v>
      </c>
      <c r="AD71" s="209">
        <v>7600</v>
      </c>
      <c r="AE71" s="209">
        <v>7250</v>
      </c>
      <c r="AF71" s="209">
        <v>7600</v>
      </c>
      <c r="AG71" s="209">
        <v>7600</v>
      </c>
      <c r="AH71" s="209">
        <v>7050</v>
      </c>
      <c r="AI71" s="209">
        <v>7400</v>
      </c>
      <c r="AJ71" s="209">
        <v>7400</v>
      </c>
      <c r="AK71" s="209">
        <v>7550</v>
      </c>
      <c r="AL71" s="209">
        <v>8000</v>
      </c>
      <c r="AM71" s="209">
        <v>8000</v>
      </c>
      <c r="AN71" s="213">
        <v>1300</v>
      </c>
      <c r="AO71" s="213">
        <v>1400</v>
      </c>
      <c r="AP71" s="213">
        <v>1400</v>
      </c>
      <c r="AQ71" s="209">
        <v>7890</v>
      </c>
      <c r="AR71" s="209">
        <v>8565</v>
      </c>
      <c r="AS71" s="209">
        <v>8565</v>
      </c>
      <c r="AT71" s="209">
        <v>7375</v>
      </c>
      <c r="AU71" s="209">
        <v>7800</v>
      </c>
      <c r="AV71" s="209">
        <v>7800</v>
      </c>
      <c r="AW71" s="209">
        <v>8250</v>
      </c>
      <c r="AX71" s="209">
        <v>8600</v>
      </c>
      <c r="AY71" s="209">
        <v>8600</v>
      </c>
      <c r="AZ71" s="209">
        <v>7850</v>
      </c>
      <c r="BA71" s="209">
        <v>8425</v>
      </c>
      <c r="BB71" s="209">
        <v>8425</v>
      </c>
      <c r="BC71" s="209">
        <v>8000</v>
      </c>
      <c r="BD71" s="209">
        <v>8475</v>
      </c>
      <c r="BE71" s="209">
        <v>8475</v>
      </c>
      <c r="BF71" s="209">
        <v>8075</v>
      </c>
      <c r="BG71" s="209">
        <v>8800</v>
      </c>
      <c r="BH71" s="209">
        <v>8800</v>
      </c>
      <c r="BI71" s="209">
        <v>8450</v>
      </c>
      <c r="BJ71" s="209">
        <v>8800</v>
      </c>
      <c r="BK71" s="209">
        <v>8800</v>
      </c>
      <c r="BL71" s="209">
        <v>8450</v>
      </c>
      <c r="BM71" s="209">
        <v>8800</v>
      </c>
      <c r="BN71" s="209">
        <v>8800</v>
      </c>
      <c r="BO71" s="209">
        <v>8450</v>
      </c>
      <c r="BP71" s="209">
        <v>8800</v>
      </c>
      <c r="BQ71" s="209">
        <v>8800</v>
      </c>
      <c r="BR71" s="213">
        <v>-100</v>
      </c>
      <c r="BS71" s="213">
        <v>-100</v>
      </c>
      <c r="BT71" s="213">
        <v>-100</v>
      </c>
      <c r="BU71" s="6">
        <f t="shared" si="7"/>
        <v>11141</v>
      </c>
      <c r="BV71" s="6">
        <f t="shared" si="8"/>
        <v>11491</v>
      </c>
      <c r="BW71" s="6">
        <f t="shared" si="9"/>
        <v>11491</v>
      </c>
      <c r="CH71" s="1"/>
      <c r="CI71" s="1"/>
    </row>
    <row r="72" spans="1:87" ht="14.5" x14ac:dyDescent="0.35">
      <c r="A72" s="80" t="s">
        <v>150</v>
      </c>
      <c r="B72" s="80"/>
      <c r="C72" s="81" t="s">
        <v>151</v>
      </c>
      <c r="D72" s="209">
        <v>7600</v>
      </c>
      <c r="E72" s="209">
        <v>8100</v>
      </c>
      <c r="F72" s="209">
        <v>8100</v>
      </c>
      <c r="G72" s="209">
        <v>7600</v>
      </c>
      <c r="H72" s="209">
        <v>8100</v>
      </c>
      <c r="I72" s="209">
        <v>8100</v>
      </c>
      <c r="J72" s="209">
        <v>7600</v>
      </c>
      <c r="K72" s="209">
        <v>8100</v>
      </c>
      <c r="L72" s="209">
        <v>8100</v>
      </c>
      <c r="M72" s="209">
        <v>7600</v>
      </c>
      <c r="N72" s="209">
        <v>8100</v>
      </c>
      <c r="O72" s="209">
        <v>8100</v>
      </c>
      <c r="P72" s="209">
        <v>7600</v>
      </c>
      <c r="Q72" s="209">
        <v>8100</v>
      </c>
      <c r="R72" s="209">
        <v>8100</v>
      </c>
      <c r="S72" s="209">
        <v>7600</v>
      </c>
      <c r="T72" s="209">
        <v>8100</v>
      </c>
      <c r="U72" s="209">
        <v>8100</v>
      </c>
      <c r="V72" s="209">
        <v>7600</v>
      </c>
      <c r="W72" s="209">
        <v>8100</v>
      </c>
      <c r="X72" s="209">
        <v>8100</v>
      </c>
      <c r="Y72" s="209">
        <v>7600</v>
      </c>
      <c r="Z72" s="209">
        <v>8100</v>
      </c>
      <c r="AA72" s="209">
        <v>8100</v>
      </c>
      <c r="AB72" s="209">
        <v>7600</v>
      </c>
      <c r="AC72" s="209">
        <v>8100</v>
      </c>
      <c r="AD72" s="209">
        <v>8100</v>
      </c>
      <c r="AE72" s="209">
        <v>7600</v>
      </c>
      <c r="AF72" s="209">
        <v>8100</v>
      </c>
      <c r="AG72" s="209">
        <v>8100</v>
      </c>
      <c r="AH72" s="209">
        <v>7400</v>
      </c>
      <c r="AI72" s="209">
        <v>7900</v>
      </c>
      <c r="AJ72" s="209">
        <v>7900</v>
      </c>
      <c r="AK72" s="209">
        <v>7900</v>
      </c>
      <c r="AL72" s="209">
        <v>8500</v>
      </c>
      <c r="AM72" s="209">
        <v>8500</v>
      </c>
      <c r="AN72" s="213">
        <v>1300</v>
      </c>
      <c r="AO72" s="213">
        <v>1400</v>
      </c>
      <c r="AP72" s="213">
        <v>1400</v>
      </c>
      <c r="AQ72" s="209">
        <v>8240</v>
      </c>
      <c r="AR72" s="209">
        <v>9065</v>
      </c>
      <c r="AS72" s="209">
        <v>9065</v>
      </c>
      <c r="AT72" s="209">
        <v>7725</v>
      </c>
      <c r="AU72" s="209">
        <v>8300</v>
      </c>
      <c r="AV72" s="209">
        <v>8300</v>
      </c>
      <c r="AW72" s="209">
        <v>8600</v>
      </c>
      <c r="AX72" s="209">
        <v>9100</v>
      </c>
      <c r="AY72" s="209">
        <v>9100</v>
      </c>
      <c r="AZ72" s="209">
        <v>8200</v>
      </c>
      <c r="BA72" s="209">
        <v>8925</v>
      </c>
      <c r="BB72" s="209">
        <v>8925</v>
      </c>
      <c r="BC72" s="209">
        <v>8350</v>
      </c>
      <c r="BD72" s="209">
        <v>8975</v>
      </c>
      <c r="BE72" s="209">
        <v>8975</v>
      </c>
      <c r="BF72" s="209">
        <v>8425</v>
      </c>
      <c r="BG72" s="209">
        <v>9300</v>
      </c>
      <c r="BH72" s="209">
        <v>9300</v>
      </c>
      <c r="BI72" s="209">
        <v>8800</v>
      </c>
      <c r="BJ72" s="209">
        <v>9300</v>
      </c>
      <c r="BK72" s="209">
        <v>9300</v>
      </c>
      <c r="BL72" s="209">
        <v>8800</v>
      </c>
      <c r="BM72" s="209">
        <v>9300</v>
      </c>
      <c r="BN72" s="209">
        <v>9300</v>
      </c>
      <c r="BO72" s="209">
        <v>8800</v>
      </c>
      <c r="BP72" s="209">
        <v>9300</v>
      </c>
      <c r="BQ72" s="209">
        <v>9300</v>
      </c>
      <c r="BR72" s="213">
        <v>-100</v>
      </c>
      <c r="BS72" s="213">
        <v>-100</v>
      </c>
      <c r="BT72" s="213">
        <v>-100</v>
      </c>
      <c r="BU72" s="6">
        <f t="shared" si="7"/>
        <v>11491</v>
      </c>
      <c r="BV72" s="6">
        <f t="shared" si="8"/>
        <v>11991</v>
      </c>
      <c r="BW72" s="6">
        <f t="shared" si="9"/>
        <v>11991</v>
      </c>
      <c r="CH72" s="1"/>
      <c r="CI72" s="1"/>
    </row>
    <row r="73" spans="1:87" ht="14.5" x14ac:dyDescent="0.35">
      <c r="A73" s="3" t="s">
        <v>152</v>
      </c>
      <c r="B73" s="3" t="s">
        <v>83</v>
      </c>
      <c r="C73" s="53" t="s">
        <v>153</v>
      </c>
      <c r="D73" s="209">
        <v>7375</v>
      </c>
      <c r="E73" s="209">
        <v>7750</v>
      </c>
      <c r="F73" s="209">
        <v>7750</v>
      </c>
      <c r="G73" s="209">
        <v>7375</v>
      </c>
      <c r="H73" s="209">
        <v>7750</v>
      </c>
      <c r="I73" s="209">
        <v>7750</v>
      </c>
      <c r="J73" s="209">
        <v>7375</v>
      </c>
      <c r="K73" s="209">
        <v>7750</v>
      </c>
      <c r="L73" s="209">
        <v>7750</v>
      </c>
      <c r="M73" s="209">
        <v>7375</v>
      </c>
      <c r="N73" s="209">
        <v>7750</v>
      </c>
      <c r="O73" s="209">
        <v>7750</v>
      </c>
      <c r="P73" s="209">
        <v>7375</v>
      </c>
      <c r="Q73" s="209">
        <v>7750</v>
      </c>
      <c r="R73" s="209">
        <v>7750</v>
      </c>
      <c r="S73" s="209">
        <v>7375</v>
      </c>
      <c r="T73" s="209">
        <v>7750</v>
      </c>
      <c r="U73" s="209">
        <v>7750</v>
      </c>
      <c r="V73" s="209">
        <v>7375</v>
      </c>
      <c r="W73" s="209">
        <v>7750</v>
      </c>
      <c r="X73" s="209">
        <v>7750</v>
      </c>
      <c r="Y73" s="209">
        <v>7375</v>
      </c>
      <c r="Z73" s="209">
        <v>7750</v>
      </c>
      <c r="AA73" s="209">
        <v>7750</v>
      </c>
      <c r="AB73" s="209">
        <v>7375</v>
      </c>
      <c r="AC73" s="209">
        <v>7750</v>
      </c>
      <c r="AD73" s="209">
        <v>7750</v>
      </c>
      <c r="AE73" s="209">
        <v>7375</v>
      </c>
      <c r="AF73" s="209">
        <v>7750</v>
      </c>
      <c r="AG73" s="209">
        <v>7750</v>
      </c>
      <c r="AH73" s="209">
        <v>7175</v>
      </c>
      <c r="AI73" s="209">
        <v>7550</v>
      </c>
      <c r="AJ73" s="209">
        <v>7550</v>
      </c>
      <c r="AK73" s="209">
        <v>7675</v>
      </c>
      <c r="AL73" s="209">
        <v>8150</v>
      </c>
      <c r="AM73" s="209">
        <v>8150</v>
      </c>
      <c r="AN73" s="213">
        <v>1300</v>
      </c>
      <c r="AO73" s="213">
        <v>1400</v>
      </c>
      <c r="AP73" s="213">
        <v>1400</v>
      </c>
      <c r="AQ73" s="209">
        <v>8015</v>
      </c>
      <c r="AR73" s="209">
        <v>8715</v>
      </c>
      <c r="AS73" s="209">
        <v>8715</v>
      </c>
      <c r="AT73" s="209">
        <v>7500</v>
      </c>
      <c r="AU73" s="209">
        <v>7950</v>
      </c>
      <c r="AV73" s="209">
        <v>7950</v>
      </c>
      <c r="AW73" s="209">
        <v>8375</v>
      </c>
      <c r="AX73" s="209">
        <v>8750</v>
      </c>
      <c r="AY73" s="209">
        <v>8750</v>
      </c>
      <c r="AZ73" s="209">
        <v>7975</v>
      </c>
      <c r="BA73" s="209">
        <v>8575</v>
      </c>
      <c r="BB73" s="209">
        <v>8575</v>
      </c>
      <c r="BC73" s="209">
        <v>8125</v>
      </c>
      <c r="BD73" s="209">
        <v>8625</v>
      </c>
      <c r="BE73" s="209">
        <v>8625</v>
      </c>
      <c r="BF73" s="209">
        <v>8200</v>
      </c>
      <c r="BG73" s="209">
        <v>8950</v>
      </c>
      <c r="BH73" s="209">
        <v>8950</v>
      </c>
      <c r="BI73" s="209">
        <v>8575</v>
      </c>
      <c r="BJ73" s="209">
        <v>8950</v>
      </c>
      <c r="BK73" s="209">
        <v>8950</v>
      </c>
      <c r="BL73" s="209">
        <v>8575</v>
      </c>
      <c r="BM73" s="209">
        <v>8950</v>
      </c>
      <c r="BN73" s="209">
        <v>8950</v>
      </c>
      <c r="BO73" s="209">
        <v>8575</v>
      </c>
      <c r="BP73" s="209">
        <v>8950</v>
      </c>
      <c r="BQ73" s="209">
        <v>8950</v>
      </c>
      <c r="BR73" s="213">
        <v>-100</v>
      </c>
      <c r="BS73" s="213">
        <v>-100</v>
      </c>
      <c r="BT73" s="213">
        <v>-100</v>
      </c>
      <c r="BU73" s="6">
        <f t="shared" si="7"/>
        <v>11266</v>
      </c>
      <c r="BV73" s="6">
        <f t="shared" si="8"/>
        <v>11641</v>
      </c>
      <c r="BW73" s="6">
        <f t="shared" si="9"/>
        <v>11641</v>
      </c>
      <c r="CH73" s="1"/>
      <c r="CI73" s="1"/>
    </row>
    <row r="74" spans="1:87" ht="14.5" x14ac:dyDescent="0.35">
      <c r="A74" s="3" t="s">
        <v>154</v>
      </c>
      <c r="B74" s="3"/>
      <c r="C74" s="53" t="s">
        <v>155</v>
      </c>
      <c r="D74" s="209">
        <v>7450</v>
      </c>
      <c r="E74" s="209">
        <v>7925</v>
      </c>
      <c r="F74" s="209">
        <v>7925</v>
      </c>
      <c r="G74" s="209">
        <v>7450</v>
      </c>
      <c r="H74" s="209">
        <v>7925</v>
      </c>
      <c r="I74" s="209">
        <v>7925</v>
      </c>
      <c r="J74" s="209">
        <v>7450</v>
      </c>
      <c r="K74" s="209">
        <v>7925</v>
      </c>
      <c r="L74" s="209">
        <v>7925</v>
      </c>
      <c r="M74" s="209">
        <v>7450</v>
      </c>
      <c r="N74" s="209">
        <v>7925</v>
      </c>
      <c r="O74" s="209">
        <v>7925</v>
      </c>
      <c r="P74" s="209">
        <v>7450</v>
      </c>
      <c r="Q74" s="209">
        <v>7925</v>
      </c>
      <c r="R74" s="209">
        <v>7925</v>
      </c>
      <c r="S74" s="209">
        <v>7450</v>
      </c>
      <c r="T74" s="209">
        <v>7925</v>
      </c>
      <c r="U74" s="209">
        <v>7925</v>
      </c>
      <c r="V74" s="209">
        <v>7450</v>
      </c>
      <c r="W74" s="209">
        <v>7925</v>
      </c>
      <c r="X74" s="209">
        <v>7925</v>
      </c>
      <c r="Y74" s="209">
        <v>7450</v>
      </c>
      <c r="Z74" s="209">
        <v>7925</v>
      </c>
      <c r="AA74" s="209">
        <v>7925</v>
      </c>
      <c r="AB74" s="209">
        <v>7450</v>
      </c>
      <c r="AC74" s="209">
        <v>7925</v>
      </c>
      <c r="AD74" s="209">
        <v>7925</v>
      </c>
      <c r="AE74" s="209">
        <v>7450</v>
      </c>
      <c r="AF74" s="209">
        <v>7925</v>
      </c>
      <c r="AG74" s="209">
        <v>7925</v>
      </c>
      <c r="AH74" s="209">
        <v>7250</v>
      </c>
      <c r="AI74" s="209">
        <v>7725</v>
      </c>
      <c r="AJ74" s="209">
        <v>7725</v>
      </c>
      <c r="AK74" s="209">
        <v>7750</v>
      </c>
      <c r="AL74" s="209">
        <v>8325</v>
      </c>
      <c r="AM74" s="209">
        <v>8325</v>
      </c>
      <c r="AN74" s="213">
        <v>1300</v>
      </c>
      <c r="AO74" s="213">
        <v>1400</v>
      </c>
      <c r="AP74" s="213">
        <v>1400</v>
      </c>
      <c r="AQ74" s="209">
        <v>8090</v>
      </c>
      <c r="AR74" s="209">
        <v>8890</v>
      </c>
      <c r="AS74" s="209">
        <v>8890</v>
      </c>
      <c r="AT74" s="209">
        <v>7575</v>
      </c>
      <c r="AU74" s="209">
        <v>8125</v>
      </c>
      <c r="AV74" s="209">
        <v>8125</v>
      </c>
      <c r="AW74" s="209">
        <v>8450</v>
      </c>
      <c r="AX74" s="209">
        <v>8925</v>
      </c>
      <c r="AY74" s="209">
        <v>8925</v>
      </c>
      <c r="AZ74" s="209">
        <v>8050</v>
      </c>
      <c r="BA74" s="209">
        <v>8750</v>
      </c>
      <c r="BB74" s="209">
        <v>8750</v>
      </c>
      <c r="BC74" s="209">
        <v>8200</v>
      </c>
      <c r="BD74" s="209">
        <v>8800</v>
      </c>
      <c r="BE74" s="209">
        <v>8800</v>
      </c>
      <c r="BF74" s="209">
        <v>8275</v>
      </c>
      <c r="BG74" s="209">
        <v>9125</v>
      </c>
      <c r="BH74" s="209">
        <v>9125</v>
      </c>
      <c r="BI74" s="209">
        <v>8650</v>
      </c>
      <c r="BJ74" s="209">
        <v>9125</v>
      </c>
      <c r="BK74" s="209">
        <v>9125</v>
      </c>
      <c r="BL74" s="209">
        <v>8650</v>
      </c>
      <c r="BM74" s="209">
        <v>9125</v>
      </c>
      <c r="BN74" s="209">
        <v>9125</v>
      </c>
      <c r="BO74" s="209">
        <v>8650</v>
      </c>
      <c r="BP74" s="209">
        <v>9125</v>
      </c>
      <c r="BQ74" s="209">
        <v>9125</v>
      </c>
      <c r="BR74" s="213">
        <v>-100</v>
      </c>
      <c r="BS74" s="213">
        <v>-100</v>
      </c>
      <c r="BT74" s="213">
        <v>-100</v>
      </c>
      <c r="BU74" s="6">
        <f t="shared" si="7"/>
        <v>11341</v>
      </c>
      <c r="BV74" s="6">
        <f t="shared" si="8"/>
        <v>11816</v>
      </c>
      <c r="BW74" s="6">
        <f t="shared" si="9"/>
        <v>11816</v>
      </c>
      <c r="CH74" s="1"/>
      <c r="CI74" s="1"/>
    </row>
    <row r="75" spans="1:87" ht="14.5" x14ac:dyDescent="0.35">
      <c r="A75" s="3" t="s">
        <v>156</v>
      </c>
      <c r="B75" s="3"/>
      <c r="C75" s="53" t="s">
        <v>157</v>
      </c>
      <c r="D75" s="209">
        <v>7350</v>
      </c>
      <c r="E75" s="209">
        <v>7750</v>
      </c>
      <c r="F75" s="209">
        <v>7750</v>
      </c>
      <c r="G75" s="209">
        <v>7350</v>
      </c>
      <c r="H75" s="209">
        <v>7750</v>
      </c>
      <c r="I75" s="209">
        <v>7750</v>
      </c>
      <c r="J75" s="209">
        <v>7350</v>
      </c>
      <c r="K75" s="209">
        <v>7750</v>
      </c>
      <c r="L75" s="209">
        <v>7750</v>
      </c>
      <c r="M75" s="209">
        <v>7350</v>
      </c>
      <c r="N75" s="209">
        <v>7750</v>
      </c>
      <c r="O75" s="209">
        <v>7750</v>
      </c>
      <c r="P75" s="209">
        <v>7350</v>
      </c>
      <c r="Q75" s="209">
        <v>7750</v>
      </c>
      <c r="R75" s="209">
        <v>7750</v>
      </c>
      <c r="S75" s="209">
        <v>7350</v>
      </c>
      <c r="T75" s="209">
        <v>7750</v>
      </c>
      <c r="U75" s="209">
        <v>7750</v>
      </c>
      <c r="V75" s="209">
        <v>7350</v>
      </c>
      <c r="W75" s="209">
        <v>7750</v>
      </c>
      <c r="X75" s="209">
        <v>7750</v>
      </c>
      <c r="Y75" s="209">
        <v>7350</v>
      </c>
      <c r="Z75" s="209">
        <v>7750</v>
      </c>
      <c r="AA75" s="209">
        <v>7750</v>
      </c>
      <c r="AB75" s="209">
        <v>7350</v>
      </c>
      <c r="AC75" s="209">
        <v>7750</v>
      </c>
      <c r="AD75" s="209">
        <v>7750</v>
      </c>
      <c r="AE75" s="209">
        <v>7350</v>
      </c>
      <c r="AF75" s="209">
        <v>7750</v>
      </c>
      <c r="AG75" s="209">
        <v>7750</v>
      </c>
      <c r="AH75" s="209">
        <v>7150</v>
      </c>
      <c r="AI75" s="209">
        <v>7550</v>
      </c>
      <c r="AJ75" s="209">
        <v>7550</v>
      </c>
      <c r="AK75" s="209">
        <v>7650</v>
      </c>
      <c r="AL75" s="209">
        <v>8150</v>
      </c>
      <c r="AM75" s="209">
        <v>8150</v>
      </c>
      <c r="AN75" s="213">
        <v>1300</v>
      </c>
      <c r="AO75" s="213">
        <v>1400</v>
      </c>
      <c r="AP75" s="213">
        <v>1400</v>
      </c>
      <c r="AQ75" s="209">
        <v>7990</v>
      </c>
      <c r="AR75" s="209">
        <v>8715</v>
      </c>
      <c r="AS75" s="209">
        <v>8715</v>
      </c>
      <c r="AT75" s="209">
        <v>7475</v>
      </c>
      <c r="AU75" s="209">
        <v>7950</v>
      </c>
      <c r="AV75" s="209">
        <v>7950</v>
      </c>
      <c r="AW75" s="209">
        <v>8350</v>
      </c>
      <c r="AX75" s="209">
        <v>8750</v>
      </c>
      <c r="AY75" s="209">
        <v>8750</v>
      </c>
      <c r="AZ75" s="209">
        <v>7950</v>
      </c>
      <c r="BA75" s="209">
        <v>8575</v>
      </c>
      <c r="BB75" s="209">
        <v>8575</v>
      </c>
      <c r="BC75" s="209">
        <v>8100</v>
      </c>
      <c r="BD75" s="209">
        <v>8625</v>
      </c>
      <c r="BE75" s="209">
        <v>8625</v>
      </c>
      <c r="BF75" s="209">
        <v>8175</v>
      </c>
      <c r="BG75" s="209">
        <v>8950</v>
      </c>
      <c r="BH75" s="209">
        <v>8950</v>
      </c>
      <c r="BI75" s="209">
        <v>8550</v>
      </c>
      <c r="BJ75" s="209">
        <v>8950</v>
      </c>
      <c r="BK75" s="209">
        <v>8950</v>
      </c>
      <c r="BL75" s="209">
        <v>8550</v>
      </c>
      <c r="BM75" s="209">
        <v>8950</v>
      </c>
      <c r="BN75" s="209">
        <v>8950</v>
      </c>
      <c r="BO75" s="209">
        <v>8550</v>
      </c>
      <c r="BP75" s="209">
        <v>8950</v>
      </c>
      <c r="BQ75" s="209">
        <v>8950</v>
      </c>
      <c r="BR75" s="213">
        <v>-100</v>
      </c>
      <c r="BS75" s="213">
        <v>-100</v>
      </c>
      <c r="BT75" s="213">
        <v>-100</v>
      </c>
      <c r="BU75" s="6">
        <f t="shared" si="7"/>
        <v>11241</v>
      </c>
      <c r="BV75" s="6">
        <f t="shared" si="8"/>
        <v>11641</v>
      </c>
      <c r="BW75" s="6">
        <f t="shared" si="9"/>
        <v>11641</v>
      </c>
      <c r="CH75" s="1"/>
      <c r="CI75" s="1"/>
    </row>
    <row r="76" spans="1:87" ht="14.5" x14ac:dyDescent="0.35">
      <c r="A76" s="3" t="s">
        <v>158</v>
      </c>
      <c r="B76" s="3"/>
      <c r="C76" s="53" t="s">
        <v>159</v>
      </c>
      <c r="D76" s="209">
        <v>7425</v>
      </c>
      <c r="E76" s="209">
        <v>7950</v>
      </c>
      <c r="F76" s="209">
        <v>7950</v>
      </c>
      <c r="G76" s="209">
        <v>7425</v>
      </c>
      <c r="H76" s="209">
        <v>7950</v>
      </c>
      <c r="I76" s="209">
        <v>7950</v>
      </c>
      <c r="J76" s="209">
        <v>7425</v>
      </c>
      <c r="K76" s="209">
        <v>7950</v>
      </c>
      <c r="L76" s="209">
        <v>7950</v>
      </c>
      <c r="M76" s="209">
        <v>7425</v>
      </c>
      <c r="N76" s="209">
        <v>7950</v>
      </c>
      <c r="O76" s="209">
        <v>7950</v>
      </c>
      <c r="P76" s="209">
        <v>7425</v>
      </c>
      <c r="Q76" s="209">
        <v>7950</v>
      </c>
      <c r="R76" s="209">
        <v>7950</v>
      </c>
      <c r="S76" s="209">
        <v>7425</v>
      </c>
      <c r="T76" s="209">
        <v>7950</v>
      </c>
      <c r="U76" s="209">
        <v>7950</v>
      </c>
      <c r="V76" s="209">
        <v>7425</v>
      </c>
      <c r="W76" s="209">
        <v>7950</v>
      </c>
      <c r="X76" s="209">
        <v>7950</v>
      </c>
      <c r="Y76" s="209">
        <v>7425</v>
      </c>
      <c r="Z76" s="209">
        <v>7950</v>
      </c>
      <c r="AA76" s="209">
        <v>7950</v>
      </c>
      <c r="AB76" s="209">
        <v>7425</v>
      </c>
      <c r="AC76" s="209">
        <v>7950</v>
      </c>
      <c r="AD76" s="209">
        <v>7950</v>
      </c>
      <c r="AE76" s="209">
        <v>7425</v>
      </c>
      <c r="AF76" s="209">
        <v>7950</v>
      </c>
      <c r="AG76" s="209">
        <v>7950</v>
      </c>
      <c r="AH76" s="209">
        <v>7225</v>
      </c>
      <c r="AI76" s="209">
        <v>7750</v>
      </c>
      <c r="AJ76" s="209">
        <v>7750</v>
      </c>
      <c r="AK76" s="209">
        <v>7725</v>
      </c>
      <c r="AL76" s="209">
        <v>8350</v>
      </c>
      <c r="AM76" s="209">
        <v>8350</v>
      </c>
      <c r="AN76" s="213">
        <v>1300</v>
      </c>
      <c r="AO76" s="213">
        <v>1400</v>
      </c>
      <c r="AP76" s="213">
        <v>1400</v>
      </c>
      <c r="AQ76" s="209">
        <v>8065</v>
      </c>
      <c r="AR76" s="209">
        <v>8915</v>
      </c>
      <c r="AS76" s="209">
        <v>8915</v>
      </c>
      <c r="AT76" s="209">
        <v>7550</v>
      </c>
      <c r="AU76" s="209">
        <v>8150</v>
      </c>
      <c r="AV76" s="209">
        <v>8150</v>
      </c>
      <c r="AW76" s="209">
        <v>8425</v>
      </c>
      <c r="AX76" s="209">
        <v>8950</v>
      </c>
      <c r="AY76" s="209">
        <v>8950</v>
      </c>
      <c r="AZ76" s="209">
        <v>8025</v>
      </c>
      <c r="BA76" s="209">
        <v>8775</v>
      </c>
      <c r="BB76" s="209">
        <v>8775</v>
      </c>
      <c r="BC76" s="209">
        <v>8175</v>
      </c>
      <c r="BD76" s="209">
        <v>8825</v>
      </c>
      <c r="BE76" s="209">
        <v>8825</v>
      </c>
      <c r="BF76" s="209">
        <v>8250</v>
      </c>
      <c r="BG76" s="209">
        <v>9150</v>
      </c>
      <c r="BH76" s="209">
        <v>9150</v>
      </c>
      <c r="BI76" s="209">
        <v>8625</v>
      </c>
      <c r="BJ76" s="209">
        <v>9150</v>
      </c>
      <c r="BK76" s="209">
        <v>9150</v>
      </c>
      <c r="BL76" s="209">
        <v>8625</v>
      </c>
      <c r="BM76" s="209">
        <v>9150</v>
      </c>
      <c r="BN76" s="209">
        <v>9150</v>
      </c>
      <c r="BO76" s="209">
        <v>8625</v>
      </c>
      <c r="BP76" s="209">
        <v>9150</v>
      </c>
      <c r="BQ76" s="209">
        <v>9150</v>
      </c>
      <c r="BR76" s="213">
        <v>-100</v>
      </c>
      <c r="BS76" s="213">
        <v>-100</v>
      </c>
      <c r="BT76" s="213">
        <v>-100</v>
      </c>
      <c r="BU76" s="6">
        <f t="shared" si="7"/>
        <v>11316</v>
      </c>
      <c r="BV76" s="6">
        <f t="shared" si="8"/>
        <v>11841</v>
      </c>
      <c r="BW76" s="6">
        <f t="shared" si="9"/>
        <v>11841</v>
      </c>
      <c r="CH76" s="1"/>
      <c r="CI76" s="1"/>
    </row>
    <row r="77" spans="1:87" ht="14.5" x14ac:dyDescent="0.35">
      <c r="A77" s="3" t="s">
        <v>160</v>
      </c>
      <c r="B77" s="3" t="s">
        <v>83</v>
      </c>
      <c r="C77" s="53" t="s">
        <v>161</v>
      </c>
      <c r="D77" s="209">
        <v>7375</v>
      </c>
      <c r="E77" s="209">
        <v>7700</v>
      </c>
      <c r="F77" s="209">
        <v>7700</v>
      </c>
      <c r="G77" s="209">
        <v>7375</v>
      </c>
      <c r="H77" s="209">
        <v>7700</v>
      </c>
      <c r="I77" s="209">
        <v>7700</v>
      </c>
      <c r="J77" s="209">
        <v>7375</v>
      </c>
      <c r="K77" s="209">
        <v>7700</v>
      </c>
      <c r="L77" s="209">
        <v>7700</v>
      </c>
      <c r="M77" s="209">
        <v>7375</v>
      </c>
      <c r="N77" s="209">
        <v>7700</v>
      </c>
      <c r="O77" s="209">
        <v>7700</v>
      </c>
      <c r="P77" s="209">
        <v>7375</v>
      </c>
      <c r="Q77" s="209">
        <v>7700</v>
      </c>
      <c r="R77" s="209">
        <v>7700</v>
      </c>
      <c r="S77" s="209">
        <v>7375</v>
      </c>
      <c r="T77" s="209">
        <v>7700</v>
      </c>
      <c r="U77" s="209">
        <v>7700</v>
      </c>
      <c r="V77" s="209">
        <v>7375</v>
      </c>
      <c r="W77" s="209">
        <v>7700</v>
      </c>
      <c r="X77" s="209">
        <v>7700</v>
      </c>
      <c r="Y77" s="209">
        <v>7375</v>
      </c>
      <c r="Z77" s="209">
        <v>7700</v>
      </c>
      <c r="AA77" s="209">
        <v>7700</v>
      </c>
      <c r="AB77" s="209">
        <v>7375</v>
      </c>
      <c r="AC77" s="209">
        <v>7700</v>
      </c>
      <c r="AD77" s="209">
        <v>7700</v>
      </c>
      <c r="AE77" s="209">
        <v>7375</v>
      </c>
      <c r="AF77" s="209">
        <v>7700</v>
      </c>
      <c r="AG77" s="209">
        <v>7700</v>
      </c>
      <c r="AH77" s="209">
        <v>7175</v>
      </c>
      <c r="AI77" s="209">
        <v>7500</v>
      </c>
      <c r="AJ77" s="209">
        <v>7500</v>
      </c>
      <c r="AK77" s="209">
        <v>7675</v>
      </c>
      <c r="AL77" s="209">
        <v>8100</v>
      </c>
      <c r="AM77" s="209">
        <v>8100</v>
      </c>
      <c r="AN77" s="213">
        <v>1300</v>
      </c>
      <c r="AO77" s="213">
        <v>1400</v>
      </c>
      <c r="AP77" s="213">
        <v>1400</v>
      </c>
      <c r="AQ77" s="209">
        <v>8015</v>
      </c>
      <c r="AR77" s="209">
        <v>8665</v>
      </c>
      <c r="AS77" s="209">
        <v>8665</v>
      </c>
      <c r="AT77" s="209">
        <v>7500</v>
      </c>
      <c r="AU77" s="209">
        <v>7900</v>
      </c>
      <c r="AV77" s="209">
        <v>7900</v>
      </c>
      <c r="AW77" s="209">
        <v>8375</v>
      </c>
      <c r="AX77" s="209">
        <v>8700</v>
      </c>
      <c r="AY77" s="209">
        <v>8700</v>
      </c>
      <c r="AZ77" s="209">
        <v>7975</v>
      </c>
      <c r="BA77" s="209">
        <v>8525</v>
      </c>
      <c r="BB77" s="209">
        <v>8525</v>
      </c>
      <c r="BC77" s="209">
        <v>8125</v>
      </c>
      <c r="BD77" s="209">
        <v>8575</v>
      </c>
      <c r="BE77" s="209">
        <v>8575</v>
      </c>
      <c r="BF77" s="209">
        <v>8200</v>
      </c>
      <c r="BG77" s="209">
        <v>8900</v>
      </c>
      <c r="BH77" s="209">
        <v>8900</v>
      </c>
      <c r="BI77" s="209">
        <v>8575</v>
      </c>
      <c r="BJ77" s="209">
        <v>8900</v>
      </c>
      <c r="BK77" s="209">
        <v>8900</v>
      </c>
      <c r="BL77" s="209">
        <v>8575</v>
      </c>
      <c r="BM77" s="209">
        <v>8900</v>
      </c>
      <c r="BN77" s="209">
        <v>8900</v>
      </c>
      <c r="BO77" s="209">
        <v>8575</v>
      </c>
      <c r="BP77" s="209">
        <v>8900</v>
      </c>
      <c r="BQ77" s="209">
        <v>8900</v>
      </c>
      <c r="BR77" s="213">
        <v>-100</v>
      </c>
      <c r="BS77" s="213">
        <v>-100</v>
      </c>
      <c r="BT77" s="213">
        <v>-100</v>
      </c>
      <c r="BU77" s="6">
        <f t="shared" si="7"/>
        <v>11266</v>
      </c>
      <c r="BV77" s="6">
        <f t="shared" si="8"/>
        <v>11591</v>
      </c>
      <c r="BW77" s="6">
        <f t="shared" si="9"/>
        <v>11591</v>
      </c>
      <c r="CH77" s="1"/>
      <c r="CI77" s="1"/>
    </row>
    <row r="78" spans="1:87" ht="14.5" x14ac:dyDescent="0.35">
      <c r="A78" s="3" t="s">
        <v>162</v>
      </c>
      <c r="B78" s="3" t="s">
        <v>85</v>
      </c>
      <c r="C78" s="53" t="s">
        <v>161</v>
      </c>
      <c r="D78" s="209">
        <v>7300</v>
      </c>
      <c r="E78" s="209">
        <v>7600</v>
      </c>
      <c r="F78" s="209">
        <v>7600</v>
      </c>
      <c r="G78" s="209">
        <v>7300</v>
      </c>
      <c r="H78" s="209">
        <v>7600</v>
      </c>
      <c r="I78" s="209">
        <v>7600</v>
      </c>
      <c r="J78" s="209">
        <v>7300</v>
      </c>
      <c r="K78" s="209">
        <v>7600</v>
      </c>
      <c r="L78" s="209">
        <v>7600</v>
      </c>
      <c r="M78" s="209">
        <v>7300</v>
      </c>
      <c r="N78" s="209">
        <v>7600</v>
      </c>
      <c r="O78" s="209">
        <v>7600</v>
      </c>
      <c r="P78" s="209">
        <v>7300</v>
      </c>
      <c r="Q78" s="209">
        <v>7600</v>
      </c>
      <c r="R78" s="209">
        <v>7600</v>
      </c>
      <c r="S78" s="209">
        <v>7300</v>
      </c>
      <c r="T78" s="209">
        <v>7600</v>
      </c>
      <c r="U78" s="209">
        <v>7600</v>
      </c>
      <c r="V78" s="209">
        <v>7300</v>
      </c>
      <c r="W78" s="209">
        <v>7600</v>
      </c>
      <c r="X78" s="209">
        <v>7600</v>
      </c>
      <c r="Y78" s="209">
        <v>7300</v>
      </c>
      <c r="Z78" s="209">
        <v>7600</v>
      </c>
      <c r="AA78" s="209">
        <v>7600</v>
      </c>
      <c r="AB78" s="209">
        <v>7300</v>
      </c>
      <c r="AC78" s="209">
        <v>7600</v>
      </c>
      <c r="AD78" s="209">
        <v>7600</v>
      </c>
      <c r="AE78" s="209">
        <v>7300</v>
      </c>
      <c r="AF78" s="209">
        <v>7600</v>
      </c>
      <c r="AG78" s="209">
        <v>7600</v>
      </c>
      <c r="AH78" s="209">
        <v>7100</v>
      </c>
      <c r="AI78" s="209">
        <v>7400</v>
      </c>
      <c r="AJ78" s="209">
        <v>7400</v>
      </c>
      <c r="AK78" s="209">
        <v>7600</v>
      </c>
      <c r="AL78" s="209">
        <v>8000</v>
      </c>
      <c r="AM78" s="209">
        <v>8000</v>
      </c>
      <c r="AN78" s="213">
        <v>1300</v>
      </c>
      <c r="AO78" s="213">
        <v>1400</v>
      </c>
      <c r="AP78" s="213">
        <v>1400</v>
      </c>
      <c r="AQ78" s="209">
        <v>7940</v>
      </c>
      <c r="AR78" s="209">
        <v>8565</v>
      </c>
      <c r="AS78" s="209">
        <v>8565</v>
      </c>
      <c r="AT78" s="209">
        <v>7425</v>
      </c>
      <c r="AU78" s="209">
        <v>7800</v>
      </c>
      <c r="AV78" s="209">
        <v>7800</v>
      </c>
      <c r="AW78" s="209">
        <v>8300</v>
      </c>
      <c r="AX78" s="209">
        <v>8600</v>
      </c>
      <c r="AY78" s="209">
        <v>8600</v>
      </c>
      <c r="AZ78" s="209">
        <v>7900</v>
      </c>
      <c r="BA78" s="209">
        <v>8425</v>
      </c>
      <c r="BB78" s="209">
        <v>8425</v>
      </c>
      <c r="BC78" s="209">
        <v>8050</v>
      </c>
      <c r="BD78" s="209">
        <v>8475</v>
      </c>
      <c r="BE78" s="209">
        <v>8475</v>
      </c>
      <c r="BF78" s="209">
        <v>8125</v>
      </c>
      <c r="BG78" s="209">
        <v>8800</v>
      </c>
      <c r="BH78" s="209">
        <v>8800</v>
      </c>
      <c r="BI78" s="209">
        <v>8500</v>
      </c>
      <c r="BJ78" s="209">
        <v>8800</v>
      </c>
      <c r="BK78" s="209">
        <v>8800</v>
      </c>
      <c r="BL78" s="209">
        <v>8500</v>
      </c>
      <c r="BM78" s="209">
        <v>8800</v>
      </c>
      <c r="BN78" s="209">
        <v>8800</v>
      </c>
      <c r="BO78" s="209">
        <v>8500</v>
      </c>
      <c r="BP78" s="209">
        <v>8800</v>
      </c>
      <c r="BQ78" s="209">
        <v>8800</v>
      </c>
      <c r="BR78" s="213">
        <v>-100</v>
      </c>
      <c r="BS78" s="213">
        <v>-100</v>
      </c>
      <c r="BT78" s="213">
        <v>-100</v>
      </c>
      <c r="BU78" s="6">
        <f t="shared" si="7"/>
        <v>11191</v>
      </c>
      <c r="BV78" s="6">
        <f t="shared" si="8"/>
        <v>11491</v>
      </c>
      <c r="BW78" s="6">
        <f t="shared" si="9"/>
        <v>11491</v>
      </c>
      <c r="CH78" s="1"/>
      <c r="CI78" s="1"/>
    </row>
    <row r="79" spans="1:87" ht="14.5" x14ac:dyDescent="0.35">
      <c r="A79" s="3" t="s">
        <v>163</v>
      </c>
      <c r="B79" s="3"/>
      <c r="C79" s="53" t="s">
        <v>164</v>
      </c>
      <c r="D79" s="209">
        <v>7400</v>
      </c>
      <c r="E79" s="209">
        <v>7850</v>
      </c>
      <c r="F79" s="209">
        <v>7850</v>
      </c>
      <c r="G79" s="209">
        <v>7400</v>
      </c>
      <c r="H79" s="209">
        <v>7850</v>
      </c>
      <c r="I79" s="209">
        <v>7850</v>
      </c>
      <c r="J79" s="209">
        <v>7400</v>
      </c>
      <c r="K79" s="209">
        <v>7850</v>
      </c>
      <c r="L79" s="209">
        <v>7850</v>
      </c>
      <c r="M79" s="209">
        <v>7400</v>
      </c>
      <c r="N79" s="209">
        <v>7850</v>
      </c>
      <c r="O79" s="209">
        <v>7850</v>
      </c>
      <c r="P79" s="209">
        <v>7400</v>
      </c>
      <c r="Q79" s="209">
        <v>7850</v>
      </c>
      <c r="R79" s="209">
        <v>7850</v>
      </c>
      <c r="S79" s="209">
        <v>7400</v>
      </c>
      <c r="T79" s="209">
        <v>7850</v>
      </c>
      <c r="U79" s="209">
        <v>7850</v>
      </c>
      <c r="V79" s="209">
        <v>7400</v>
      </c>
      <c r="W79" s="209">
        <v>7850</v>
      </c>
      <c r="X79" s="209">
        <v>7850</v>
      </c>
      <c r="Y79" s="209">
        <v>7400</v>
      </c>
      <c r="Z79" s="209">
        <v>7850</v>
      </c>
      <c r="AA79" s="209">
        <v>7850</v>
      </c>
      <c r="AB79" s="209">
        <v>7400</v>
      </c>
      <c r="AC79" s="209">
        <v>7850</v>
      </c>
      <c r="AD79" s="209">
        <v>7850</v>
      </c>
      <c r="AE79" s="209">
        <v>7400</v>
      </c>
      <c r="AF79" s="209">
        <v>7850</v>
      </c>
      <c r="AG79" s="209">
        <v>7850</v>
      </c>
      <c r="AH79" s="209">
        <v>7200</v>
      </c>
      <c r="AI79" s="209">
        <v>7650</v>
      </c>
      <c r="AJ79" s="209">
        <v>7650</v>
      </c>
      <c r="AK79" s="209">
        <v>7700</v>
      </c>
      <c r="AL79" s="209">
        <v>8250</v>
      </c>
      <c r="AM79" s="209">
        <v>8250</v>
      </c>
      <c r="AN79" s="213">
        <v>1300</v>
      </c>
      <c r="AO79" s="213">
        <v>1400</v>
      </c>
      <c r="AP79" s="213">
        <v>1400</v>
      </c>
      <c r="AQ79" s="209">
        <v>8040</v>
      </c>
      <c r="AR79" s="209">
        <v>8815</v>
      </c>
      <c r="AS79" s="209">
        <v>8815</v>
      </c>
      <c r="AT79" s="209">
        <v>7525</v>
      </c>
      <c r="AU79" s="209">
        <v>8050</v>
      </c>
      <c r="AV79" s="209">
        <v>8050</v>
      </c>
      <c r="AW79" s="209">
        <v>8400</v>
      </c>
      <c r="AX79" s="209">
        <v>8850</v>
      </c>
      <c r="AY79" s="209">
        <v>8850</v>
      </c>
      <c r="AZ79" s="209">
        <v>8000</v>
      </c>
      <c r="BA79" s="209">
        <v>8675</v>
      </c>
      <c r="BB79" s="209">
        <v>8675</v>
      </c>
      <c r="BC79" s="209">
        <v>8150</v>
      </c>
      <c r="BD79" s="209">
        <v>8725</v>
      </c>
      <c r="BE79" s="209">
        <v>8725</v>
      </c>
      <c r="BF79" s="209">
        <v>8225</v>
      </c>
      <c r="BG79" s="209">
        <v>9050</v>
      </c>
      <c r="BH79" s="209">
        <v>9050</v>
      </c>
      <c r="BI79" s="209">
        <v>8600</v>
      </c>
      <c r="BJ79" s="209">
        <v>9050</v>
      </c>
      <c r="BK79" s="209">
        <v>9050</v>
      </c>
      <c r="BL79" s="209">
        <v>8600</v>
      </c>
      <c r="BM79" s="209">
        <v>9050</v>
      </c>
      <c r="BN79" s="209">
        <v>9050</v>
      </c>
      <c r="BO79" s="209">
        <v>8600</v>
      </c>
      <c r="BP79" s="209">
        <v>9050</v>
      </c>
      <c r="BQ79" s="209">
        <v>9050</v>
      </c>
      <c r="BR79" s="213">
        <v>-100</v>
      </c>
      <c r="BS79" s="213">
        <v>-100</v>
      </c>
      <c r="BT79" s="213">
        <v>-100</v>
      </c>
      <c r="BU79" s="6">
        <f t="shared" si="7"/>
        <v>11291</v>
      </c>
      <c r="BV79" s="6">
        <f t="shared" si="8"/>
        <v>11741</v>
      </c>
      <c r="BW79" s="6">
        <f t="shared" si="9"/>
        <v>11741</v>
      </c>
      <c r="CH79" s="1"/>
      <c r="CI79" s="1"/>
    </row>
    <row r="80" spans="1:87" ht="14.5" x14ac:dyDescent="0.35">
      <c r="A80" s="283" t="s">
        <v>513</v>
      </c>
      <c r="B80" s="283" t="s">
        <v>83</v>
      </c>
      <c r="C80" s="284" t="s">
        <v>512</v>
      </c>
      <c r="D80" s="279">
        <v>7600</v>
      </c>
      <c r="E80" s="279">
        <v>8200</v>
      </c>
      <c r="F80" s="279">
        <v>8200</v>
      </c>
      <c r="G80" s="279">
        <v>7600</v>
      </c>
      <c r="H80" s="279">
        <v>8200</v>
      </c>
      <c r="I80" s="279">
        <v>8200</v>
      </c>
      <c r="J80" s="279">
        <v>7600</v>
      </c>
      <c r="K80" s="279">
        <v>8200</v>
      </c>
      <c r="L80" s="279">
        <v>8200</v>
      </c>
      <c r="M80" s="279">
        <v>7600</v>
      </c>
      <c r="N80" s="279">
        <v>8200</v>
      </c>
      <c r="O80" s="279">
        <v>8200</v>
      </c>
      <c r="P80" s="279">
        <v>7600</v>
      </c>
      <c r="Q80" s="279">
        <v>8200</v>
      </c>
      <c r="R80" s="279">
        <v>8200</v>
      </c>
      <c r="S80" s="279">
        <v>7600</v>
      </c>
      <c r="T80" s="279">
        <v>8200</v>
      </c>
      <c r="U80" s="279">
        <v>8200</v>
      </c>
      <c r="V80" s="279">
        <v>7600</v>
      </c>
      <c r="W80" s="279">
        <v>8200</v>
      </c>
      <c r="X80" s="279">
        <v>8200</v>
      </c>
      <c r="Y80" s="279">
        <v>7600</v>
      </c>
      <c r="Z80" s="279">
        <v>8200</v>
      </c>
      <c r="AA80" s="279">
        <v>8200</v>
      </c>
      <c r="AB80" s="279">
        <v>7600</v>
      </c>
      <c r="AC80" s="279">
        <v>8200</v>
      </c>
      <c r="AD80" s="279">
        <v>8200</v>
      </c>
      <c r="AE80" s="279">
        <v>7600</v>
      </c>
      <c r="AF80" s="279">
        <v>8200</v>
      </c>
      <c r="AG80" s="279">
        <v>8200</v>
      </c>
      <c r="AH80" s="279">
        <v>7400</v>
      </c>
      <c r="AI80" s="279">
        <v>8000</v>
      </c>
      <c r="AJ80" s="279">
        <v>8000</v>
      </c>
      <c r="AK80" s="279">
        <v>7900</v>
      </c>
      <c r="AL80" s="279">
        <v>8600</v>
      </c>
      <c r="AM80" s="279">
        <v>8600</v>
      </c>
      <c r="AN80" s="280">
        <v>800</v>
      </c>
      <c r="AO80" s="280">
        <v>800</v>
      </c>
      <c r="AP80" s="280">
        <v>800</v>
      </c>
      <c r="AQ80" s="279">
        <v>8240</v>
      </c>
      <c r="AR80" s="279">
        <v>9165</v>
      </c>
      <c r="AS80" s="279">
        <v>9165</v>
      </c>
      <c r="AT80" s="279">
        <v>7725</v>
      </c>
      <c r="AU80" s="279">
        <v>8400</v>
      </c>
      <c r="AV80" s="279">
        <v>8400</v>
      </c>
      <c r="AW80" s="279">
        <v>8600</v>
      </c>
      <c r="AX80" s="279">
        <v>9200</v>
      </c>
      <c r="AY80" s="279">
        <v>9200</v>
      </c>
      <c r="AZ80" s="279">
        <v>8200</v>
      </c>
      <c r="BA80" s="279">
        <v>9025</v>
      </c>
      <c r="BB80" s="279">
        <v>9025</v>
      </c>
      <c r="BC80" s="279">
        <v>8350</v>
      </c>
      <c r="BD80" s="279">
        <v>9075</v>
      </c>
      <c r="BE80" s="279">
        <v>9075</v>
      </c>
      <c r="BF80" s="279">
        <v>8425</v>
      </c>
      <c r="BG80" s="279">
        <v>9400</v>
      </c>
      <c r="BH80" s="279">
        <v>9400</v>
      </c>
      <c r="BI80" s="279">
        <v>8800</v>
      </c>
      <c r="BJ80" s="279">
        <v>9400</v>
      </c>
      <c r="BK80" s="279">
        <v>9400</v>
      </c>
      <c r="BL80" s="279">
        <v>8800</v>
      </c>
      <c r="BM80" s="279">
        <v>9400</v>
      </c>
      <c r="BN80" s="279">
        <v>9400</v>
      </c>
      <c r="BO80" s="279">
        <v>8800</v>
      </c>
      <c r="BP80" s="279">
        <v>9400</v>
      </c>
      <c r="BQ80" s="279">
        <v>9400</v>
      </c>
      <c r="BR80" s="280"/>
      <c r="BS80" s="280"/>
      <c r="BT80" s="280"/>
      <c r="BU80" s="281">
        <f t="shared" ref="BU80" si="13">(BO80+2791)-100</f>
        <v>11491</v>
      </c>
      <c r="BV80" s="281">
        <f t="shared" ref="BV80" si="14">(BP80+2791)-100</f>
        <v>12091</v>
      </c>
      <c r="BW80" s="281">
        <f t="shared" ref="BW80" si="15">(BQ80+2791)-100</f>
        <v>12091</v>
      </c>
      <c r="CH80" s="1"/>
      <c r="CI80" s="1"/>
    </row>
    <row r="81" spans="1:99" ht="14.5" x14ac:dyDescent="0.35">
      <c r="A81" s="3" t="s">
        <v>165</v>
      </c>
      <c r="B81" s="3" t="s">
        <v>166</v>
      </c>
      <c r="C81" s="53" t="s">
        <v>167</v>
      </c>
      <c r="D81" s="209">
        <v>7400</v>
      </c>
      <c r="E81" s="209">
        <v>7850</v>
      </c>
      <c r="F81" s="209">
        <v>7850</v>
      </c>
      <c r="G81" s="209">
        <v>7400</v>
      </c>
      <c r="H81" s="209">
        <v>7850</v>
      </c>
      <c r="I81" s="209">
        <v>7850</v>
      </c>
      <c r="J81" s="209">
        <v>7400</v>
      </c>
      <c r="K81" s="209">
        <v>7850</v>
      </c>
      <c r="L81" s="209">
        <v>7850</v>
      </c>
      <c r="M81" s="209">
        <v>7400</v>
      </c>
      <c r="N81" s="209">
        <v>7850</v>
      </c>
      <c r="O81" s="209">
        <v>7850</v>
      </c>
      <c r="P81" s="209">
        <v>7400</v>
      </c>
      <c r="Q81" s="209">
        <v>7850</v>
      </c>
      <c r="R81" s="209">
        <v>7850</v>
      </c>
      <c r="S81" s="209">
        <v>7400</v>
      </c>
      <c r="T81" s="209">
        <v>7850</v>
      </c>
      <c r="U81" s="209">
        <v>7850</v>
      </c>
      <c r="V81" s="209">
        <v>7400</v>
      </c>
      <c r="W81" s="209">
        <v>7850</v>
      </c>
      <c r="X81" s="209">
        <v>7850</v>
      </c>
      <c r="Y81" s="209">
        <v>7400</v>
      </c>
      <c r="Z81" s="209">
        <v>7850</v>
      </c>
      <c r="AA81" s="209">
        <v>7850</v>
      </c>
      <c r="AB81" s="209">
        <v>7400</v>
      </c>
      <c r="AC81" s="209">
        <v>7850</v>
      </c>
      <c r="AD81" s="209">
        <v>7850</v>
      </c>
      <c r="AE81" s="209">
        <v>7400</v>
      </c>
      <c r="AF81" s="209">
        <v>7850</v>
      </c>
      <c r="AG81" s="209">
        <v>7850</v>
      </c>
      <c r="AH81" s="209">
        <v>7200</v>
      </c>
      <c r="AI81" s="209">
        <v>7650</v>
      </c>
      <c r="AJ81" s="209">
        <v>7650</v>
      </c>
      <c r="AK81" s="209">
        <v>7700</v>
      </c>
      <c r="AL81" s="209">
        <v>8250</v>
      </c>
      <c r="AM81" s="209">
        <v>8250</v>
      </c>
      <c r="AN81" s="213">
        <v>1300</v>
      </c>
      <c r="AO81" s="213">
        <v>1400</v>
      </c>
      <c r="AP81" s="213">
        <v>1400</v>
      </c>
      <c r="AQ81" s="209">
        <v>8040</v>
      </c>
      <c r="AR81" s="209">
        <v>8815</v>
      </c>
      <c r="AS81" s="209">
        <v>8815</v>
      </c>
      <c r="AT81" s="209">
        <v>7525</v>
      </c>
      <c r="AU81" s="209">
        <v>8050</v>
      </c>
      <c r="AV81" s="209">
        <v>8050</v>
      </c>
      <c r="AW81" s="209">
        <v>8400</v>
      </c>
      <c r="AX81" s="209">
        <v>8850</v>
      </c>
      <c r="AY81" s="209">
        <v>8850</v>
      </c>
      <c r="AZ81" s="209">
        <v>8000</v>
      </c>
      <c r="BA81" s="209">
        <v>8675</v>
      </c>
      <c r="BB81" s="209">
        <v>8675</v>
      </c>
      <c r="BC81" s="209">
        <v>8150</v>
      </c>
      <c r="BD81" s="209">
        <v>8725</v>
      </c>
      <c r="BE81" s="209">
        <v>8725</v>
      </c>
      <c r="BF81" s="209">
        <v>8225</v>
      </c>
      <c r="BG81" s="209">
        <v>9050</v>
      </c>
      <c r="BH81" s="209">
        <v>9050</v>
      </c>
      <c r="BI81" s="209">
        <v>8600</v>
      </c>
      <c r="BJ81" s="209">
        <v>9050</v>
      </c>
      <c r="BK81" s="209">
        <v>9050</v>
      </c>
      <c r="BL81" s="209">
        <v>8600</v>
      </c>
      <c r="BM81" s="209">
        <v>9050</v>
      </c>
      <c r="BN81" s="209">
        <v>9050</v>
      </c>
      <c r="BO81" s="209">
        <v>8600</v>
      </c>
      <c r="BP81" s="209">
        <v>9050</v>
      </c>
      <c r="BQ81" s="209">
        <v>9050</v>
      </c>
      <c r="BR81" s="213">
        <v>-100</v>
      </c>
      <c r="BS81" s="213">
        <v>-100</v>
      </c>
      <c r="BT81" s="213">
        <v>-100</v>
      </c>
      <c r="BU81" s="6">
        <f t="shared" si="7"/>
        <v>11291</v>
      </c>
      <c r="BV81" s="6">
        <f t="shared" si="8"/>
        <v>11741</v>
      </c>
      <c r="BW81" s="6">
        <f t="shared" si="9"/>
        <v>11741</v>
      </c>
      <c r="CH81" s="1"/>
      <c r="CI81" s="1"/>
    </row>
    <row r="82" spans="1:99" ht="14.5" x14ac:dyDescent="0.35">
      <c r="A82" s="3" t="s">
        <v>168</v>
      </c>
      <c r="B82" s="3" t="s">
        <v>85</v>
      </c>
      <c r="C82" s="53" t="s">
        <v>167</v>
      </c>
      <c r="D82" s="209">
        <v>7400</v>
      </c>
      <c r="E82" s="209">
        <v>7850</v>
      </c>
      <c r="F82" s="209">
        <v>7850</v>
      </c>
      <c r="G82" s="209">
        <v>7400</v>
      </c>
      <c r="H82" s="209">
        <v>7850</v>
      </c>
      <c r="I82" s="209">
        <v>7850</v>
      </c>
      <c r="J82" s="209">
        <v>7400</v>
      </c>
      <c r="K82" s="209">
        <v>7850</v>
      </c>
      <c r="L82" s="209">
        <v>7850</v>
      </c>
      <c r="M82" s="209">
        <v>7400</v>
      </c>
      <c r="N82" s="209">
        <v>7850</v>
      </c>
      <c r="O82" s="209">
        <v>7850</v>
      </c>
      <c r="P82" s="209">
        <v>7400</v>
      </c>
      <c r="Q82" s="209">
        <v>7850</v>
      </c>
      <c r="R82" s="209">
        <v>7850</v>
      </c>
      <c r="S82" s="209">
        <v>7400</v>
      </c>
      <c r="T82" s="209">
        <v>7850</v>
      </c>
      <c r="U82" s="209">
        <v>7850</v>
      </c>
      <c r="V82" s="209">
        <v>7400</v>
      </c>
      <c r="W82" s="209">
        <v>7850</v>
      </c>
      <c r="X82" s="209">
        <v>7850</v>
      </c>
      <c r="Y82" s="209">
        <v>7400</v>
      </c>
      <c r="Z82" s="209">
        <v>7850</v>
      </c>
      <c r="AA82" s="209">
        <v>7850</v>
      </c>
      <c r="AB82" s="209">
        <v>7400</v>
      </c>
      <c r="AC82" s="209">
        <v>7850</v>
      </c>
      <c r="AD82" s="209">
        <v>7850</v>
      </c>
      <c r="AE82" s="209">
        <v>7400</v>
      </c>
      <c r="AF82" s="209">
        <v>7850</v>
      </c>
      <c r="AG82" s="209">
        <v>7850</v>
      </c>
      <c r="AH82" s="209">
        <v>7200</v>
      </c>
      <c r="AI82" s="209">
        <v>7650</v>
      </c>
      <c r="AJ82" s="209">
        <v>7650</v>
      </c>
      <c r="AK82" s="209">
        <v>7700</v>
      </c>
      <c r="AL82" s="209">
        <v>8250</v>
      </c>
      <c r="AM82" s="209">
        <v>8250</v>
      </c>
      <c r="AN82" s="213">
        <v>1300</v>
      </c>
      <c r="AO82" s="213">
        <v>1400</v>
      </c>
      <c r="AP82" s="213">
        <v>1400</v>
      </c>
      <c r="AQ82" s="209">
        <v>8040</v>
      </c>
      <c r="AR82" s="209">
        <v>8815</v>
      </c>
      <c r="AS82" s="209">
        <v>8815</v>
      </c>
      <c r="AT82" s="209">
        <v>7525</v>
      </c>
      <c r="AU82" s="209">
        <v>8050</v>
      </c>
      <c r="AV82" s="209">
        <v>8050</v>
      </c>
      <c r="AW82" s="209">
        <v>8400</v>
      </c>
      <c r="AX82" s="209">
        <v>8850</v>
      </c>
      <c r="AY82" s="209">
        <v>8850</v>
      </c>
      <c r="AZ82" s="209">
        <v>8000</v>
      </c>
      <c r="BA82" s="209">
        <v>8675</v>
      </c>
      <c r="BB82" s="209">
        <v>8675</v>
      </c>
      <c r="BC82" s="209">
        <v>8150</v>
      </c>
      <c r="BD82" s="209">
        <v>8725</v>
      </c>
      <c r="BE82" s="209">
        <v>8725</v>
      </c>
      <c r="BF82" s="209">
        <v>8225</v>
      </c>
      <c r="BG82" s="209">
        <v>9050</v>
      </c>
      <c r="BH82" s="209">
        <v>9050</v>
      </c>
      <c r="BI82" s="209">
        <v>8600</v>
      </c>
      <c r="BJ82" s="209">
        <v>9050</v>
      </c>
      <c r="BK82" s="209">
        <v>9050</v>
      </c>
      <c r="BL82" s="209">
        <v>8600</v>
      </c>
      <c r="BM82" s="209">
        <v>9050</v>
      </c>
      <c r="BN82" s="209">
        <v>9050</v>
      </c>
      <c r="BO82" s="209">
        <v>8600</v>
      </c>
      <c r="BP82" s="209">
        <v>9050</v>
      </c>
      <c r="BQ82" s="209">
        <v>9050</v>
      </c>
      <c r="BR82" s="213">
        <v>-100</v>
      </c>
      <c r="BS82" s="213">
        <v>-100</v>
      </c>
      <c r="BT82" s="213">
        <v>-100</v>
      </c>
      <c r="BU82" s="6">
        <f t="shared" si="7"/>
        <v>11291</v>
      </c>
      <c r="BV82" s="6">
        <f t="shared" si="8"/>
        <v>11741</v>
      </c>
      <c r="BW82" s="6">
        <f t="shared" si="9"/>
        <v>11741</v>
      </c>
      <c r="CH82" s="1"/>
      <c r="CI82" s="1"/>
    </row>
    <row r="83" spans="1:99" ht="14.5" x14ac:dyDescent="0.35">
      <c r="A83" s="3" t="s">
        <v>169</v>
      </c>
      <c r="B83" s="3" t="s">
        <v>166</v>
      </c>
      <c r="C83" s="53" t="s">
        <v>170</v>
      </c>
      <c r="D83" s="209">
        <v>7450</v>
      </c>
      <c r="E83" s="209">
        <v>7900</v>
      </c>
      <c r="F83" s="209">
        <v>7900</v>
      </c>
      <c r="G83" s="209">
        <v>7450</v>
      </c>
      <c r="H83" s="209">
        <v>7900</v>
      </c>
      <c r="I83" s="209">
        <v>7900</v>
      </c>
      <c r="J83" s="209">
        <v>7450</v>
      </c>
      <c r="K83" s="209">
        <v>7900</v>
      </c>
      <c r="L83" s="209">
        <v>7900</v>
      </c>
      <c r="M83" s="209">
        <v>7450</v>
      </c>
      <c r="N83" s="209">
        <v>7900</v>
      </c>
      <c r="O83" s="209">
        <v>7900</v>
      </c>
      <c r="P83" s="209">
        <v>7450</v>
      </c>
      <c r="Q83" s="209">
        <v>7900</v>
      </c>
      <c r="R83" s="209">
        <v>7900</v>
      </c>
      <c r="S83" s="209">
        <v>7450</v>
      </c>
      <c r="T83" s="209">
        <v>7900</v>
      </c>
      <c r="U83" s="209">
        <v>7900</v>
      </c>
      <c r="V83" s="209">
        <v>7450</v>
      </c>
      <c r="W83" s="209">
        <v>7900</v>
      </c>
      <c r="X83" s="209">
        <v>7900</v>
      </c>
      <c r="Y83" s="209">
        <v>7450</v>
      </c>
      <c r="Z83" s="209">
        <v>7900</v>
      </c>
      <c r="AA83" s="209">
        <v>7900</v>
      </c>
      <c r="AB83" s="209">
        <v>7450</v>
      </c>
      <c r="AC83" s="209">
        <v>7900</v>
      </c>
      <c r="AD83" s="209">
        <v>7900</v>
      </c>
      <c r="AE83" s="209">
        <v>7450</v>
      </c>
      <c r="AF83" s="209">
        <v>7900</v>
      </c>
      <c r="AG83" s="209">
        <v>7900</v>
      </c>
      <c r="AH83" s="209">
        <v>7250</v>
      </c>
      <c r="AI83" s="209">
        <v>7700</v>
      </c>
      <c r="AJ83" s="209">
        <v>7700</v>
      </c>
      <c r="AK83" s="209">
        <v>7750</v>
      </c>
      <c r="AL83" s="209">
        <v>8300</v>
      </c>
      <c r="AM83" s="209">
        <v>8300</v>
      </c>
      <c r="AN83" s="213">
        <v>1300</v>
      </c>
      <c r="AO83" s="213">
        <v>1400</v>
      </c>
      <c r="AP83" s="213">
        <v>1400</v>
      </c>
      <c r="AQ83" s="209">
        <v>8090</v>
      </c>
      <c r="AR83" s="209">
        <v>8865</v>
      </c>
      <c r="AS83" s="209">
        <v>8865</v>
      </c>
      <c r="AT83" s="209">
        <v>7575</v>
      </c>
      <c r="AU83" s="209">
        <v>8100</v>
      </c>
      <c r="AV83" s="209">
        <v>8100</v>
      </c>
      <c r="AW83" s="209">
        <v>8450</v>
      </c>
      <c r="AX83" s="209">
        <v>8900</v>
      </c>
      <c r="AY83" s="209">
        <v>8900</v>
      </c>
      <c r="AZ83" s="209">
        <v>8050</v>
      </c>
      <c r="BA83" s="209">
        <v>8725</v>
      </c>
      <c r="BB83" s="209">
        <v>8725</v>
      </c>
      <c r="BC83" s="209">
        <v>8200</v>
      </c>
      <c r="BD83" s="209">
        <v>8775</v>
      </c>
      <c r="BE83" s="209">
        <v>8775</v>
      </c>
      <c r="BF83" s="209">
        <v>8275</v>
      </c>
      <c r="BG83" s="209">
        <v>9100</v>
      </c>
      <c r="BH83" s="209">
        <v>9100</v>
      </c>
      <c r="BI83" s="209">
        <v>8650</v>
      </c>
      <c r="BJ83" s="209">
        <v>9100</v>
      </c>
      <c r="BK83" s="209">
        <v>9100</v>
      </c>
      <c r="BL83" s="209">
        <v>8650</v>
      </c>
      <c r="BM83" s="209">
        <v>9100</v>
      </c>
      <c r="BN83" s="209">
        <v>9100</v>
      </c>
      <c r="BO83" s="209">
        <v>8650</v>
      </c>
      <c r="BP83" s="209">
        <v>9100</v>
      </c>
      <c r="BQ83" s="209">
        <v>9100</v>
      </c>
      <c r="BR83" s="213">
        <v>-100</v>
      </c>
      <c r="BS83" s="213">
        <v>-100</v>
      </c>
      <c r="BT83" s="213">
        <v>-100</v>
      </c>
      <c r="BU83" s="6">
        <f t="shared" si="7"/>
        <v>11341</v>
      </c>
      <c r="BV83" s="6">
        <f t="shared" si="8"/>
        <v>11791</v>
      </c>
      <c r="BW83" s="6">
        <f t="shared" si="9"/>
        <v>11791</v>
      </c>
      <c r="CH83" s="1"/>
      <c r="CI83" s="1"/>
    </row>
    <row r="84" spans="1:99" ht="14.5" x14ac:dyDescent="0.35">
      <c r="A84" s="3" t="s">
        <v>171</v>
      </c>
      <c r="B84" s="3" t="s">
        <v>85</v>
      </c>
      <c r="C84" s="53" t="s">
        <v>170</v>
      </c>
      <c r="D84" s="209">
        <v>7450</v>
      </c>
      <c r="E84" s="209">
        <v>7900</v>
      </c>
      <c r="F84" s="209">
        <v>7900</v>
      </c>
      <c r="G84" s="209">
        <v>7450</v>
      </c>
      <c r="H84" s="209">
        <v>7900</v>
      </c>
      <c r="I84" s="209">
        <v>7900</v>
      </c>
      <c r="J84" s="209">
        <v>7450</v>
      </c>
      <c r="K84" s="209">
        <v>7900</v>
      </c>
      <c r="L84" s="209">
        <v>7900</v>
      </c>
      <c r="M84" s="209">
        <v>7450</v>
      </c>
      <c r="N84" s="209">
        <v>7900</v>
      </c>
      <c r="O84" s="209">
        <v>7900</v>
      </c>
      <c r="P84" s="209">
        <v>7450</v>
      </c>
      <c r="Q84" s="209">
        <v>7900</v>
      </c>
      <c r="R84" s="209">
        <v>7900</v>
      </c>
      <c r="S84" s="209">
        <v>7450</v>
      </c>
      <c r="T84" s="209">
        <v>7900</v>
      </c>
      <c r="U84" s="209">
        <v>7900</v>
      </c>
      <c r="V84" s="209">
        <v>7450</v>
      </c>
      <c r="W84" s="209">
        <v>7900</v>
      </c>
      <c r="X84" s="209">
        <v>7900</v>
      </c>
      <c r="Y84" s="209">
        <v>7450</v>
      </c>
      <c r="Z84" s="209">
        <v>7900</v>
      </c>
      <c r="AA84" s="209">
        <v>7900</v>
      </c>
      <c r="AB84" s="209">
        <v>7450</v>
      </c>
      <c r="AC84" s="209">
        <v>7900</v>
      </c>
      <c r="AD84" s="209">
        <v>7900</v>
      </c>
      <c r="AE84" s="209">
        <v>7450</v>
      </c>
      <c r="AF84" s="209">
        <v>7900</v>
      </c>
      <c r="AG84" s="209">
        <v>7900</v>
      </c>
      <c r="AH84" s="209">
        <v>7250</v>
      </c>
      <c r="AI84" s="209">
        <v>7700</v>
      </c>
      <c r="AJ84" s="209">
        <v>7700</v>
      </c>
      <c r="AK84" s="209">
        <v>7750</v>
      </c>
      <c r="AL84" s="209">
        <v>8300</v>
      </c>
      <c r="AM84" s="209">
        <v>8300</v>
      </c>
      <c r="AN84" s="213">
        <v>1300</v>
      </c>
      <c r="AO84" s="213">
        <v>1400</v>
      </c>
      <c r="AP84" s="213">
        <v>1400</v>
      </c>
      <c r="AQ84" s="209">
        <v>8090</v>
      </c>
      <c r="AR84" s="209">
        <v>8865</v>
      </c>
      <c r="AS84" s="209">
        <v>8865</v>
      </c>
      <c r="AT84" s="209">
        <v>7575</v>
      </c>
      <c r="AU84" s="209">
        <v>8100</v>
      </c>
      <c r="AV84" s="209">
        <v>8100</v>
      </c>
      <c r="AW84" s="209">
        <v>8450</v>
      </c>
      <c r="AX84" s="209">
        <v>8900</v>
      </c>
      <c r="AY84" s="209">
        <v>8900</v>
      </c>
      <c r="AZ84" s="209">
        <v>8050</v>
      </c>
      <c r="BA84" s="209">
        <v>8725</v>
      </c>
      <c r="BB84" s="209">
        <v>8725</v>
      </c>
      <c r="BC84" s="209">
        <v>8200</v>
      </c>
      <c r="BD84" s="209">
        <v>8775</v>
      </c>
      <c r="BE84" s="209">
        <v>8775</v>
      </c>
      <c r="BF84" s="209">
        <v>8275</v>
      </c>
      <c r="BG84" s="209">
        <v>9100</v>
      </c>
      <c r="BH84" s="209">
        <v>9100</v>
      </c>
      <c r="BI84" s="209">
        <v>8650</v>
      </c>
      <c r="BJ84" s="209">
        <v>9100</v>
      </c>
      <c r="BK84" s="209">
        <v>9100</v>
      </c>
      <c r="BL84" s="209">
        <v>8650</v>
      </c>
      <c r="BM84" s="209">
        <v>9100</v>
      </c>
      <c r="BN84" s="209">
        <v>9100</v>
      </c>
      <c r="BO84" s="209">
        <v>8650</v>
      </c>
      <c r="BP84" s="209">
        <v>9100</v>
      </c>
      <c r="BQ84" s="209">
        <v>9100</v>
      </c>
      <c r="BR84" s="213">
        <v>-100</v>
      </c>
      <c r="BS84" s="213">
        <v>-100</v>
      </c>
      <c r="BT84" s="213">
        <v>-100</v>
      </c>
      <c r="BU84" s="6">
        <f t="shared" si="7"/>
        <v>11341</v>
      </c>
      <c r="BV84" s="6">
        <f t="shared" si="8"/>
        <v>11791</v>
      </c>
      <c r="BW84" s="6">
        <f t="shared" si="9"/>
        <v>11791</v>
      </c>
      <c r="CH84" s="1"/>
      <c r="CI84" s="1"/>
    </row>
    <row r="85" spans="1:99" ht="14.5" x14ac:dyDescent="0.35">
      <c r="A85" s="3" t="s">
        <v>172</v>
      </c>
      <c r="B85" s="3"/>
      <c r="C85" s="53" t="s">
        <v>173</v>
      </c>
      <c r="D85" s="209">
        <v>7340</v>
      </c>
      <c r="E85" s="209">
        <v>7755</v>
      </c>
      <c r="F85" s="209">
        <v>7755</v>
      </c>
      <c r="G85" s="209">
        <v>7340</v>
      </c>
      <c r="H85" s="209">
        <v>7755</v>
      </c>
      <c r="I85" s="209">
        <v>7755</v>
      </c>
      <c r="J85" s="209">
        <v>7340</v>
      </c>
      <c r="K85" s="209">
        <v>7755</v>
      </c>
      <c r="L85" s="209">
        <v>7755</v>
      </c>
      <c r="M85" s="209">
        <v>7340</v>
      </c>
      <c r="N85" s="209">
        <v>7755</v>
      </c>
      <c r="O85" s="209">
        <v>7755</v>
      </c>
      <c r="P85" s="209">
        <v>7340</v>
      </c>
      <c r="Q85" s="209">
        <v>7755</v>
      </c>
      <c r="R85" s="209">
        <v>7755</v>
      </c>
      <c r="S85" s="209">
        <v>7340</v>
      </c>
      <c r="T85" s="209">
        <v>7755</v>
      </c>
      <c r="U85" s="209">
        <v>7755</v>
      </c>
      <c r="V85" s="209">
        <v>7340</v>
      </c>
      <c r="W85" s="209">
        <v>7755</v>
      </c>
      <c r="X85" s="209">
        <v>7755</v>
      </c>
      <c r="Y85" s="209">
        <v>7340</v>
      </c>
      <c r="Z85" s="209">
        <v>7755</v>
      </c>
      <c r="AA85" s="209">
        <v>7755</v>
      </c>
      <c r="AB85" s="209">
        <v>7340</v>
      </c>
      <c r="AC85" s="209">
        <v>7755</v>
      </c>
      <c r="AD85" s="209">
        <v>7755</v>
      </c>
      <c r="AE85" s="209">
        <v>7340</v>
      </c>
      <c r="AF85" s="209">
        <v>7755</v>
      </c>
      <c r="AG85" s="209">
        <v>7755</v>
      </c>
      <c r="AH85" s="209">
        <v>7140</v>
      </c>
      <c r="AI85" s="209">
        <v>7555</v>
      </c>
      <c r="AJ85" s="209">
        <v>7555</v>
      </c>
      <c r="AK85" s="209">
        <v>7640</v>
      </c>
      <c r="AL85" s="209">
        <v>8155</v>
      </c>
      <c r="AM85" s="209">
        <v>8155</v>
      </c>
      <c r="AN85" s="213">
        <v>1300</v>
      </c>
      <c r="AO85" s="213">
        <v>1400</v>
      </c>
      <c r="AP85" s="213">
        <v>1400</v>
      </c>
      <c r="AQ85" s="209">
        <v>7980</v>
      </c>
      <c r="AR85" s="209">
        <v>8720</v>
      </c>
      <c r="AS85" s="209">
        <v>8720</v>
      </c>
      <c r="AT85" s="209">
        <v>7465</v>
      </c>
      <c r="AU85" s="209">
        <v>7955</v>
      </c>
      <c r="AV85" s="209">
        <v>7955</v>
      </c>
      <c r="AW85" s="209">
        <v>8340</v>
      </c>
      <c r="AX85" s="209">
        <v>8755</v>
      </c>
      <c r="AY85" s="209">
        <v>8755</v>
      </c>
      <c r="AZ85" s="209">
        <v>7940</v>
      </c>
      <c r="BA85" s="209">
        <v>8580</v>
      </c>
      <c r="BB85" s="209">
        <v>8580</v>
      </c>
      <c r="BC85" s="209">
        <v>8090</v>
      </c>
      <c r="BD85" s="209">
        <v>8630</v>
      </c>
      <c r="BE85" s="209">
        <v>8630</v>
      </c>
      <c r="BF85" s="209">
        <v>8165</v>
      </c>
      <c r="BG85" s="209">
        <v>8955</v>
      </c>
      <c r="BH85" s="209">
        <v>8955</v>
      </c>
      <c r="BI85" s="209">
        <v>8540</v>
      </c>
      <c r="BJ85" s="209">
        <v>8955</v>
      </c>
      <c r="BK85" s="209">
        <v>8955</v>
      </c>
      <c r="BL85" s="209">
        <v>8540</v>
      </c>
      <c r="BM85" s="209">
        <v>8955</v>
      </c>
      <c r="BN85" s="209">
        <v>8955</v>
      </c>
      <c r="BO85" s="209">
        <v>8540</v>
      </c>
      <c r="BP85" s="209">
        <v>8955</v>
      </c>
      <c r="BQ85" s="209">
        <v>8955</v>
      </c>
      <c r="BR85" s="213">
        <v>-100</v>
      </c>
      <c r="BS85" s="213">
        <v>-100</v>
      </c>
      <c r="BT85" s="213">
        <v>-100</v>
      </c>
      <c r="BU85" s="6">
        <f t="shared" si="7"/>
        <v>11231</v>
      </c>
      <c r="BV85" s="6">
        <f t="shared" si="8"/>
        <v>11646</v>
      </c>
      <c r="BW85" s="6">
        <f t="shared" si="9"/>
        <v>11646</v>
      </c>
      <c r="CH85" s="1"/>
      <c r="CI85" s="1"/>
    </row>
    <row r="86" spans="1:99" ht="14.5" x14ac:dyDescent="0.35">
      <c r="A86" s="3" t="s">
        <v>174</v>
      </c>
      <c r="B86" s="3"/>
      <c r="C86" s="53" t="s">
        <v>175</v>
      </c>
      <c r="D86" s="209">
        <v>7425</v>
      </c>
      <c r="E86" s="209">
        <v>7800</v>
      </c>
      <c r="F86" s="209">
        <v>7800</v>
      </c>
      <c r="G86" s="209">
        <v>7425</v>
      </c>
      <c r="H86" s="209">
        <v>7800</v>
      </c>
      <c r="I86" s="209">
        <v>7800</v>
      </c>
      <c r="J86" s="209">
        <v>7425</v>
      </c>
      <c r="K86" s="209">
        <v>7800</v>
      </c>
      <c r="L86" s="209">
        <v>7800</v>
      </c>
      <c r="M86" s="209">
        <v>7425</v>
      </c>
      <c r="N86" s="209">
        <v>7800</v>
      </c>
      <c r="O86" s="209">
        <v>7800</v>
      </c>
      <c r="P86" s="209">
        <v>7425</v>
      </c>
      <c r="Q86" s="209">
        <v>7800</v>
      </c>
      <c r="R86" s="209">
        <v>7800</v>
      </c>
      <c r="S86" s="209">
        <v>7425</v>
      </c>
      <c r="T86" s="209">
        <v>7800</v>
      </c>
      <c r="U86" s="209">
        <v>7800</v>
      </c>
      <c r="V86" s="209">
        <v>7425</v>
      </c>
      <c r="W86" s="209">
        <v>7800</v>
      </c>
      <c r="X86" s="209">
        <v>7800</v>
      </c>
      <c r="Y86" s="209">
        <v>7425</v>
      </c>
      <c r="Z86" s="209">
        <v>7800</v>
      </c>
      <c r="AA86" s="209">
        <v>7800</v>
      </c>
      <c r="AB86" s="209">
        <v>7425</v>
      </c>
      <c r="AC86" s="209">
        <v>7800</v>
      </c>
      <c r="AD86" s="209">
        <v>7800</v>
      </c>
      <c r="AE86" s="209">
        <v>7425</v>
      </c>
      <c r="AF86" s="209">
        <v>7800</v>
      </c>
      <c r="AG86" s="209">
        <v>7800</v>
      </c>
      <c r="AH86" s="209">
        <v>7225</v>
      </c>
      <c r="AI86" s="209">
        <v>7600</v>
      </c>
      <c r="AJ86" s="209">
        <v>7600</v>
      </c>
      <c r="AK86" s="209">
        <v>7725</v>
      </c>
      <c r="AL86" s="209">
        <v>8200</v>
      </c>
      <c r="AM86" s="209">
        <v>8200</v>
      </c>
      <c r="AN86" s="213">
        <v>1300</v>
      </c>
      <c r="AO86" s="213">
        <v>1400</v>
      </c>
      <c r="AP86" s="213">
        <v>1400</v>
      </c>
      <c r="AQ86" s="209">
        <v>8065</v>
      </c>
      <c r="AR86" s="209">
        <v>8765</v>
      </c>
      <c r="AS86" s="209">
        <v>8765</v>
      </c>
      <c r="AT86" s="209">
        <v>7550</v>
      </c>
      <c r="AU86" s="209">
        <v>8000</v>
      </c>
      <c r="AV86" s="209">
        <v>8000</v>
      </c>
      <c r="AW86" s="209">
        <v>8425</v>
      </c>
      <c r="AX86" s="209">
        <v>8800</v>
      </c>
      <c r="AY86" s="209">
        <v>8800</v>
      </c>
      <c r="AZ86" s="209">
        <v>8025</v>
      </c>
      <c r="BA86" s="209">
        <v>8625</v>
      </c>
      <c r="BB86" s="209">
        <v>8625</v>
      </c>
      <c r="BC86" s="209">
        <v>8175</v>
      </c>
      <c r="BD86" s="209">
        <v>8675</v>
      </c>
      <c r="BE86" s="209">
        <v>8675</v>
      </c>
      <c r="BF86" s="209">
        <v>8250</v>
      </c>
      <c r="BG86" s="209">
        <v>9000</v>
      </c>
      <c r="BH86" s="209">
        <v>9000</v>
      </c>
      <c r="BI86" s="209">
        <v>8625</v>
      </c>
      <c r="BJ86" s="209">
        <v>9000</v>
      </c>
      <c r="BK86" s="209">
        <v>9000</v>
      </c>
      <c r="BL86" s="209">
        <v>8625</v>
      </c>
      <c r="BM86" s="209">
        <v>9000</v>
      </c>
      <c r="BN86" s="209">
        <v>9000</v>
      </c>
      <c r="BO86" s="209">
        <v>8625</v>
      </c>
      <c r="BP86" s="209">
        <v>9000</v>
      </c>
      <c r="BQ86" s="209">
        <v>9000</v>
      </c>
      <c r="BR86" s="213">
        <v>-100</v>
      </c>
      <c r="BS86" s="213">
        <v>-100</v>
      </c>
      <c r="BT86" s="213">
        <v>-100</v>
      </c>
      <c r="BU86" s="6">
        <f t="shared" si="7"/>
        <v>11316</v>
      </c>
      <c r="BV86" s="6">
        <f t="shared" si="8"/>
        <v>11691</v>
      </c>
      <c r="BW86" s="6">
        <f t="shared" si="9"/>
        <v>11691</v>
      </c>
      <c r="CH86" s="1"/>
      <c r="CI86" s="1"/>
    </row>
    <row r="87" spans="1:99" s="120" customFormat="1" ht="14.5" x14ac:dyDescent="0.35">
      <c r="A87" s="118"/>
      <c r="B87" s="118"/>
      <c r="C87" s="119"/>
      <c r="D87" s="218">
        <v>1400</v>
      </c>
      <c r="E87" s="218">
        <v>1500</v>
      </c>
      <c r="F87" s="218">
        <v>1500</v>
      </c>
      <c r="G87" s="218">
        <v>1400</v>
      </c>
      <c r="H87" s="218">
        <v>1500</v>
      </c>
      <c r="I87" s="218">
        <v>1500</v>
      </c>
      <c r="J87" s="218">
        <v>1400</v>
      </c>
      <c r="K87" s="218">
        <v>1500</v>
      </c>
      <c r="L87" s="218">
        <v>1500</v>
      </c>
      <c r="M87" s="218">
        <v>1400</v>
      </c>
      <c r="N87" s="218">
        <v>1500</v>
      </c>
      <c r="O87" s="218">
        <v>1500</v>
      </c>
      <c r="P87" s="218">
        <v>1400</v>
      </c>
      <c r="Q87" s="218">
        <v>1500</v>
      </c>
      <c r="R87" s="218">
        <v>1500</v>
      </c>
      <c r="S87" s="218">
        <v>1400</v>
      </c>
      <c r="T87" s="218">
        <v>1500</v>
      </c>
      <c r="U87" s="218">
        <v>1500</v>
      </c>
      <c r="V87" s="218">
        <v>1400</v>
      </c>
      <c r="W87" s="218">
        <v>1500</v>
      </c>
      <c r="X87" s="218">
        <v>1500</v>
      </c>
      <c r="Y87" s="218">
        <v>1400</v>
      </c>
      <c r="Z87" s="218">
        <v>1500</v>
      </c>
      <c r="AA87" s="218">
        <v>1500</v>
      </c>
      <c r="AB87" s="218">
        <v>1400</v>
      </c>
      <c r="AC87" s="218">
        <v>1500</v>
      </c>
      <c r="AD87" s="218">
        <v>1500</v>
      </c>
      <c r="AE87" s="218">
        <v>1400</v>
      </c>
      <c r="AF87" s="218">
        <v>1500</v>
      </c>
      <c r="AG87" s="218">
        <v>1500</v>
      </c>
      <c r="AH87" s="218">
        <v>1200</v>
      </c>
      <c r="AI87" s="218">
        <v>1300</v>
      </c>
      <c r="AJ87" s="218">
        <v>1300</v>
      </c>
      <c r="AK87" s="218">
        <v>1400</v>
      </c>
      <c r="AL87" s="218">
        <v>1500</v>
      </c>
      <c r="AM87" s="218">
        <v>1500</v>
      </c>
      <c r="AN87" s="218">
        <v>1400</v>
      </c>
      <c r="AO87" s="218">
        <v>1500</v>
      </c>
      <c r="AP87" s="218">
        <v>1500</v>
      </c>
      <c r="AQ87" s="218">
        <v>1400</v>
      </c>
      <c r="AR87" s="218">
        <v>1500</v>
      </c>
      <c r="AS87" s="218">
        <v>1500</v>
      </c>
      <c r="AT87" s="218">
        <v>1400</v>
      </c>
      <c r="AU87" s="218">
        <v>1500</v>
      </c>
      <c r="AV87" s="218">
        <v>1500</v>
      </c>
      <c r="AW87" s="218">
        <v>1500</v>
      </c>
      <c r="AX87" s="218">
        <v>1500</v>
      </c>
      <c r="AY87" s="218">
        <v>1500</v>
      </c>
      <c r="AZ87" s="218">
        <v>1400</v>
      </c>
      <c r="BA87" s="218">
        <v>1500</v>
      </c>
      <c r="BB87" s="218">
        <v>1500</v>
      </c>
      <c r="BC87" s="213">
        <v>1400</v>
      </c>
      <c r="BD87" s="213">
        <v>1500</v>
      </c>
      <c r="BE87" s="213">
        <v>1500</v>
      </c>
      <c r="BF87" s="213">
        <v>1400</v>
      </c>
      <c r="BG87" s="213">
        <v>1500</v>
      </c>
      <c r="BH87" s="213">
        <v>1500</v>
      </c>
      <c r="BI87" s="218">
        <v>1700</v>
      </c>
      <c r="BJ87" s="218">
        <v>1700</v>
      </c>
      <c r="BK87" s="218">
        <v>1700</v>
      </c>
      <c r="BL87" s="218">
        <v>1700</v>
      </c>
      <c r="BM87" s="218">
        <v>1700</v>
      </c>
      <c r="BN87" s="218">
        <v>1700</v>
      </c>
      <c r="BO87" s="218">
        <v>1700</v>
      </c>
      <c r="BP87" s="218">
        <v>1700</v>
      </c>
      <c r="BQ87" s="218">
        <v>1700</v>
      </c>
      <c r="BR87" s="213"/>
      <c r="BS87" s="213"/>
      <c r="BT87" s="213"/>
      <c r="BU87" s="219"/>
      <c r="BV87" s="219"/>
      <c r="BW87" s="219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73"/>
      <c r="CK87" s="73"/>
      <c r="CL87" s="73"/>
      <c r="CM87" s="1"/>
      <c r="CN87" s="1"/>
      <c r="CO87" s="1"/>
      <c r="CP87" s="1"/>
      <c r="CQ87" s="1"/>
      <c r="CR87" s="1"/>
      <c r="CS87" s="1"/>
      <c r="CT87" s="1"/>
      <c r="CU87" s="1"/>
    </row>
    <row r="88" spans="1:99" s="120" customFormat="1" ht="14.5" x14ac:dyDescent="0.35">
      <c r="A88" s="118"/>
      <c r="B88" s="118"/>
      <c r="C88" s="119"/>
      <c r="D88" s="218">
        <v>1400</v>
      </c>
      <c r="E88" s="218">
        <v>1500</v>
      </c>
      <c r="F88" s="218">
        <v>1500</v>
      </c>
      <c r="G88" s="218">
        <v>1400</v>
      </c>
      <c r="H88" s="218">
        <v>1500</v>
      </c>
      <c r="I88" s="218">
        <v>1500</v>
      </c>
      <c r="J88" s="218">
        <v>1400</v>
      </c>
      <c r="K88" s="218">
        <v>1500</v>
      </c>
      <c r="L88" s="218">
        <v>1500</v>
      </c>
      <c r="M88" s="218">
        <v>1400</v>
      </c>
      <c r="N88" s="218">
        <v>1500</v>
      </c>
      <c r="O88" s="218">
        <v>1500</v>
      </c>
      <c r="P88" s="218">
        <v>1400</v>
      </c>
      <c r="Q88" s="218">
        <v>1500</v>
      </c>
      <c r="R88" s="218">
        <v>1500</v>
      </c>
      <c r="S88" s="218">
        <v>1400</v>
      </c>
      <c r="T88" s="218">
        <v>1500</v>
      </c>
      <c r="U88" s="218">
        <v>1500</v>
      </c>
      <c r="V88" s="218">
        <v>1400</v>
      </c>
      <c r="W88" s="218">
        <v>1500</v>
      </c>
      <c r="X88" s="218">
        <v>1500</v>
      </c>
      <c r="Y88" s="218">
        <v>1400</v>
      </c>
      <c r="Z88" s="218">
        <v>1500</v>
      </c>
      <c r="AA88" s="218">
        <v>1500</v>
      </c>
      <c r="AB88" s="218">
        <v>1400</v>
      </c>
      <c r="AC88" s="218">
        <v>1500</v>
      </c>
      <c r="AD88" s="218">
        <v>1500</v>
      </c>
      <c r="AE88" s="218">
        <v>1400</v>
      </c>
      <c r="AF88" s="218">
        <v>1500</v>
      </c>
      <c r="AG88" s="218">
        <v>1500</v>
      </c>
      <c r="AH88" s="218">
        <v>1200</v>
      </c>
      <c r="AI88" s="218">
        <v>1300</v>
      </c>
      <c r="AJ88" s="218">
        <v>1300</v>
      </c>
      <c r="AK88" s="218">
        <v>1400</v>
      </c>
      <c r="AL88" s="218">
        <v>1500</v>
      </c>
      <c r="AM88" s="218">
        <v>1500</v>
      </c>
      <c r="AN88" s="218">
        <v>1400</v>
      </c>
      <c r="AO88" s="218">
        <v>1500</v>
      </c>
      <c r="AP88" s="218">
        <v>1500</v>
      </c>
      <c r="AQ88" s="218">
        <v>1400</v>
      </c>
      <c r="AR88" s="218">
        <v>1500</v>
      </c>
      <c r="AS88" s="218">
        <v>1500</v>
      </c>
      <c r="AT88" s="218">
        <v>1400</v>
      </c>
      <c r="AU88" s="218">
        <v>1500</v>
      </c>
      <c r="AV88" s="218">
        <v>1500</v>
      </c>
      <c r="AW88" s="218">
        <v>1500</v>
      </c>
      <c r="AX88" s="218">
        <v>1500</v>
      </c>
      <c r="AY88" s="218">
        <v>1500</v>
      </c>
      <c r="AZ88" s="218">
        <v>1400</v>
      </c>
      <c r="BA88" s="218">
        <v>1500</v>
      </c>
      <c r="BB88" s="218">
        <v>1500</v>
      </c>
      <c r="BC88" s="213">
        <v>1400</v>
      </c>
      <c r="BD88" s="213">
        <v>1500</v>
      </c>
      <c r="BE88" s="213">
        <v>1500</v>
      </c>
      <c r="BF88" s="213">
        <v>1400</v>
      </c>
      <c r="BG88" s="213">
        <v>1500</v>
      </c>
      <c r="BH88" s="213">
        <v>1500</v>
      </c>
      <c r="BI88" s="218">
        <v>1700</v>
      </c>
      <c r="BJ88" s="218">
        <v>1700</v>
      </c>
      <c r="BK88" s="218">
        <v>1700</v>
      </c>
      <c r="BL88" s="218">
        <v>1700</v>
      </c>
      <c r="BM88" s="218">
        <v>1700</v>
      </c>
      <c r="BN88" s="218">
        <v>1700</v>
      </c>
      <c r="BO88" s="218">
        <v>1700</v>
      </c>
      <c r="BP88" s="218">
        <v>1700</v>
      </c>
      <c r="BQ88" s="218">
        <v>1700</v>
      </c>
      <c r="BR88" s="213"/>
      <c r="BS88" s="213"/>
      <c r="BT88" s="213"/>
      <c r="BU88" s="219"/>
      <c r="BV88" s="219"/>
      <c r="BW88" s="219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73"/>
      <c r="CK88" s="73"/>
      <c r="CL88" s="73"/>
      <c r="CM88" s="1"/>
      <c r="CN88" s="1"/>
      <c r="CO88" s="1"/>
      <c r="CP88" s="1"/>
      <c r="CQ88" s="1"/>
      <c r="CR88" s="1"/>
      <c r="CS88" s="1"/>
      <c r="CT88" s="1"/>
      <c r="CU88" s="1"/>
    </row>
    <row r="89" spans="1:99" ht="14.5" x14ac:dyDescent="0.35">
      <c r="A89" s="3" t="s">
        <v>176</v>
      </c>
      <c r="B89" s="3"/>
      <c r="C89" s="53" t="s">
        <v>177</v>
      </c>
      <c r="D89" s="209">
        <v>7450</v>
      </c>
      <c r="E89" s="209">
        <v>7975</v>
      </c>
      <c r="F89" s="209">
        <v>7975</v>
      </c>
      <c r="G89" s="209">
        <v>7450</v>
      </c>
      <c r="H89" s="209">
        <v>7975</v>
      </c>
      <c r="I89" s="209">
        <v>7975</v>
      </c>
      <c r="J89" s="209">
        <v>7450</v>
      </c>
      <c r="K89" s="209">
        <v>7975</v>
      </c>
      <c r="L89" s="209">
        <v>7975</v>
      </c>
      <c r="M89" s="209">
        <v>7450</v>
      </c>
      <c r="N89" s="209">
        <v>7975</v>
      </c>
      <c r="O89" s="209">
        <v>7975</v>
      </c>
      <c r="P89" s="209">
        <v>7450</v>
      </c>
      <c r="Q89" s="209">
        <v>7975</v>
      </c>
      <c r="R89" s="209">
        <v>7975</v>
      </c>
      <c r="S89" s="209">
        <v>7450</v>
      </c>
      <c r="T89" s="209">
        <v>7975</v>
      </c>
      <c r="U89" s="209">
        <v>7975</v>
      </c>
      <c r="V89" s="209">
        <v>7450</v>
      </c>
      <c r="W89" s="209">
        <v>7975</v>
      </c>
      <c r="X89" s="209">
        <v>7975</v>
      </c>
      <c r="Y89" s="209">
        <v>7450</v>
      </c>
      <c r="Z89" s="209">
        <v>7975</v>
      </c>
      <c r="AA89" s="209">
        <v>7975</v>
      </c>
      <c r="AB89" s="209">
        <v>7450</v>
      </c>
      <c r="AC89" s="209">
        <v>7975</v>
      </c>
      <c r="AD89" s="209">
        <v>7975</v>
      </c>
      <c r="AE89" s="209">
        <v>7450</v>
      </c>
      <c r="AF89" s="209">
        <v>7975</v>
      </c>
      <c r="AG89" s="209">
        <v>7975</v>
      </c>
      <c r="AH89" s="209">
        <v>7250</v>
      </c>
      <c r="AI89" s="209">
        <v>7775</v>
      </c>
      <c r="AJ89" s="209">
        <v>7775</v>
      </c>
      <c r="AK89" s="209">
        <v>7750</v>
      </c>
      <c r="AL89" s="209">
        <v>8375</v>
      </c>
      <c r="AM89" s="209">
        <v>8375</v>
      </c>
      <c r="AN89" s="213">
        <v>1300</v>
      </c>
      <c r="AO89" s="213">
        <v>1400</v>
      </c>
      <c r="AP89" s="213">
        <v>1400</v>
      </c>
      <c r="AQ89" s="209">
        <v>8090</v>
      </c>
      <c r="AR89" s="209">
        <v>8940</v>
      </c>
      <c r="AS89" s="209">
        <v>8940</v>
      </c>
      <c r="AT89" s="209">
        <v>7575</v>
      </c>
      <c r="AU89" s="209">
        <v>8175</v>
      </c>
      <c r="AV89" s="209">
        <v>8175</v>
      </c>
      <c r="AW89" s="209">
        <v>8450</v>
      </c>
      <c r="AX89" s="209">
        <v>8975</v>
      </c>
      <c r="AY89" s="209">
        <v>8975</v>
      </c>
      <c r="AZ89" s="209">
        <v>8050</v>
      </c>
      <c r="BA89" s="209">
        <v>8800</v>
      </c>
      <c r="BB89" s="209">
        <v>8800</v>
      </c>
      <c r="BC89" s="209">
        <v>8200</v>
      </c>
      <c r="BD89" s="209">
        <v>8850</v>
      </c>
      <c r="BE89" s="209">
        <v>8850</v>
      </c>
      <c r="BF89" s="209">
        <v>8275</v>
      </c>
      <c r="BG89" s="209">
        <v>9175</v>
      </c>
      <c r="BH89" s="209">
        <v>9175</v>
      </c>
      <c r="BI89" s="209">
        <v>8650</v>
      </c>
      <c r="BJ89" s="209">
        <v>9175</v>
      </c>
      <c r="BK89" s="209">
        <v>9175</v>
      </c>
      <c r="BL89" s="209">
        <v>8650</v>
      </c>
      <c r="BM89" s="209">
        <v>9175</v>
      </c>
      <c r="BN89" s="209">
        <v>9175</v>
      </c>
      <c r="BO89" s="209">
        <v>8650</v>
      </c>
      <c r="BP89" s="209">
        <v>9175</v>
      </c>
      <c r="BQ89" s="209">
        <v>9175</v>
      </c>
      <c r="BR89" s="213">
        <v>-100</v>
      </c>
      <c r="BS89" s="213">
        <v>-100</v>
      </c>
      <c r="BT89" s="213">
        <v>-100</v>
      </c>
      <c r="BU89" s="6">
        <f t="shared" ref="BU89:BU110" si="16">(BO89+2791)-100</f>
        <v>11341</v>
      </c>
      <c r="BV89" s="6">
        <f t="shared" ref="BV89:BV110" si="17">(BP89+2791)-100</f>
        <v>11866</v>
      </c>
      <c r="BW89" s="6">
        <f t="shared" ref="BW89:BW110" si="18">(BQ89+2791)-100</f>
        <v>11866</v>
      </c>
      <c r="CH89" s="1"/>
      <c r="CI89" s="1"/>
    </row>
    <row r="90" spans="1:99" ht="14.5" x14ac:dyDescent="0.35">
      <c r="A90" s="3" t="s">
        <v>178</v>
      </c>
      <c r="B90" s="3" t="s">
        <v>415</v>
      </c>
      <c r="C90" s="53" t="s">
        <v>179</v>
      </c>
      <c r="D90" s="209">
        <v>7450</v>
      </c>
      <c r="E90" s="209">
        <v>7900</v>
      </c>
      <c r="F90" s="209">
        <v>7900</v>
      </c>
      <c r="G90" s="209">
        <v>7450</v>
      </c>
      <c r="H90" s="209">
        <v>7900</v>
      </c>
      <c r="I90" s="209">
        <v>7900</v>
      </c>
      <c r="J90" s="209">
        <v>7450</v>
      </c>
      <c r="K90" s="209">
        <v>7900</v>
      </c>
      <c r="L90" s="209">
        <v>7900</v>
      </c>
      <c r="M90" s="209">
        <v>7450</v>
      </c>
      <c r="N90" s="209">
        <v>7900</v>
      </c>
      <c r="O90" s="209">
        <v>7900</v>
      </c>
      <c r="P90" s="209">
        <v>7450</v>
      </c>
      <c r="Q90" s="209">
        <v>7900</v>
      </c>
      <c r="R90" s="209">
        <v>7900</v>
      </c>
      <c r="S90" s="209">
        <v>7450</v>
      </c>
      <c r="T90" s="209">
        <v>7900</v>
      </c>
      <c r="U90" s="209">
        <v>7900</v>
      </c>
      <c r="V90" s="209">
        <v>7450</v>
      </c>
      <c r="W90" s="209">
        <v>7900</v>
      </c>
      <c r="X90" s="209">
        <v>7900</v>
      </c>
      <c r="Y90" s="209">
        <v>7450</v>
      </c>
      <c r="Z90" s="209">
        <v>7900</v>
      </c>
      <c r="AA90" s="209">
        <v>7900</v>
      </c>
      <c r="AB90" s="209">
        <v>7450</v>
      </c>
      <c r="AC90" s="209">
        <v>7900</v>
      </c>
      <c r="AD90" s="209">
        <v>7900</v>
      </c>
      <c r="AE90" s="209">
        <v>7450</v>
      </c>
      <c r="AF90" s="209">
        <v>7900</v>
      </c>
      <c r="AG90" s="209">
        <v>7900</v>
      </c>
      <c r="AH90" s="209">
        <v>7250</v>
      </c>
      <c r="AI90" s="209">
        <v>7700</v>
      </c>
      <c r="AJ90" s="209">
        <v>7700</v>
      </c>
      <c r="AK90" s="209">
        <v>7750</v>
      </c>
      <c r="AL90" s="209">
        <v>8300</v>
      </c>
      <c r="AM90" s="209">
        <v>8300</v>
      </c>
      <c r="AN90" s="213">
        <v>1300</v>
      </c>
      <c r="AO90" s="213">
        <v>1400</v>
      </c>
      <c r="AP90" s="213">
        <v>1400</v>
      </c>
      <c r="AQ90" s="209">
        <v>8090</v>
      </c>
      <c r="AR90" s="209">
        <v>8865</v>
      </c>
      <c r="AS90" s="209">
        <v>8865</v>
      </c>
      <c r="AT90" s="209">
        <v>7575</v>
      </c>
      <c r="AU90" s="209">
        <v>8100</v>
      </c>
      <c r="AV90" s="209">
        <v>8100</v>
      </c>
      <c r="AW90" s="209">
        <v>8450</v>
      </c>
      <c r="AX90" s="209">
        <v>8900</v>
      </c>
      <c r="AY90" s="209">
        <v>8900</v>
      </c>
      <c r="AZ90" s="209">
        <v>8050</v>
      </c>
      <c r="BA90" s="209">
        <v>8725</v>
      </c>
      <c r="BB90" s="209">
        <v>8725</v>
      </c>
      <c r="BC90" s="209">
        <v>8200</v>
      </c>
      <c r="BD90" s="209">
        <v>8775</v>
      </c>
      <c r="BE90" s="209">
        <v>8775</v>
      </c>
      <c r="BF90" s="209">
        <v>8275</v>
      </c>
      <c r="BG90" s="209">
        <v>9100</v>
      </c>
      <c r="BH90" s="209">
        <v>9100</v>
      </c>
      <c r="BI90" s="209">
        <v>8650</v>
      </c>
      <c r="BJ90" s="209">
        <v>9100</v>
      </c>
      <c r="BK90" s="209">
        <v>9100</v>
      </c>
      <c r="BL90" s="209">
        <v>8650</v>
      </c>
      <c r="BM90" s="209">
        <v>9100</v>
      </c>
      <c r="BN90" s="209">
        <v>9100</v>
      </c>
      <c r="BO90" s="209">
        <v>8650</v>
      </c>
      <c r="BP90" s="209">
        <v>9100</v>
      </c>
      <c r="BQ90" s="209">
        <v>9100</v>
      </c>
      <c r="BR90" s="213">
        <v>-100</v>
      </c>
      <c r="BS90" s="213">
        <v>-100</v>
      </c>
      <c r="BT90" s="213">
        <v>-100</v>
      </c>
      <c r="BU90" s="6">
        <f t="shared" si="16"/>
        <v>11341</v>
      </c>
      <c r="BV90" s="6">
        <f t="shared" si="17"/>
        <v>11791</v>
      </c>
      <c r="BW90" s="6">
        <f t="shared" si="18"/>
        <v>11791</v>
      </c>
      <c r="CH90" s="1"/>
      <c r="CI90" s="1"/>
    </row>
    <row r="91" spans="1:99" ht="14.5" x14ac:dyDescent="0.35">
      <c r="A91" s="3" t="s">
        <v>178</v>
      </c>
      <c r="B91" s="3" t="s">
        <v>432</v>
      </c>
      <c r="C91" s="53" t="s">
        <v>179</v>
      </c>
      <c r="D91" s="209">
        <v>7535</v>
      </c>
      <c r="E91" s="209">
        <v>7840</v>
      </c>
      <c r="F91" s="209">
        <v>7840</v>
      </c>
      <c r="G91" s="209">
        <v>7535</v>
      </c>
      <c r="H91" s="209">
        <v>7840</v>
      </c>
      <c r="I91" s="209">
        <v>7840</v>
      </c>
      <c r="J91" s="209">
        <v>7535</v>
      </c>
      <c r="K91" s="209">
        <v>7840</v>
      </c>
      <c r="L91" s="209">
        <v>7840</v>
      </c>
      <c r="M91" s="209">
        <v>7535</v>
      </c>
      <c r="N91" s="209">
        <v>7840</v>
      </c>
      <c r="O91" s="209">
        <v>7840</v>
      </c>
      <c r="P91" s="209">
        <v>7535</v>
      </c>
      <c r="Q91" s="209">
        <v>7840</v>
      </c>
      <c r="R91" s="209">
        <v>7840</v>
      </c>
      <c r="S91" s="209">
        <v>7535</v>
      </c>
      <c r="T91" s="209">
        <v>7840</v>
      </c>
      <c r="U91" s="209">
        <v>7840</v>
      </c>
      <c r="V91" s="209">
        <v>7535</v>
      </c>
      <c r="W91" s="209">
        <v>7840</v>
      </c>
      <c r="X91" s="209">
        <v>7840</v>
      </c>
      <c r="Y91" s="209">
        <v>7535</v>
      </c>
      <c r="Z91" s="209">
        <v>7840</v>
      </c>
      <c r="AA91" s="209">
        <v>7840</v>
      </c>
      <c r="AB91" s="209">
        <v>7535</v>
      </c>
      <c r="AC91" s="209">
        <v>7840</v>
      </c>
      <c r="AD91" s="209">
        <v>7840</v>
      </c>
      <c r="AE91" s="209">
        <v>7535</v>
      </c>
      <c r="AF91" s="209">
        <v>7840</v>
      </c>
      <c r="AG91" s="209">
        <v>7840</v>
      </c>
      <c r="AH91" s="209">
        <v>7335</v>
      </c>
      <c r="AI91" s="209">
        <v>7640</v>
      </c>
      <c r="AJ91" s="209">
        <v>7640</v>
      </c>
      <c r="AK91" s="209">
        <v>7835</v>
      </c>
      <c r="AL91" s="209">
        <v>8240</v>
      </c>
      <c r="AM91" s="209">
        <v>8240</v>
      </c>
      <c r="AN91" s="213">
        <v>1300</v>
      </c>
      <c r="AO91" s="213">
        <v>1400</v>
      </c>
      <c r="AP91" s="213">
        <v>1400</v>
      </c>
      <c r="AQ91" s="209">
        <v>8175</v>
      </c>
      <c r="AR91" s="209">
        <v>8805</v>
      </c>
      <c r="AS91" s="209">
        <v>8805</v>
      </c>
      <c r="AT91" s="209">
        <v>7660</v>
      </c>
      <c r="AU91" s="209">
        <v>8040</v>
      </c>
      <c r="AV91" s="209">
        <v>8040</v>
      </c>
      <c r="AW91" s="209">
        <v>8535</v>
      </c>
      <c r="AX91" s="209">
        <v>8840</v>
      </c>
      <c r="AY91" s="209">
        <v>8840</v>
      </c>
      <c r="AZ91" s="209">
        <v>8135</v>
      </c>
      <c r="BA91" s="209">
        <v>8665</v>
      </c>
      <c r="BB91" s="209">
        <v>8665</v>
      </c>
      <c r="BC91" s="209">
        <v>8285</v>
      </c>
      <c r="BD91" s="209">
        <v>8715</v>
      </c>
      <c r="BE91" s="209">
        <v>8715</v>
      </c>
      <c r="BF91" s="209">
        <v>8360</v>
      </c>
      <c r="BG91" s="209">
        <v>9040</v>
      </c>
      <c r="BH91" s="209">
        <v>9040</v>
      </c>
      <c r="BI91" s="209">
        <v>8735</v>
      </c>
      <c r="BJ91" s="209">
        <v>9040</v>
      </c>
      <c r="BK91" s="209">
        <v>9040</v>
      </c>
      <c r="BL91" s="209">
        <v>8735</v>
      </c>
      <c r="BM91" s="209">
        <v>9040</v>
      </c>
      <c r="BN91" s="209">
        <v>9040</v>
      </c>
      <c r="BO91" s="209">
        <v>8735</v>
      </c>
      <c r="BP91" s="209">
        <v>9040</v>
      </c>
      <c r="BQ91" s="209">
        <v>9040</v>
      </c>
      <c r="BR91" s="213">
        <v>-100</v>
      </c>
      <c r="BS91" s="213">
        <v>-100</v>
      </c>
      <c r="BT91" s="213">
        <v>-100</v>
      </c>
      <c r="BU91" s="6">
        <f t="shared" si="16"/>
        <v>11426</v>
      </c>
      <c r="BV91" s="6">
        <f t="shared" si="17"/>
        <v>11731</v>
      </c>
      <c r="BW91" s="6">
        <f t="shared" si="18"/>
        <v>11731</v>
      </c>
      <c r="CH91" s="1"/>
      <c r="CI91" s="1"/>
    </row>
    <row r="92" spans="1:99" ht="14.5" x14ac:dyDescent="0.35">
      <c r="A92" s="3" t="s">
        <v>180</v>
      </c>
      <c r="B92" s="3"/>
      <c r="C92" s="53" t="s">
        <v>181</v>
      </c>
      <c r="D92" s="209">
        <v>7450</v>
      </c>
      <c r="E92" s="209">
        <v>8050</v>
      </c>
      <c r="F92" s="209">
        <v>8050</v>
      </c>
      <c r="G92" s="209">
        <v>7450</v>
      </c>
      <c r="H92" s="209">
        <v>8050</v>
      </c>
      <c r="I92" s="209">
        <v>8050</v>
      </c>
      <c r="J92" s="209">
        <v>7450</v>
      </c>
      <c r="K92" s="209">
        <v>8050</v>
      </c>
      <c r="L92" s="209">
        <v>8050</v>
      </c>
      <c r="M92" s="209">
        <v>7450</v>
      </c>
      <c r="N92" s="209">
        <v>8050</v>
      </c>
      <c r="O92" s="209">
        <v>8050</v>
      </c>
      <c r="P92" s="209">
        <v>7450</v>
      </c>
      <c r="Q92" s="209">
        <v>8050</v>
      </c>
      <c r="R92" s="209">
        <v>8050</v>
      </c>
      <c r="S92" s="209">
        <v>7450</v>
      </c>
      <c r="T92" s="209">
        <v>8050</v>
      </c>
      <c r="U92" s="209">
        <v>8050</v>
      </c>
      <c r="V92" s="209">
        <v>7450</v>
      </c>
      <c r="W92" s="209">
        <v>8050</v>
      </c>
      <c r="X92" s="209">
        <v>8050</v>
      </c>
      <c r="Y92" s="209">
        <v>7450</v>
      </c>
      <c r="Z92" s="209">
        <v>8050</v>
      </c>
      <c r="AA92" s="209">
        <v>8050</v>
      </c>
      <c r="AB92" s="209">
        <v>7450</v>
      </c>
      <c r="AC92" s="209">
        <v>8050</v>
      </c>
      <c r="AD92" s="209">
        <v>8050</v>
      </c>
      <c r="AE92" s="209">
        <v>7450</v>
      </c>
      <c r="AF92" s="209">
        <v>8050</v>
      </c>
      <c r="AG92" s="209">
        <v>8050</v>
      </c>
      <c r="AH92" s="209">
        <v>7250</v>
      </c>
      <c r="AI92" s="209">
        <v>7850</v>
      </c>
      <c r="AJ92" s="209">
        <v>7850</v>
      </c>
      <c r="AK92" s="209">
        <v>7750</v>
      </c>
      <c r="AL92" s="209">
        <v>8450</v>
      </c>
      <c r="AM92" s="209">
        <v>8450</v>
      </c>
      <c r="AN92" s="213">
        <v>1300</v>
      </c>
      <c r="AO92" s="213">
        <v>1400</v>
      </c>
      <c r="AP92" s="213">
        <v>1400</v>
      </c>
      <c r="AQ92" s="209">
        <v>8090</v>
      </c>
      <c r="AR92" s="209">
        <v>9015</v>
      </c>
      <c r="AS92" s="209">
        <v>9015</v>
      </c>
      <c r="AT92" s="209">
        <v>7575</v>
      </c>
      <c r="AU92" s="209">
        <v>8250</v>
      </c>
      <c r="AV92" s="209">
        <v>8250</v>
      </c>
      <c r="AW92" s="209">
        <v>8450</v>
      </c>
      <c r="AX92" s="209">
        <v>9050</v>
      </c>
      <c r="AY92" s="209">
        <v>9050</v>
      </c>
      <c r="AZ92" s="209">
        <v>8050</v>
      </c>
      <c r="BA92" s="209">
        <v>8875</v>
      </c>
      <c r="BB92" s="209">
        <v>8875</v>
      </c>
      <c r="BC92" s="209">
        <v>8200</v>
      </c>
      <c r="BD92" s="209">
        <v>8925</v>
      </c>
      <c r="BE92" s="209">
        <v>8925</v>
      </c>
      <c r="BF92" s="209">
        <v>8275</v>
      </c>
      <c r="BG92" s="209">
        <v>9250</v>
      </c>
      <c r="BH92" s="209">
        <v>9250</v>
      </c>
      <c r="BI92" s="209">
        <v>8650</v>
      </c>
      <c r="BJ92" s="209">
        <v>9250</v>
      </c>
      <c r="BK92" s="209">
        <v>9250</v>
      </c>
      <c r="BL92" s="209">
        <v>8650</v>
      </c>
      <c r="BM92" s="209">
        <v>9250</v>
      </c>
      <c r="BN92" s="209">
        <v>9250</v>
      </c>
      <c r="BO92" s="209">
        <v>8650</v>
      </c>
      <c r="BP92" s="209">
        <v>9250</v>
      </c>
      <c r="BQ92" s="209">
        <v>9250</v>
      </c>
      <c r="BR92" s="213">
        <v>-100</v>
      </c>
      <c r="BS92" s="213">
        <v>-100</v>
      </c>
      <c r="BT92" s="213">
        <v>-100</v>
      </c>
      <c r="BU92" s="6">
        <f t="shared" si="16"/>
        <v>11341</v>
      </c>
      <c r="BV92" s="6">
        <f t="shared" si="17"/>
        <v>11941</v>
      </c>
      <c r="BW92" s="6">
        <f t="shared" si="18"/>
        <v>11941</v>
      </c>
      <c r="CH92" s="1"/>
      <c r="CI92" s="1"/>
    </row>
    <row r="93" spans="1:99" ht="14.5" x14ac:dyDescent="0.35">
      <c r="A93" s="3" t="s">
        <v>182</v>
      </c>
      <c r="B93" s="3"/>
      <c r="C93" s="53" t="s">
        <v>183</v>
      </c>
      <c r="D93" s="209">
        <v>7425</v>
      </c>
      <c r="E93" s="209">
        <v>7975</v>
      </c>
      <c r="F93" s="209">
        <v>7975</v>
      </c>
      <c r="G93" s="209">
        <v>7425</v>
      </c>
      <c r="H93" s="209">
        <v>7975</v>
      </c>
      <c r="I93" s="209">
        <v>7975</v>
      </c>
      <c r="J93" s="209">
        <v>7425</v>
      </c>
      <c r="K93" s="209">
        <v>7975</v>
      </c>
      <c r="L93" s="209">
        <v>7975</v>
      </c>
      <c r="M93" s="209">
        <v>7425</v>
      </c>
      <c r="N93" s="209">
        <v>7975</v>
      </c>
      <c r="O93" s="209">
        <v>7975</v>
      </c>
      <c r="P93" s="209">
        <v>7425</v>
      </c>
      <c r="Q93" s="209">
        <v>7975</v>
      </c>
      <c r="R93" s="209">
        <v>7975</v>
      </c>
      <c r="S93" s="209">
        <v>7425</v>
      </c>
      <c r="T93" s="209">
        <v>7975</v>
      </c>
      <c r="U93" s="209">
        <v>7975</v>
      </c>
      <c r="V93" s="209">
        <v>7425</v>
      </c>
      <c r="W93" s="209">
        <v>7975</v>
      </c>
      <c r="X93" s="209">
        <v>7975</v>
      </c>
      <c r="Y93" s="209">
        <v>7425</v>
      </c>
      <c r="Z93" s="209">
        <v>7975</v>
      </c>
      <c r="AA93" s="209">
        <v>7975</v>
      </c>
      <c r="AB93" s="209">
        <v>7425</v>
      </c>
      <c r="AC93" s="209">
        <v>7975</v>
      </c>
      <c r="AD93" s="209">
        <v>7975</v>
      </c>
      <c r="AE93" s="209">
        <v>7425</v>
      </c>
      <c r="AF93" s="209">
        <v>7975</v>
      </c>
      <c r="AG93" s="209">
        <v>7975</v>
      </c>
      <c r="AH93" s="209">
        <v>7225</v>
      </c>
      <c r="AI93" s="209">
        <v>7775</v>
      </c>
      <c r="AJ93" s="209">
        <v>7775</v>
      </c>
      <c r="AK93" s="209">
        <v>7725</v>
      </c>
      <c r="AL93" s="209">
        <v>8375</v>
      </c>
      <c r="AM93" s="209">
        <v>8375</v>
      </c>
      <c r="AN93" s="213">
        <v>1300</v>
      </c>
      <c r="AO93" s="213">
        <v>1400</v>
      </c>
      <c r="AP93" s="213">
        <v>1400</v>
      </c>
      <c r="AQ93" s="209">
        <v>8065</v>
      </c>
      <c r="AR93" s="209">
        <v>8940</v>
      </c>
      <c r="AS93" s="209">
        <v>8940</v>
      </c>
      <c r="AT93" s="209">
        <v>7550</v>
      </c>
      <c r="AU93" s="209">
        <v>8175</v>
      </c>
      <c r="AV93" s="209">
        <v>8175</v>
      </c>
      <c r="AW93" s="209">
        <v>8425</v>
      </c>
      <c r="AX93" s="209">
        <v>8975</v>
      </c>
      <c r="AY93" s="209">
        <v>8975</v>
      </c>
      <c r="AZ93" s="209">
        <v>8025</v>
      </c>
      <c r="BA93" s="209">
        <v>8800</v>
      </c>
      <c r="BB93" s="209">
        <v>8800</v>
      </c>
      <c r="BC93" s="209">
        <v>8175</v>
      </c>
      <c r="BD93" s="209">
        <v>8850</v>
      </c>
      <c r="BE93" s="209">
        <v>8850</v>
      </c>
      <c r="BF93" s="209">
        <v>8250</v>
      </c>
      <c r="BG93" s="209">
        <v>9175</v>
      </c>
      <c r="BH93" s="209">
        <v>9175</v>
      </c>
      <c r="BI93" s="209">
        <v>8625</v>
      </c>
      <c r="BJ93" s="209">
        <v>9175</v>
      </c>
      <c r="BK93" s="209">
        <v>9175</v>
      </c>
      <c r="BL93" s="209">
        <v>8625</v>
      </c>
      <c r="BM93" s="209">
        <v>9175</v>
      </c>
      <c r="BN93" s="209">
        <v>9175</v>
      </c>
      <c r="BO93" s="209">
        <v>8625</v>
      </c>
      <c r="BP93" s="209">
        <v>9175</v>
      </c>
      <c r="BQ93" s="209">
        <v>9175</v>
      </c>
      <c r="BR93" s="213">
        <v>-100</v>
      </c>
      <c r="BS93" s="213">
        <v>-100</v>
      </c>
      <c r="BT93" s="213">
        <v>-100</v>
      </c>
      <c r="BU93" s="6">
        <f t="shared" si="16"/>
        <v>11316</v>
      </c>
      <c r="BV93" s="6">
        <f t="shared" si="17"/>
        <v>11866</v>
      </c>
      <c r="BW93" s="6">
        <f t="shared" si="18"/>
        <v>11866</v>
      </c>
      <c r="CH93" s="1"/>
      <c r="CI93" s="1"/>
    </row>
    <row r="94" spans="1:99" ht="14.5" x14ac:dyDescent="0.35">
      <c r="A94" s="3" t="s">
        <v>184</v>
      </c>
      <c r="B94" s="3" t="s">
        <v>143</v>
      </c>
      <c r="C94" s="53" t="s">
        <v>185</v>
      </c>
      <c r="D94" s="215">
        <v>7275</v>
      </c>
      <c r="E94" s="215">
        <v>7650</v>
      </c>
      <c r="F94" s="215">
        <v>7650</v>
      </c>
      <c r="G94" s="215">
        <v>7275</v>
      </c>
      <c r="H94" s="215">
        <v>7650</v>
      </c>
      <c r="I94" s="215">
        <v>7650</v>
      </c>
      <c r="J94" s="215">
        <v>7275</v>
      </c>
      <c r="K94" s="215">
        <v>7650</v>
      </c>
      <c r="L94" s="215">
        <v>7650</v>
      </c>
      <c r="M94" s="215">
        <v>7275</v>
      </c>
      <c r="N94" s="215">
        <v>7650</v>
      </c>
      <c r="O94" s="215">
        <v>7650</v>
      </c>
      <c r="P94" s="215">
        <v>7275</v>
      </c>
      <c r="Q94" s="215">
        <v>7650</v>
      </c>
      <c r="R94" s="215">
        <v>7650</v>
      </c>
      <c r="S94" s="215">
        <v>7275</v>
      </c>
      <c r="T94" s="215">
        <v>7650</v>
      </c>
      <c r="U94" s="215">
        <v>7650</v>
      </c>
      <c r="V94" s="215">
        <v>7275</v>
      </c>
      <c r="W94" s="215">
        <v>7650</v>
      </c>
      <c r="X94" s="215">
        <v>7650</v>
      </c>
      <c r="Y94" s="215">
        <v>7275</v>
      </c>
      <c r="Z94" s="215">
        <v>7650</v>
      </c>
      <c r="AA94" s="215">
        <v>7650</v>
      </c>
      <c r="AB94" s="215">
        <v>7275</v>
      </c>
      <c r="AC94" s="215">
        <v>7650</v>
      </c>
      <c r="AD94" s="215">
        <v>7650</v>
      </c>
      <c r="AE94" s="215">
        <v>7275</v>
      </c>
      <c r="AF94" s="215">
        <v>7650</v>
      </c>
      <c r="AG94" s="215">
        <v>7650</v>
      </c>
      <c r="AH94" s="215">
        <v>7075</v>
      </c>
      <c r="AI94" s="215">
        <v>7450</v>
      </c>
      <c r="AJ94" s="215">
        <v>7450</v>
      </c>
      <c r="AK94" s="215">
        <v>7575</v>
      </c>
      <c r="AL94" s="215">
        <v>8050</v>
      </c>
      <c r="AM94" s="215">
        <v>8050</v>
      </c>
      <c r="AN94" s="217">
        <v>1300</v>
      </c>
      <c r="AO94" s="217">
        <v>1400</v>
      </c>
      <c r="AP94" s="217">
        <v>1400</v>
      </c>
      <c r="AQ94" s="215">
        <v>7915</v>
      </c>
      <c r="AR94" s="215">
        <v>8615</v>
      </c>
      <c r="AS94" s="215">
        <v>8615</v>
      </c>
      <c r="AT94" s="215">
        <v>7400</v>
      </c>
      <c r="AU94" s="215">
        <v>7850</v>
      </c>
      <c r="AV94" s="215">
        <v>7850</v>
      </c>
      <c r="AW94" s="215">
        <v>8275</v>
      </c>
      <c r="AX94" s="215">
        <v>8650</v>
      </c>
      <c r="AY94" s="215">
        <v>8650</v>
      </c>
      <c r="AZ94" s="215">
        <v>7875</v>
      </c>
      <c r="BA94" s="215">
        <v>8475</v>
      </c>
      <c r="BB94" s="215">
        <v>8475</v>
      </c>
      <c r="BC94" s="215">
        <v>8025</v>
      </c>
      <c r="BD94" s="215">
        <v>8525</v>
      </c>
      <c r="BE94" s="215">
        <v>8525</v>
      </c>
      <c r="BF94" s="215">
        <v>8100</v>
      </c>
      <c r="BG94" s="215">
        <v>8850</v>
      </c>
      <c r="BH94" s="215">
        <v>8850</v>
      </c>
      <c r="BI94" s="215">
        <v>8475</v>
      </c>
      <c r="BJ94" s="215">
        <v>8850</v>
      </c>
      <c r="BK94" s="215">
        <v>8850</v>
      </c>
      <c r="BL94" s="215">
        <v>8475</v>
      </c>
      <c r="BM94" s="215">
        <v>8850</v>
      </c>
      <c r="BN94" s="215">
        <v>8850</v>
      </c>
      <c r="BO94" s="215">
        <v>8475</v>
      </c>
      <c r="BP94" s="215">
        <v>8850</v>
      </c>
      <c r="BQ94" s="215">
        <v>8850</v>
      </c>
      <c r="BR94" s="213">
        <v>5544</v>
      </c>
      <c r="BS94" s="213">
        <v>5819</v>
      </c>
      <c r="BT94" s="213">
        <v>5819</v>
      </c>
      <c r="BU94" s="6">
        <f t="shared" si="16"/>
        <v>11166</v>
      </c>
      <c r="BV94" s="6">
        <f t="shared" si="17"/>
        <v>11541</v>
      </c>
      <c r="BW94" s="6">
        <f t="shared" si="18"/>
        <v>11541</v>
      </c>
      <c r="CH94" s="1"/>
      <c r="CI94" s="1"/>
    </row>
    <row r="95" spans="1:99" s="76" customFormat="1" ht="14.5" x14ac:dyDescent="0.35">
      <c r="A95" s="82" t="s">
        <v>184</v>
      </c>
      <c r="B95" s="82" t="s">
        <v>83</v>
      </c>
      <c r="C95" s="83" t="s">
        <v>185</v>
      </c>
      <c r="D95" s="215">
        <v>7330</v>
      </c>
      <c r="E95" s="215">
        <v>7750</v>
      </c>
      <c r="F95" s="215">
        <v>7750</v>
      </c>
      <c r="G95" s="215">
        <v>7330</v>
      </c>
      <c r="H95" s="215">
        <v>7750</v>
      </c>
      <c r="I95" s="215">
        <v>7750</v>
      </c>
      <c r="J95" s="215">
        <v>7330</v>
      </c>
      <c r="K95" s="215">
        <v>7750</v>
      </c>
      <c r="L95" s="215">
        <v>7750</v>
      </c>
      <c r="M95" s="215">
        <v>7330</v>
      </c>
      <c r="N95" s="215">
        <v>7750</v>
      </c>
      <c r="O95" s="215">
        <v>7750</v>
      </c>
      <c r="P95" s="215">
        <v>7330</v>
      </c>
      <c r="Q95" s="215">
        <v>7750</v>
      </c>
      <c r="R95" s="215">
        <v>7750</v>
      </c>
      <c r="S95" s="215">
        <v>7330</v>
      </c>
      <c r="T95" s="215">
        <v>7750</v>
      </c>
      <c r="U95" s="215">
        <v>7750</v>
      </c>
      <c r="V95" s="215">
        <v>7330</v>
      </c>
      <c r="W95" s="215">
        <v>7750</v>
      </c>
      <c r="X95" s="215">
        <v>7750</v>
      </c>
      <c r="Y95" s="215">
        <v>7330</v>
      </c>
      <c r="Z95" s="215">
        <v>7750</v>
      </c>
      <c r="AA95" s="215">
        <v>7750</v>
      </c>
      <c r="AB95" s="215">
        <v>7330</v>
      </c>
      <c r="AC95" s="215">
        <v>7750</v>
      </c>
      <c r="AD95" s="215">
        <v>7750</v>
      </c>
      <c r="AE95" s="215">
        <v>7330</v>
      </c>
      <c r="AF95" s="215">
        <v>7750</v>
      </c>
      <c r="AG95" s="215">
        <v>7750</v>
      </c>
      <c r="AH95" s="215">
        <v>7130</v>
      </c>
      <c r="AI95" s="215">
        <v>7550</v>
      </c>
      <c r="AJ95" s="215">
        <v>7550</v>
      </c>
      <c r="AK95" s="215">
        <v>7630</v>
      </c>
      <c r="AL95" s="215">
        <v>8150</v>
      </c>
      <c r="AM95" s="215">
        <v>8150</v>
      </c>
      <c r="AN95" s="217">
        <v>1300</v>
      </c>
      <c r="AO95" s="217">
        <v>1400</v>
      </c>
      <c r="AP95" s="217">
        <v>1400</v>
      </c>
      <c r="AQ95" s="215">
        <v>7970</v>
      </c>
      <c r="AR95" s="215">
        <v>8715</v>
      </c>
      <c r="AS95" s="215">
        <v>8715</v>
      </c>
      <c r="AT95" s="215">
        <v>7455</v>
      </c>
      <c r="AU95" s="215">
        <v>7950</v>
      </c>
      <c r="AV95" s="215">
        <v>7950</v>
      </c>
      <c r="AW95" s="215">
        <v>8330</v>
      </c>
      <c r="AX95" s="215">
        <v>8750</v>
      </c>
      <c r="AY95" s="215">
        <v>8750</v>
      </c>
      <c r="AZ95" s="215">
        <v>7930</v>
      </c>
      <c r="BA95" s="215">
        <v>8575</v>
      </c>
      <c r="BB95" s="215">
        <v>8575</v>
      </c>
      <c r="BC95" s="215">
        <v>8080</v>
      </c>
      <c r="BD95" s="215">
        <v>8625</v>
      </c>
      <c r="BE95" s="215">
        <v>8625</v>
      </c>
      <c r="BF95" s="215">
        <v>8155</v>
      </c>
      <c r="BG95" s="215">
        <v>8950</v>
      </c>
      <c r="BH95" s="215">
        <v>8950</v>
      </c>
      <c r="BI95" s="215">
        <v>8530</v>
      </c>
      <c r="BJ95" s="215">
        <v>8950</v>
      </c>
      <c r="BK95" s="215">
        <v>8950</v>
      </c>
      <c r="BL95" s="215">
        <v>8530</v>
      </c>
      <c r="BM95" s="215">
        <v>8950</v>
      </c>
      <c r="BN95" s="215">
        <v>8950</v>
      </c>
      <c r="BO95" s="215">
        <v>8530</v>
      </c>
      <c r="BP95" s="215">
        <v>8950</v>
      </c>
      <c r="BQ95" s="215">
        <v>8950</v>
      </c>
      <c r="BR95" s="213">
        <v>5599</v>
      </c>
      <c r="BS95" s="213">
        <v>5919</v>
      </c>
      <c r="BT95" s="213">
        <v>5919</v>
      </c>
      <c r="BU95" s="6">
        <f t="shared" si="16"/>
        <v>11221</v>
      </c>
      <c r="BV95" s="6">
        <f t="shared" si="17"/>
        <v>11641</v>
      </c>
      <c r="BW95" s="6">
        <f t="shared" si="18"/>
        <v>11641</v>
      </c>
      <c r="BY95" s="1"/>
      <c r="BZ95" s="1"/>
      <c r="CA95" s="1"/>
      <c r="CC95" s="1"/>
      <c r="CD95" s="1"/>
      <c r="CE95" s="1"/>
      <c r="CG95" s="1"/>
      <c r="CH95" s="1"/>
      <c r="CI95" s="1"/>
      <c r="CJ95" s="84"/>
      <c r="CK95" s="84"/>
      <c r="CL95" s="84"/>
    </row>
    <row r="96" spans="1:99" s="76" customFormat="1" ht="14.5" x14ac:dyDescent="0.35">
      <c r="A96" s="82" t="s">
        <v>184</v>
      </c>
      <c r="B96" s="82" t="s">
        <v>85</v>
      </c>
      <c r="C96" s="83" t="s">
        <v>185</v>
      </c>
      <c r="D96" s="209">
        <v>7325</v>
      </c>
      <c r="E96" s="209">
        <v>7825</v>
      </c>
      <c r="F96" s="209">
        <v>7825</v>
      </c>
      <c r="G96" s="209">
        <v>7325</v>
      </c>
      <c r="H96" s="209">
        <v>7825</v>
      </c>
      <c r="I96" s="209">
        <v>7825</v>
      </c>
      <c r="J96" s="209">
        <v>7325</v>
      </c>
      <c r="K96" s="209">
        <v>7825</v>
      </c>
      <c r="L96" s="209">
        <v>7825</v>
      </c>
      <c r="M96" s="209">
        <v>7325</v>
      </c>
      <c r="N96" s="209">
        <v>7825</v>
      </c>
      <c r="O96" s="209">
        <v>7825</v>
      </c>
      <c r="P96" s="209">
        <v>7325</v>
      </c>
      <c r="Q96" s="209">
        <v>7825</v>
      </c>
      <c r="R96" s="209">
        <v>7825</v>
      </c>
      <c r="S96" s="209">
        <v>7325</v>
      </c>
      <c r="T96" s="209">
        <v>7825</v>
      </c>
      <c r="U96" s="209">
        <v>7825</v>
      </c>
      <c r="V96" s="209">
        <v>7325</v>
      </c>
      <c r="W96" s="209">
        <v>7825</v>
      </c>
      <c r="X96" s="209">
        <v>7825</v>
      </c>
      <c r="Y96" s="209">
        <v>7325</v>
      </c>
      <c r="Z96" s="209">
        <v>7825</v>
      </c>
      <c r="AA96" s="209">
        <v>7825</v>
      </c>
      <c r="AB96" s="209">
        <v>7325</v>
      </c>
      <c r="AC96" s="209">
        <v>7825</v>
      </c>
      <c r="AD96" s="209">
        <v>7825</v>
      </c>
      <c r="AE96" s="209">
        <v>7325</v>
      </c>
      <c r="AF96" s="209">
        <v>7825</v>
      </c>
      <c r="AG96" s="209">
        <v>7825</v>
      </c>
      <c r="AH96" s="209">
        <v>7125</v>
      </c>
      <c r="AI96" s="209">
        <v>7625</v>
      </c>
      <c r="AJ96" s="209">
        <v>7625</v>
      </c>
      <c r="AK96" s="209">
        <v>7625</v>
      </c>
      <c r="AL96" s="209">
        <v>8225</v>
      </c>
      <c r="AM96" s="209">
        <v>8225</v>
      </c>
      <c r="AN96" s="213">
        <v>1300</v>
      </c>
      <c r="AO96" s="213">
        <v>1400</v>
      </c>
      <c r="AP96" s="213">
        <v>1400</v>
      </c>
      <c r="AQ96" s="209">
        <v>7965</v>
      </c>
      <c r="AR96" s="209">
        <v>8790</v>
      </c>
      <c r="AS96" s="209">
        <v>8790</v>
      </c>
      <c r="AT96" s="209">
        <v>7450</v>
      </c>
      <c r="AU96" s="209">
        <v>8025</v>
      </c>
      <c r="AV96" s="209">
        <v>8025</v>
      </c>
      <c r="AW96" s="209">
        <v>8325</v>
      </c>
      <c r="AX96" s="209">
        <v>8825</v>
      </c>
      <c r="AY96" s="209">
        <v>8825</v>
      </c>
      <c r="AZ96" s="209">
        <v>7925</v>
      </c>
      <c r="BA96" s="209">
        <v>8650</v>
      </c>
      <c r="BB96" s="209">
        <v>8650</v>
      </c>
      <c r="BC96" s="209">
        <v>8075</v>
      </c>
      <c r="BD96" s="209">
        <v>8700</v>
      </c>
      <c r="BE96" s="209">
        <v>8700</v>
      </c>
      <c r="BF96" s="209">
        <v>8150</v>
      </c>
      <c r="BG96" s="209">
        <v>9025</v>
      </c>
      <c r="BH96" s="209">
        <v>9025</v>
      </c>
      <c r="BI96" s="209">
        <v>8525</v>
      </c>
      <c r="BJ96" s="209">
        <v>9025</v>
      </c>
      <c r="BK96" s="209">
        <v>9025</v>
      </c>
      <c r="BL96" s="209">
        <v>8525</v>
      </c>
      <c r="BM96" s="209">
        <v>9025</v>
      </c>
      <c r="BN96" s="209">
        <v>9025</v>
      </c>
      <c r="BO96" s="209">
        <v>8525</v>
      </c>
      <c r="BP96" s="209">
        <v>9025</v>
      </c>
      <c r="BQ96" s="209">
        <v>9025</v>
      </c>
      <c r="BR96" s="213">
        <v>-100</v>
      </c>
      <c r="BS96" s="213">
        <v>-100</v>
      </c>
      <c r="BT96" s="213">
        <v>-100</v>
      </c>
      <c r="BU96" s="6">
        <f t="shared" si="16"/>
        <v>11216</v>
      </c>
      <c r="BV96" s="6">
        <f t="shared" si="17"/>
        <v>11716</v>
      </c>
      <c r="BW96" s="6">
        <f t="shared" si="18"/>
        <v>11716</v>
      </c>
      <c r="BY96" s="1"/>
      <c r="BZ96" s="1"/>
      <c r="CA96" s="1"/>
      <c r="CC96" s="1"/>
      <c r="CD96" s="1"/>
      <c r="CE96" s="1"/>
      <c r="CG96" s="1"/>
      <c r="CH96" s="1"/>
      <c r="CI96" s="1"/>
      <c r="CJ96" s="84"/>
      <c r="CK96" s="84"/>
      <c r="CL96" s="84"/>
    </row>
    <row r="97" spans="1:75" ht="14.5" x14ac:dyDescent="0.35">
      <c r="A97" s="3" t="s">
        <v>186</v>
      </c>
      <c r="B97" s="3" t="s">
        <v>85</v>
      </c>
      <c r="C97" s="53" t="s">
        <v>187</v>
      </c>
      <c r="D97" s="209">
        <v>7320</v>
      </c>
      <c r="E97" s="209">
        <v>7680</v>
      </c>
      <c r="F97" s="209">
        <v>7680</v>
      </c>
      <c r="G97" s="209">
        <v>7320</v>
      </c>
      <c r="H97" s="209">
        <v>7680</v>
      </c>
      <c r="I97" s="209">
        <v>7680</v>
      </c>
      <c r="J97" s="209">
        <v>7320</v>
      </c>
      <c r="K97" s="209">
        <v>7680</v>
      </c>
      <c r="L97" s="209">
        <v>7680</v>
      </c>
      <c r="M97" s="209">
        <v>7320</v>
      </c>
      <c r="N97" s="209">
        <v>7680</v>
      </c>
      <c r="O97" s="209">
        <v>7680</v>
      </c>
      <c r="P97" s="209">
        <v>7320</v>
      </c>
      <c r="Q97" s="209">
        <v>7680</v>
      </c>
      <c r="R97" s="209">
        <v>7680</v>
      </c>
      <c r="S97" s="209">
        <v>7320</v>
      </c>
      <c r="T97" s="209">
        <v>7680</v>
      </c>
      <c r="U97" s="209">
        <v>7680</v>
      </c>
      <c r="V97" s="209">
        <v>7320</v>
      </c>
      <c r="W97" s="209">
        <v>7680</v>
      </c>
      <c r="X97" s="209">
        <v>7680</v>
      </c>
      <c r="Y97" s="209">
        <v>7320</v>
      </c>
      <c r="Z97" s="209">
        <v>7680</v>
      </c>
      <c r="AA97" s="209">
        <v>7680</v>
      </c>
      <c r="AB97" s="209">
        <v>7320</v>
      </c>
      <c r="AC97" s="209">
        <v>7680</v>
      </c>
      <c r="AD97" s="209">
        <v>7680</v>
      </c>
      <c r="AE97" s="209">
        <v>7320</v>
      </c>
      <c r="AF97" s="209">
        <v>7680</v>
      </c>
      <c r="AG97" s="209">
        <v>7680</v>
      </c>
      <c r="AH97" s="209">
        <v>7120</v>
      </c>
      <c r="AI97" s="209">
        <v>7480</v>
      </c>
      <c r="AJ97" s="209">
        <v>7480</v>
      </c>
      <c r="AK97" s="209">
        <v>7620</v>
      </c>
      <c r="AL97" s="209">
        <v>8080</v>
      </c>
      <c r="AM97" s="209">
        <v>8080</v>
      </c>
      <c r="AN97" s="213">
        <v>1300</v>
      </c>
      <c r="AO97" s="213">
        <v>1400</v>
      </c>
      <c r="AP97" s="213">
        <v>1400</v>
      </c>
      <c r="AQ97" s="209">
        <v>7960</v>
      </c>
      <c r="AR97" s="209">
        <v>8645</v>
      </c>
      <c r="AS97" s="209">
        <v>8645</v>
      </c>
      <c r="AT97" s="209">
        <v>7445</v>
      </c>
      <c r="AU97" s="209">
        <v>7880</v>
      </c>
      <c r="AV97" s="209">
        <v>7880</v>
      </c>
      <c r="AW97" s="209">
        <v>8320</v>
      </c>
      <c r="AX97" s="209">
        <v>8680</v>
      </c>
      <c r="AY97" s="209">
        <v>8680</v>
      </c>
      <c r="AZ97" s="209">
        <v>7920</v>
      </c>
      <c r="BA97" s="209">
        <v>8505</v>
      </c>
      <c r="BB97" s="209">
        <v>8505</v>
      </c>
      <c r="BC97" s="209">
        <v>8070</v>
      </c>
      <c r="BD97" s="209">
        <v>8555</v>
      </c>
      <c r="BE97" s="209">
        <v>8555</v>
      </c>
      <c r="BF97" s="209">
        <v>8145</v>
      </c>
      <c r="BG97" s="209">
        <v>8880</v>
      </c>
      <c r="BH97" s="209">
        <v>8880</v>
      </c>
      <c r="BI97" s="209">
        <v>8520</v>
      </c>
      <c r="BJ97" s="209">
        <v>8880</v>
      </c>
      <c r="BK97" s="209">
        <v>8880</v>
      </c>
      <c r="BL97" s="209">
        <v>8520</v>
      </c>
      <c r="BM97" s="209">
        <v>8880</v>
      </c>
      <c r="BN97" s="209">
        <v>8880</v>
      </c>
      <c r="BO97" s="209">
        <v>8520</v>
      </c>
      <c r="BP97" s="209">
        <v>8880</v>
      </c>
      <c r="BQ97" s="209">
        <v>8880</v>
      </c>
      <c r="BR97" s="213">
        <v>-100</v>
      </c>
      <c r="BS97" s="213">
        <v>-100</v>
      </c>
      <c r="BT97" s="213">
        <v>-100</v>
      </c>
      <c r="BU97" s="6">
        <f t="shared" si="16"/>
        <v>11211</v>
      </c>
      <c r="BV97" s="6">
        <f t="shared" si="17"/>
        <v>11571</v>
      </c>
      <c r="BW97" s="6">
        <f t="shared" si="18"/>
        <v>11571</v>
      </c>
    </row>
    <row r="98" spans="1:75" ht="14.5" x14ac:dyDescent="0.35">
      <c r="A98" s="57" t="s">
        <v>188</v>
      </c>
      <c r="B98" s="57" t="s">
        <v>85</v>
      </c>
      <c r="C98" s="70" t="s">
        <v>189</v>
      </c>
      <c r="D98" s="220">
        <v>7300</v>
      </c>
      <c r="E98" s="220">
        <v>7700</v>
      </c>
      <c r="F98" s="220">
        <v>7700</v>
      </c>
      <c r="G98" s="220">
        <v>7300</v>
      </c>
      <c r="H98" s="220">
        <v>7700</v>
      </c>
      <c r="I98" s="220">
        <v>7700</v>
      </c>
      <c r="J98" s="220">
        <v>7300</v>
      </c>
      <c r="K98" s="220">
        <v>7700</v>
      </c>
      <c r="L98" s="220">
        <v>7700</v>
      </c>
      <c r="M98" s="220">
        <v>7300</v>
      </c>
      <c r="N98" s="220">
        <v>7700</v>
      </c>
      <c r="O98" s="220">
        <v>7700</v>
      </c>
      <c r="P98" s="220">
        <v>7300</v>
      </c>
      <c r="Q98" s="220">
        <v>7700</v>
      </c>
      <c r="R98" s="220">
        <v>7700</v>
      </c>
      <c r="S98" s="220">
        <v>7300</v>
      </c>
      <c r="T98" s="220">
        <v>7700</v>
      </c>
      <c r="U98" s="220">
        <v>7700</v>
      </c>
      <c r="V98" s="220">
        <v>7300</v>
      </c>
      <c r="W98" s="220">
        <v>7700</v>
      </c>
      <c r="X98" s="220">
        <v>7700</v>
      </c>
      <c r="Y98" s="220">
        <v>7300</v>
      </c>
      <c r="Z98" s="220">
        <v>7700</v>
      </c>
      <c r="AA98" s="220">
        <v>7700</v>
      </c>
      <c r="AB98" s="220">
        <v>7300</v>
      </c>
      <c r="AC98" s="220">
        <v>7700</v>
      </c>
      <c r="AD98" s="220">
        <v>7700</v>
      </c>
      <c r="AE98" s="220">
        <v>7300</v>
      </c>
      <c r="AF98" s="220">
        <v>7700</v>
      </c>
      <c r="AG98" s="220">
        <v>7700</v>
      </c>
      <c r="AH98" s="220">
        <v>7100</v>
      </c>
      <c r="AI98" s="220">
        <v>7500</v>
      </c>
      <c r="AJ98" s="220">
        <v>7500</v>
      </c>
      <c r="AK98" s="220">
        <v>7600</v>
      </c>
      <c r="AL98" s="220">
        <v>8100</v>
      </c>
      <c r="AM98" s="220">
        <v>8100</v>
      </c>
      <c r="AN98" s="221">
        <v>1300</v>
      </c>
      <c r="AO98" s="221">
        <v>1400</v>
      </c>
      <c r="AP98" s="221">
        <v>1400</v>
      </c>
      <c r="AQ98" s="220">
        <v>7940</v>
      </c>
      <c r="AR98" s="220">
        <v>8665</v>
      </c>
      <c r="AS98" s="220">
        <v>8665</v>
      </c>
      <c r="AT98" s="220">
        <v>7425</v>
      </c>
      <c r="AU98" s="220">
        <v>7900</v>
      </c>
      <c r="AV98" s="220">
        <v>7900</v>
      </c>
      <c r="AW98" s="220">
        <v>8300</v>
      </c>
      <c r="AX98" s="220">
        <v>8700</v>
      </c>
      <c r="AY98" s="220">
        <v>8700</v>
      </c>
      <c r="AZ98" s="220">
        <v>7900</v>
      </c>
      <c r="BA98" s="220">
        <v>8525</v>
      </c>
      <c r="BB98" s="220">
        <v>8525</v>
      </c>
      <c r="BC98" s="220">
        <v>8050</v>
      </c>
      <c r="BD98" s="220">
        <v>8575</v>
      </c>
      <c r="BE98" s="220">
        <v>8575</v>
      </c>
      <c r="BF98" s="220">
        <v>8125</v>
      </c>
      <c r="BG98" s="220">
        <v>8900</v>
      </c>
      <c r="BH98" s="220">
        <v>8900</v>
      </c>
      <c r="BI98" s="220">
        <v>8500</v>
      </c>
      <c r="BJ98" s="220">
        <v>8900</v>
      </c>
      <c r="BK98" s="220">
        <v>8900</v>
      </c>
      <c r="BL98" s="220">
        <v>8500</v>
      </c>
      <c r="BM98" s="220">
        <v>8900</v>
      </c>
      <c r="BN98" s="220">
        <v>8900</v>
      </c>
      <c r="BO98" s="220">
        <v>8500</v>
      </c>
      <c r="BP98" s="220">
        <v>8900</v>
      </c>
      <c r="BQ98" s="220">
        <v>8900</v>
      </c>
      <c r="BR98" s="213">
        <v>-100</v>
      </c>
      <c r="BS98" s="213">
        <v>-100</v>
      </c>
      <c r="BT98" s="213">
        <v>-100</v>
      </c>
      <c r="BU98" s="6">
        <f t="shared" si="16"/>
        <v>11191</v>
      </c>
      <c r="BV98" s="6">
        <f t="shared" si="17"/>
        <v>11591</v>
      </c>
      <c r="BW98" s="6">
        <f t="shared" si="18"/>
        <v>11591</v>
      </c>
    </row>
    <row r="99" spans="1:75" ht="14.5" x14ac:dyDescent="0.35">
      <c r="A99" s="67" t="s">
        <v>425</v>
      </c>
      <c r="B99" s="67"/>
      <c r="C99" s="67" t="s">
        <v>426</v>
      </c>
      <c r="D99" s="222">
        <v>7500</v>
      </c>
      <c r="E99" s="222">
        <v>8050</v>
      </c>
      <c r="F99" s="222">
        <v>8050</v>
      </c>
      <c r="G99" s="222">
        <v>7500</v>
      </c>
      <c r="H99" s="222">
        <v>8050</v>
      </c>
      <c r="I99" s="222">
        <v>8050</v>
      </c>
      <c r="J99" s="222">
        <v>7500</v>
      </c>
      <c r="K99" s="222">
        <v>8050</v>
      </c>
      <c r="L99" s="222">
        <v>8050</v>
      </c>
      <c r="M99" s="222">
        <v>7500</v>
      </c>
      <c r="N99" s="222">
        <v>8050</v>
      </c>
      <c r="O99" s="222">
        <v>8050</v>
      </c>
      <c r="P99" s="222">
        <v>7500</v>
      </c>
      <c r="Q99" s="222">
        <v>8050</v>
      </c>
      <c r="R99" s="222">
        <v>8050</v>
      </c>
      <c r="S99" s="222">
        <v>7500</v>
      </c>
      <c r="T99" s="222">
        <v>8050</v>
      </c>
      <c r="U99" s="222">
        <v>8050</v>
      </c>
      <c r="V99" s="222">
        <v>7500</v>
      </c>
      <c r="W99" s="222">
        <v>8050</v>
      </c>
      <c r="X99" s="222">
        <v>8050</v>
      </c>
      <c r="Y99" s="222">
        <v>7500</v>
      </c>
      <c r="Z99" s="222">
        <v>8050</v>
      </c>
      <c r="AA99" s="222">
        <v>8050</v>
      </c>
      <c r="AB99" s="222">
        <v>7500</v>
      </c>
      <c r="AC99" s="222">
        <v>8050</v>
      </c>
      <c r="AD99" s="222">
        <v>8050</v>
      </c>
      <c r="AE99" s="222">
        <v>7500</v>
      </c>
      <c r="AF99" s="222">
        <v>8050</v>
      </c>
      <c r="AG99" s="222">
        <v>8050</v>
      </c>
      <c r="AH99" s="222">
        <v>7300</v>
      </c>
      <c r="AI99" s="222">
        <v>7850</v>
      </c>
      <c r="AJ99" s="222">
        <v>7850</v>
      </c>
      <c r="AK99" s="222">
        <v>7800</v>
      </c>
      <c r="AL99" s="222">
        <v>8450</v>
      </c>
      <c r="AM99" s="222">
        <v>8450</v>
      </c>
      <c r="AN99" s="223">
        <v>1300</v>
      </c>
      <c r="AO99" s="223">
        <v>1400</v>
      </c>
      <c r="AP99" s="223">
        <v>1400</v>
      </c>
      <c r="AQ99" s="222">
        <v>8140</v>
      </c>
      <c r="AR99" s="222">
        <v>9015</v>
      </c>
      <c r="AS99" s="222">
        <v>9015</v>
      </c>
      <c r="AT99" s="222">
        <v>7625</v>
      </c>
      <c r="AU99" s="222">
        <v>8250</v>
      </c>
      <c r="AV99" s="222">
        <v>8250</v>
      </c>
      <c r="AW99" s="222">
        <v>8500</v>
      </c>
      <c r="AX99" s="222">
        <v>9050</v>
      </c>
      <c r="AY99" s="222">
        <v>9050</v>
      </c>
      <c r="AZ99" s="222">
        <v>8100</v>
      </c>
      <c r="BA99" s="222">
        <v>8875</v>
      </c>
      <c r="BB99" s="222">
        <v>8875</v>
      </c>
      <c r="BC99" s="222">
        <v>8250</v>
      </c>
      <c r="BD99" s="222">
        <v>8925</v>
      </c>
      <c r="BE99" s="222">
        <v>8925</v>
      </c>
      <c r="BF99" s="222">
        <v>8325</v>
      </c>
      <c r="BG99" s="222">
        <v>9250</v>
      </c>
      <c r="BH99" s="222">
        <v>9250</v>
      </c>
      <c r="BI99" s="222">
        <v>8700</v>
      </c>
      <c r="BJ99" s="222">
        <v>9250</v>
      </c>
      <c r="BK99" s="222">
        <v>9250</v>
      </c>
      <c r="BL99" s="222">
        <v>8700</v>
      </c>
      <c r="BM99" s="222">
        <v>9250</v>
      </c>
      <c r="BN99" s="222">
        <v>9250</v>
      </c>
      <c r="BO99" s="222">
        <v>8700</v>
      </c>
      <c r="BP99" s="222">
        <v>9250</v>
      </c>
      <c r="BQ99" s="222">
        <v>9250</v>
      </c>
      <c r="BR99" s="213">
        <v>-100</v>
      </c>
      <c r="BS99" s="213">
        <v>-100</v>
      </c>
      <c r="BT99" s="213">
        <v>-100</v>
      </c>
      <c r="BU99" s="6">
        <f t="shared" si="16"/>
        <v>11391</v>
      </c>
      <c r="BV99" s="6">
        <f t="shared" si="17"/>
        <v>11941</v>
      </c>
      <c r="BW99" s="6">
        <f t="shared" si="18"/>
        <v>11941</v>
      </c>
    </row>
    <row r="100" spans="1:75" ht="14.5" x14ac:dyDescent="0.35">
      <c r="A100" s="85" t="s">
        <v>436</v>
      </c>
      <c r="B100" s="85" t="s">
        <v>437</v>
      </c>
      <c r="C100" s="85" t="s">
        <v>438</v>
      </c>
      <c r="D100" s="220">
        <v>7300</v>
      </c>
      <c r="E100" s="220">
        <v>7700</v>
      </c>
      <c r="F100" s="220">
        <v>7700</v>
      </c>
      <c r="G100" s="220">
        <v>7300</v>
      </c>
      <c r="H100" s="220">
        <v>7700</v>
      </c>
      <c r="I100" s="220">
        <v>7700</v>
      </c>
      <c r="J100" s="220">
        <v>7300</v>
      </c>
      <c r="K100" s="220">
        <v>7700</v>
      </c>
      <c r="L100" s="220">
        <v>7700</v>
      </c>
      <c r="M100" s="220">
        <v>7300</v>
      </c>
      <c r="N100" s="220">
        <v>7700</v>
      </c>
      <c r="O100" s="220">
        <v>7700</v>
      </c>
      <c r="P100" s="220">
        <v>7300</v>
      </c>
      <c r="Q100" s="220">
        <v>7700</v>
      </c>
      <c r="R100" s="220">
        <v>7700</v>
      </c>
      <c r="S100" s="220">
        <v>7300</v>
      </c>
      <c r="T100" s="220">
        <v>7700</v>
      </c>
      <c r="U100" s="220">
        <v>7700</v>
      </c>
      <c r="V100" s="220">
        <v>7300</v>
      </c>
      <c r="W100" s="220">
        <v>7700</v>
      </c>
      <c r="X100" s="220">
        <v>7700</v>
      </c>
      <c r="Y100" s="220">
        <v>7300</v>
      </c>
      <c r="Z100" s="220">
        <v>7700</v>
      </c>
      <c r="AA100" s="220">
        <v>7700</v>
      </c>
      <c r="AB100" s="220">
        <v>7300</v>
      </c>
      <c r="AC100" s="220">
        <v>7700</v>
      </c>
      <c r="AD100" s="220">
        <v>7700</v>
      </c>
      <c r="AE100" s="220">
        <v>7300</v>
      </c>
      <c r="AF100" s="220">
        <v>7700</v>
      </c>
      <c r="AG100" s="220">
        <v>7700</v>
      </c>
      <c r="AH100" s="220">
        <v>7100</v>
      </c>
      <c r="AI100" s="220">
        <v>7500</v>
      </c>
      <c r="AJ100" s="220">
        <v>7500</v>
      </c>
      <c r="AK100" s="220">
        <v>7600</v>
      </c>
      <c r="AL100" s="220">
        <v>8100</v>
      </c>
      <c r="AM100" s="220">
        <v>8100</v>
      </c>
      <c r="AN100" s="221">
        <v>1300</v>
      </c>
      <c r="AO100" s="221">
        <v>1400</v>
      </c>
      <c r="AP100" s="221">
        <v>1400</v>
      </c>
      <c r="AQ100" s="220">
        <v>7940</v>
      </c>
      <c r="AR100" s="220">
        <v>8665</v>
      </c>
      <c r="AS100" s="220">
        <v>8665</v>
      </c>
      <c r="AT100" s="220">
        <v>7425</v>
      </c>
      <c r="AU100" s="220">
        <v>7900</v>
      </c>
      <c r="AV100" s="220">
        <v>7900</v>
      </c>
      <c r="AW100" s="220">
        <v>8300</v>
      </c>
      <c r="AX100" s="220">
        <v>8700</v>
      </c>
      <c r="AY100" s="220">
        <v>8700</v>
      </c>
      <c r="AZ100" s="220">
        <v>7900</v>
      </c>
      <c r="BA100" s="220">
        <v>8525</v>
      </c>
      <c r="BB100" s="220">
        <v>8525</v>
      </c>
      <c r="BC100" s="220">
        <v>8050</v>
      </c>
      <c r="BD100" s="220">
        <v>8575</v>
      </c>
      <c r="BE100" s="220">
        <v>8575</v>
      </c>
      <c r="BF100" s="220">
        <v>8125</v>
      </c>
      <c r="BG100" s="220">
        <v>8900</v>
      </c>
      <c r="BH100" s="220">
        <v>8900</v>
      </c>
      <c r="BI100" s="220">
        <v>8500</v>
      </c>
      <c r="BJ100" s="220">
        <v>8900</v>
      </c>
      <c r="BK100" s="220">
        <v>8900</v>
      </c>
      <c r="BL100" s="220">
        <v>8500</v>
      </c>
      <c r="BM100" s="220">
        <v>8900</v>
      </c>
      <c r="BN100" s="220">
        <v>8900</v>
      </c>
      <c r="BO100" s="220">
        <v>8500</v>
      </c>
      <c r="BP100" s="220">
        <v>8900</v>
      </c>
      <c r="BQ100" s="220">
        <v>8900</v>
      </c>
      <c r="BR100" s="213">
        <v>-100</v>
      </c>
      <c r="BS100" s="213">
        <v>-100</v>
      </c>
      <c r="BT100" s="213">
        <v>-100</v>
      </c>
      <c r="BU100" s="6">
        <f t="shared" si="16"/>
        <v>11191</v>
      </c>
      <c r="BV100" s="6">
        <f t="shared" si="17"/>
        <v>11591</v>
      </c>
      <c r="BW100" s="6">
        <f t="shared" si="18"/>
        <v>11591</v>
      </c>
    </row>
    <row r="101" spans="1:75" ht="14.5" x14ac:dyDescent="0.35">
      <c r="A101" s="67" t="s">
        <v>80</v>
      </c>
      <c r="B101" s="67" t="s">
        <v>440</v>
      </c>
      <c r="C101" s="67" t="s">
        <v>81</v>
      </c>
      <c r="D101" s="209">
        <v>7395</v>
      </c>
      <c r="E101" s="209">
        <v>7705</v>
      </c>
      <c r="F101" s="209">
        <v>7705</v>
      </c>
      <c r="G101" s="209">
        <v>7395</v>
      </c>
      <c r="H101" s="209">
        <v>7705</v>
      </c>
      <c r="I101" s="209">
        <v>7705</v>
      </c>
      <c r="J101" s="209">
        <v>7395</v>
      </c>
      <c r="K101" s="209">
        <v>7705</v>
      </c>
      <c r="L101" s="209">
        <v>7705</v>
      </c>
      <c r="M101" s="209">
        <v>7395</v>
      </c>
      <c r="N101" s="209">
        <v>7705</v>
      </c>
      <c r="O101" s="209">
        <v>7705</v>
      </c>
      <c r="P101" s="209">
        <v>7395</v>
      </c>
      <c r="Q101" s="209">
        <v>7705</v>
      </c>
      <c r="R101" s="209">
        <v>7705</v>
      </c>
      <c r="S101" s="209">
        <v>7395</v>
      </c>
      <c r="T101" s="209">
        <v>7705</v>
      </c>
      <c r="U101" s="209">
        <v>7705</v>
      </c>
      <c r="V101" s="209">
        <v>7395</v>
      </c>
      <c r="W101" s="209">
        <v>7705</v>
      </c>
      <c r="X101" s="209">
        <v>7705</v>
      </c>
      <c r="Y101" s="209">
        <v>7395</v>
      </c>
      <c r="Z101" s="209">
        <v>7705</v>
      </c>
      <c r="AA101" s="209">
        <v>7705</v>
      </c>
      <c r="AB101" s="209">
        <v>7395</v>
      </c>
      <c r="AC101" s="209">
        <v>7705</v>
      </c>
      <c r="AD101" s="209">
        <v>7705</v>
      </c>
      <c r="AE101" s="209">
        <v>7395</v>
      </c>
      <c r="AF101" s="209">
        <v>7705</v>
      </c>
      <c r="AG101" s="209">
        <v>7705</v>
      </c>
      <c r="AH101" s="222">
        <v>7195</v>
      </c>
      <c r="AI101" s="222">
        <v>7505</v>
      </c>
      <c r="AJ101" s="222">
        <v>7505</v>
      </c>
      <c r="AK101" s="222">
        <v>7695</v>
      </c>
      <c r="AL101" s="212">
        <v>8105</v>
      </c>
      <c r="AM101" s="209">
        <v>8105</v>
      </c>
      <c r="AN101" s="213">
        <v>1300</v>
      </c>
      <c r="AO101" s="213">
        <v>1400</v>
      </c>
      <c r="AP101" s="213">
        <v>1400</v>
      </c>
      <c r="AQ101" s="209">
        <v>8035</v>
      </c>
      <c r="AR101" s="209">
        <v>8670</v>
      </c>
      <c r="AS101" s="209">
        <v>8670</v>
      </c>
      <c r="AT101" s="209">
        <v>7520</v>
      </c>
      <c r="AU101" s="209">
        <v>7905</v>
      </c>
      <c r="AV101" s="209">
        <v>7905</v>
      </c>
      <c r="AW101" s="209">
        <v>8395</v>
      </c>
      <c r="AX101" s="209">
        <v>8705</v>
      </c>
      <c r="AY101" s="209">
        <v>8705</v>
      </c>
      <c r="AZ101" s="209">
        <v>7995</v>
      </c>
      <c r="BA101" s="209">
        <v>8530</v>
      </c>
      <c r="BB101" s="209">
        <v>8530</v>
      </c>
      <c r="BC101" s="209">
        <v>8145</v>
      </c>
      <c r="BD101" s="209">
        <v>8580</v>
      </c>
      <c r="BE101" s="209">
        <v>8580</v>
      </c>
      <c r="BF101" s="209">
        <v>8220</v>
      </c>
      <c r="BG101" s="209">
        <v>8905</v>
      </c>
      <c r="BH101" s="209">
        <v>8905</v>
      </c>
      <c r="BI101" s="209">
        <v>8595</v>
      </c>
      <c r="BJ101" s="209">
        <v>8905</v>
      </c>
      <c r="BK101" s="209">
        <v>8905</v>
      </c>
      <c r="BL101" s="209">
        <v>8595</v>
      </c>
      <c r="BM101" s="209">
        <v>8905</v>
      </c>
      <c r="BN101" s="209">
        <v>8905</v>
      </c>
      <c r="BO101" s="209">
        <v>8595</v>
      </c>
      <c r="BP101" s="209">
        <v>8905</v>
      </c>
      <c r="BQ101" s="209">
        <v>8905</v>
      </c>
      <c r="BR101" s="213">
        <v>-100</v>
      </c>
      <c r="BS101" s="213">
        <v>-100</v>
      </c>
      <c r="BT101" s="213">
        <v>-100</v>
      </c>
      <c r="BU101" s="6">
        <f t="shared" si="16"/>
        <v>11286</v>
      </c>
      <c r="BV101" s="6">
        <f t="shared" si="17"/>
        <v>11596</v>
      </c>
      <c r="BW101" s="6">
        <f t="shared" si="18"/>
        <v>11596</v>
      </c>
    </row>
    <row r="102" spans="1:75" ht="14.5" x14ac:dyDescent="0.35">
      <c r="A102" s="67" t="s">
        <v>441</v>
      </c>
      <c r="B102" s="67" t="s">
        <v>440</v>
      </c>
      <c r="C102" s="67" t="s">
        <v>445</v>
      </c>
      <c r="D102" s="209">
        <v>7550</v>
      </c>
      <c r="E102" s="209">
        <v>7835</v>
      </c>
      <c r="F102" s="209">
        <v>7835</v>
      </c>
      <c r="G102" s="209">
        <v>7550</v>
      </c>
      <c r="H102" s="209">
        <v>7835</v>
      </c>
      <c r="I102" s="209">
        <v>7835</v>
      </c>
      <c r="J102" s="209">
        <v>7550</v>
      </c>
      <c r="K102" s="209">
        <v>7835</v>
      </c>
      <c r="L102" s="209">
        <v>7835</v>
      </c>
      <c r="M102" s="209">
        <v>7550</v>
      </c>
      <c r="N102" s="209">
        <v>7835</v>
      </c>
      <c r="O102" s="209">
        <v>7835</v>
      </c>
      <c r="P102" s="209">
        <v>7550</v>
      </c>
      <c r="Q102" s="209">
        <v>7835</v>
      </c>
      <c r="R102" s="209">
        <v>7835</v>
      </c>
      <c r="S102" s="209">
        <v>7550</v>
      </c>
      <c r="T102" s="209">
        <v>7835</v>
      </c>
      <c r="U102" s="209">
        <v>7835</v>
      </c>
      <c r="V102" s="209">
        <v>7550</v>
      </c>
      <c r="W102" s="209">
        <v>7835</v>
      </c>
      <c r="X102" s="209">
        <v>7835</v>
      </c>
      <c r="Y102" s="209">
        <v>7550</v>
      </c>
      <c r="Z102" s="209">
        <v>7835</v>
      </c>
      <c r="AA102" s="209">
        <v>7835</v>
      </c>
      <c r="AB102" s="209">
        <v>7550</v>
      </c>
      <c r="AC102" s="209">
        <v>7835</v>
      </c>
      <c r="AD102" s="209">
        <v>7835</v>
      </c>
      <c r="AE102" s="209">
        <v>7550</v>
      </c>
      <c r="AF102" s="209">
        <v>7835</v>
      </c>
      <c r="AG102" s="209">
        <v>7835</v>
      </c>
      <c r="AH102" s="222">
        <v>7350</v>
      </c>
      <c r="AI102" s="222">
        <v>7635</v>
      </c>
      <c r="AJ102" s="222">
        <v>7635</v>
      </c>
      <c r="AK102" s="222">
        <v>7850</v>
      </c>
      <c r="AL102" s="212">
        <v>8235</v>
      </c>
      <c r="AM102" s="209">
        <v>8235</v>
      </c>
      <c r="AN102" s="213">
        <v>1300</v>
      </c>
      <c r="AO102" s="213">
        <v>1400</v>
      </c>
      <c r="AP102" s="213">
        <v>1400</v>
      </c>
      <c r="AQ102" s="209">
        <v>8190</v>
      </c>
      <c r="AR102" s="209">
        <v>8800</v>
      </c>
      <c r="AS102" s="209">
        <v>8800</v>
      </c>
      <c r="AT102" s="209">
        <v>7675</v>
      </c>
      <c r="AU102" s="209">
        <v>8035</v>
      </c>
      <c r="AV102" s="209">
        <v>8035</v>
      </c>
      <c r="AW102" s="209">
        <v>8550</v>
      </c>
      <c r="AX102" s="209">
        <v>8835</v>
      </c>
      <c r="AY102" s="209">
        <v>8835</v>
      </c>
      <c r="AZ102" s="209">
        <v>8150</v>
      </c>
      <c r="BA102" s="209">
        <v>8660</v>
      </c>
      <c r="BB102" s="209">
        <v>8660</v>
      </c>
      <c r="BC102" s="209">
        <v>8300</v>
      </c>
      <c r="BD102" s="209">
        <v>8710</v>
      </c>
      <c r="BE102" s="209">
        <v>8710</v>
      </c>
      <c r="BF102" s="209">
        <v>8375</v>
      </c>
      <c r="BG102" s="209">
        <v>9035</v>
      </c>
      <c r="BH102" s="209">
        <v>9035</v>
      </c>
      <c r="BI102" s="209">
        <v>8750</v>
      </c>
      <c r="BJ102" s="209">
        <v>9035</v>
      </c>
      <c r="BK102" s="209">
        <v>9035</v>
      </c>
      <c r="BL102" s="209">
        <v>8750</v>
      </c>
      <c r="BM102" s="209">
        <v>9035</v>
      </c>
      <c r="BN102" s="209">
        <v>9035</v>
      </c>
      <c r="BO102" s="209">
        <v>8750</v>
      </c>
      <c r="BP102" s="209">
        <v>9035</v>
      </c>
      <c r="BQ102" s="209">
        <v>9035</v>
      </c>
      <c r="BR102" s="213">
        <v>-100</v>
      </c>
      <c r="BS102" s="213">
        <v>-100</v>
      </c>
      <c r="BT102" s="213">
        <v>-100</v>
      </c>
      <c r="BU102" s="6">
        <f t="shared" si="16"/>
        <v>11441</v>
      </c>
      <c r="BV102" s="6">
        <f t="shared" si="17"/>
        <v>11726</v>
      </c>
      <c r="BW102" s="6">
        <f t="shared" si="18"/>
        <v>11726</v>
      </c>
    </row>
    <row r="103" spans="1:75" ht="14.5" x14ac:dyDescent="0.35">
      <c r="A103" s="67" t="s">
        <v>442</v>
      </c>
      <c r="B103" s="67" t="s">
        <v>440</v>
      </c>
      <c r="C103" s="67" t="s">
        <v>446</v>
      </c>
      <c r="D103" s="209">
        <v>7530</v>
      </c>
      <c r="E103" s="209">
        <v>7860</v>
      </c>
      <c r="F103" s="209">
        <v>7860</v>
      </c>
      <c r="G103" s="209">
        <v>7530</v>
      </c>
      <c r="H103" s="209">
        <v>7860</v>
      </c>
      <c r="I103" s="209">
        <v>7860</v>
      </c>
      <c r="J103" s="209">
        <v>7530</v>
      </c>
      <c r="K103" s="209">
        <v>7860</v>
      </c>
      <c r="L103" s="209">
        <v>7860</v>
      </c>
      <c r="M103" s="209">
        <v>7530</v>
      </c>
      <c r="N103" s="209">
        <v>7860</v>
      </c>
      <c r="O103" s="209">
        <v>7860</v>
      </c>
      <c r="P103" s="209">
        <v>7530</v>
      </c>
      <c r="Q103" s="209">
        <v>7860</v>
      </c>
      <c r="R103" s="209">
        <v>7860</v>
      </c>
      <c r="S103" s="209">
        <v>7530</v>
      </c>
      <c r="T103" s="209">
        <v>7860</v>
      </c>
      <c r="U103" s="209">
        <v>7860</v>
      </c>
      <c r="V103" s="209">
        <v>7530</v>
      </c>
      <c r="W103" s="209">
        <v>7860</v>
      </c>
      <c r="X103" s="209">
        <v>7860</v>
      </c>
      <c r="Y103" s="209">
        <v>7530</v>
      </c>
      <c r="Z103" s="209">
        <v>7860</v>
      </c>
      <c r="AA103" s="209">
        <v>7860</v>
      </c>
      <c r="AB103" s="209">
        <v>7530</v>
      </c>
      <c r="AC103" s="209">
        <v>7860</v>
      </c>
      <c r="AD103" s="209">
        <v>7860</v>
      </c>
      <c r="AE103" s="209">
        <v>7530</v>
      </c>
      <c r="AF103" s="209">
        <v>7860</v>
      </c>
      <c r="AG103" s="209">
        <v>7860</v>
      </c>
      <c r="AH103" s="222">
        <v>7330</v>
      </c>
      <c r="AI103" s="222">
        <v>7660</v>
      </c>
      <c r="AJ103" s="222">
        <v>7660</v>
      </c>
      <c r="AK103" s="222">
        <v>7830</v>
      </c>
      <c r="AL103" s="212">
        <v>8260</v>
      </c>
      <c r="AM103" s="209">
        <v>8260</v>
      </c>
      <c r="AN103" s="213">
        <v>1300</v>
      </c>
      <c r="AO103" s="213">
        <v>1400</v>
      </c>
      <c r="AP103" s="213">
        <v>1400</v>
      </c>
      <c r="AQ103" s="209">
        <v>8170</v>
      </c>
      <c r="AR103" s="209">
        <v>8825</v>
      </c>
      <c r="AS103" s="209">
        <v>8825</v>
      </c>
      <c r="AT103" s="209">
        <v>7655</v>
      </c>
      <c r="AU103" s="209">
        <v>8060</v>
      </c>
      <c r="AV103" s="209">
        <v>8060</v>
      </c>
      <c r="AW103" s="209">
        <v>8530</v>
      </c>
      <c r="AX103" s="209">
        <v>8860</v>
      </c>
      <c r="AY103" s="209">
        <v>8860</v>
      </c>
      <c r="AZ103" s="209">
        <v>8130</v>
      </c>
      <c r="BA103" s="209">
        <v>8685</v>
      </c>
      <c r="BB103" s="209">
        <v>8685</v>
      </c>
      <c r="BC103" s="209">
        <v>8280</v>
      </c>
      <c r="BD103" s="209">
        <v>8735</v>
      </c>
      <c r="BE103" s="209">
        <v>8735</v>
      </c>
      <c r="BF103" s="209">
        <v>8355</v>
      </c>
      <c r="BG103" s="209">
        <v>9060</v>
      </c>
      <c r="BH103" s="209">
        <v>9060</v>
      </c>
      <c r="BI103" s="209">
        <v>8730</v>
      </c>
      <c r="BJ103" s="209">
        <v>9060</v>
      </c>
      <c r="BK103" s="209">
        <v>9060</v>
      </c>
      <c r="BL103" s="209">
        <v>8730</v>
      </c>
      <c r="BM103" s="209">
        <v>9060</v>
      </c>
      <c r="BN103" s="209">
        <v>9060</v>
      </c>
      <c r="BO103" s="209">
        <v>8730</v>
      </c>
      <c r="BP103" s="209">
        <v>9060</v>
      </c>
      <c r="BQ103" s="209">
        <v>9060</v>
      </c>
      <c r="BR103" s="213">
        <v>-100</v>
      </c>
      <c r="BS103" s="213">
        <v>-100</v>
      </c>
      <c r="BT103" s="213">
        <v>-100</v>
      </c>
      <c r="BU103" s="6">
        <f t="shared" si="16"/>
        <v>11421</v>
      </c>
      <c r="BV103" s="6">
        <f t="shared" si="17"/>
        <v>11751</v>
      </c>
      <c r="BW103" s="6">
        <f t="shared" si="18"/>
        <v>11751</v>
      </c>
    </row>
    <row r="104" spans="1:75" ht="14.5" x14ac:dyDescent="0.35">
      <c r="A104" s="85" t="s">
        <v>443</v>
      </c>
      <c r="B104" s="85" t="s">
        <v>440</v>
      </c>
      <c r="C104" s="85" t="s">
        <v>447</v>
      </c>
      <c r="D104" s="220">
        <v>7565</v>
      </c>
      <c r="E104" s="209">
        <v>7850</v>
      </c>
      <c r="F104" s="209">
        <v>7850</v>
      </c>
      <c r="G104" s="220">
        <v>7565</v>
      </c>
      <c r="H104" s="209">
        <v>7850</v>
      </c>
      <c r="I104" s="209">
        <v>7850</v>
      </c>
      <c r="J104" s="220">
        <v>7565</v>
      </c>
      <c r="K104" s="209">
        <v>7850</v>
      </c>
      <c r="L104" s="209">
        <v>7850</v>
      </c>
      <c r="M104" s="220">
        <v>7565</v>
      </c>
      <c r="N104" s="209">
        <v>7850</v>
      </c>
      <c r="O104" s="209">
        <v>7850</v>
      </c>
      <c r="P104" s="220">
        <v>7565</v>
      </c>
      <c r="Q104" s="209">
        <v>7850</v>
      </c>
      <c r="R104" s="209">
        <v>7850</v>
      </c>
      <c r="S104" s="220">
        <v>7565</v>
      </c>
      <c r="T104" s="209">
        <v>7850</v>
      </c>
      <c r="U104" s="209">
        <v>7850</v>
      </c>
      <c r="V104" s="220">
        <v>7565</v>
      </c>
      <c r="W104" s="209">
        <v>7850</v>
      </c>
      <c r="X104" s="209">
        <v>7850</v>
      </c>
      <c r="Y104" s="220">
        <v>7565</v>
      </c>
      <c r="Z104" s="209">
        <v>7850</v>
      </c>
      <c r="AA104" s="209">
        <v>7850</v>
      </c>
      <c r="AB104" s="220">
        <v>7565</v>
      </c>
      <c r="AC104" s="209">
        <v>7850</v>
      </c>
      <c r="AD104" s="209">
        <v>7850</v>
      </c>
      <c r="AE104" s="220">
        <v>7565</v>
      </c>
      <c r="AF104" s="209">
        <v>7850</v>
      </c>
      <c r="AG104" s="209">
        <v>7850</v>
      </c>
      <c r="AH104" s="222">
        <v>7365</v>
      </c>
      <c r="AI104" s="222">
        <v>7650</v>
      </c>
      <c r="AJ104" s="222">
        <v>7650</v>
      </c>
      <c r="AK104" s="222">
        <v>7865</v>
      </c>
      <c r="AL104" s="212">
        <v>8250</v>
      </c>
      <c r="AM104" s="209">
        <v>8250</v>
      </c>
      <c r="AN104" s="213">
        <v>1300</v>
      </c>
      <c r="AO104" s="213">
        <v>1400</v>
      </c>
      <c r="AP104" s="213">
        <v>1400</v>
      </c>
      <c r="AQ104" s="220">
        <v>8205</v>
      </c>
      <c r="AR104" s="209">
        <v>8815</v>
      </c>
      <c r="AS104" s="209">
        <v>8815</v>
      </c>
      <c r="AT104" s="220">
        <v>7690</v>
      </c>
      <c r="AU104" s="209">
        <v>8050</v>
      </c>
      <c r="AV104" s="209">
        <v>8050</v>
      </c>
      <c r="AW104" s="220">
        <v>8565</v>
      </c>
      <c r="AX104" s="209">
        <v>8850</v>
      </c>
      <c r="AY104" s="209">
        <v>8850</v>
      </c>
      <c r="AZ104" s="220">
        <v>8165</v>
      </c>
      <c r="BA104" s="209">
        <v>8675</v>
      </c>
      <c r="BB104" s="209">
        <v>8675</v>
      </c>
      <c r="BC104" s="220">
        <v>8315</v>
      </c>
      <c r="BD104" s="209">
        <v>8725</v>
      </c>
      <c r="BE104" s="209">
        <v>8725</v>
      </c>
      <c r="BF104" s="220">
        <v>8390</v>
      </c>
      <c r="BG104" s="209">
        <v>9050</v>
      </c>
      <c r="BH104" s="209">
        <v>9050</v>
      </c>
      <c r="BI104" s="220">
        <v>8765</v>
      </c>
      <c r="BJ104" s="209">
        <v>9050</v>
      </c>
      <c r="BK104" s="209">
        <v>9050</v>
      </c>
      <c r="BL104" s="220">
        <v>8765</v>
      </c>
      <c r="BM104" s="209">
        <v>9050</v>
      </c>
      <c r="BN104" s="209">
        <v>9050</v>
      </c>
      <c r="BO104" s="220">
        <v>8765</v>
      </c>
      <c r="BP104" s="209">
        <v>9050</v>
      </c>
      <c r="BQ104" s="209">
        <v>9050</v>
      </c>
      <c r="BR104" s="213">
        <v>-100</v>
      </c>
      <c r="BS104" s="213">
        <v>-100</v>
      </c>
      <c r="BT104" s="213">
        <v>-100</v>
      </c>
      <c r="BU104" s="6">
        <f t="shared" si="16"/>
        <v>11456</v>
      </c>
      <c r="BV104" s="6">
        <f t="shared" si="17"/>
        <v>11741</v>
      </c>
      <c r="BW104" s="6">
        <f t="shared" si="18"/>
        <v>11741</v>
      </c>
    </row>
    <row r="105" spans="1:75" ht="14.5" x14ac:dyDescent="0.35">
      <c r="A105" s="67" t="s">
        <v>444</v>
      </c>
      <c r="B105" s="67" t="s">
        <v>440</v>
      </c>
      <c r="C105" s="67" t="s">
        <v>448</v>
      </c>
      <c r="D105" s="222">
        <v>7455</v>
      </c>
      <c r="E105" s="224">
        <v>7755</v>
      </c>
      <c r="F105" s="220">
        <v>7755</v>
      </c>
      <c r="G105" s="222">
        <v>7455</v>
      </c>
      <c r="H105" s="224">
        <v>7755</v>
      </c>
      <c r="I105" s="220">
        <v>7755</v>
      </c>
      <c r="J105" s="222">
        <v>7455</v>
      </c>
      <c r="K105" s="224">
        <v>7755</v>
      </c>
      <c r="L105" s="220">
        <v>7755</v>
      </c>
      <c r="M105" s="222">
        <v>7455</v>
      </c>
      <c r="N105" s="224">
        <v>7755</v>
      </c>
      <c r="O105" s="220">
        <v>7755</v>
      </c>
      <c r="P105" s="222">
        <v>7455</v>
      </c>
      <c r="Q105" s="224">
        <v>7755</v>
      </c>
      <c r="R105" s="220">
        <v>7755</v>
      </c>
      <c r="S105" s="222">
        <v>7455</v>
      </c>
      <c r="T105" s="224">
        <v>7755</v>
      </c>
      <c r="U105" s="220">
        <v>7755</v>
      </c>
      <c r="V105" s="222">
        <v>7455</v>
      </c>
      <c r="W105" s="224">
        <v>7755</v>
      </c>
      <c r="X105" s="220">
        <v>7755</v>
      </c>
      <c r="Y105" s="222">
        <v>7455</v>
      </c>
      <c r="Z105" s="224">
        <v>7755</v>
      </c>
      <c r="AA105" s="220">
        <v>7755</v>
      </c>
      <c r="AB105" s="222">
        <v>7455</v>
      </c>
      <c r="AC105" s="224">
        <v>7755</v>
      </c>
      <c r="AD105" s="220">
        <v>7755</v>
      </c>
      <c r="AE105" s="222">
        <v>7455</v>
      </c>
      <c r="AF105" s="224">
        <v>7755</v>
      </c>
      <c r="AG105" s="220">
        <v>7755</v>
      </c>
      <c r="AH105" s="222">
        <v>7255</v>
      </c>
      <c r="AI105" s="222">
        <v>7555</v>
      </c>
      <c r="AJ105" s="222">
        <v>7555</v>
      </c>
      <c r="AK105" s="222">
        <v>7755</v>
      </c>
      <c r="AL105" s="224">
        <v>8155</v>
      </c>
      <c r="AM105" s="220">
        <v>8155</v>
      </c>
      <c r="AN105" s="221">
        <v>1300</v>
      </c>
      <c r="AO105" s="221">
        <v>1400</v>
      </c>
      <c r="AP105" s="221">
        <v>1400</v>
      </c>
      <c r="AQ105" s="222">
        <v>8095</v>
      </c>
      <c r="AR105" s="224">
        <v>8720</v>
      </c>
      <c r="AS105" s="220">
        <v>8720</v>
      </c>
      <c r="AT105" s="222">
        <v>7580</v>
      </c>
      <c r="AU105" s="224">
        <v>7955</v>
      </c>
      <c r="AV105" s="220">
        <v>7955</v>
      </c>
      <c r="AW105" s="222">
        <v>8455</v>
      </c>
      <c r="AX105" s="224">
        <v>8755</v>
      </c>
      <c r="AY105" s="220">
        <v>8755</v>
      </c>
      <c r="AZ105" s="222">
        <v>8055</v>
      </c>
      <c r="BA105" s="224">
        <v>8580</v>
      </c>
      <c r="BB105" s="220">
        <v>8580</v>
      </c>
      <c r="BC105" s="222">
        <v>8205</v>
      </c>
      <c r="BD105" s="224">
        <v>8630</v>
      </c>
      <c r="BE105" s="220">
        <v>8630</v>
      </c>
      <c r="BF105" s="222">
        <v>8280</v>
      </c>
      <c r="BG105" s="224">
        <v>8955</v>
      </c>
      <c r="BH105" s="220">
        <v>8955</v>
      </c>
      <c r="BI105" s="222">
        <v>8655</v>
      </c>
      <c r="BJ105" s="224">
        <v>8955</v>
      </c>
      <c r="BK105" s="220">
        <v>8955</v>
      </c>
      <c r="BL105" s="222">
        <v>8655</v>
      </c>
      <c r="BM105" s="224">
        <v>8955</v>
      </c>
      <c r="BN105" s="220">
        <v>8955</v>
      </c>
      <c r="BO105" s="222">
        <v>8655</v>
      </c>
      <c r="BP105" s="224">
        <v>8955</v>
      </c>
      <c r="BQ105" s="220">
        <v>8955</v>
      </c>
      <c r="BR105" s="213">
        <v>-100</v>
      </c>
      <c r="BS105" s="213">
        <v>-100</v>
      </c>
      <c r="BT105" s="213">
        <v>-100</v>
      </c>
      <c r="BU105" s="6">
        <f t="shared" si="16"/>
        <v>11346</v>
      </c>
      <c r="BV105" s="6">
        <f t="shared" si="17"/>
        <v>11646</v>
      </c>
      <c r="BW105" s="6">
        <f t="shared" si="18"/>
        <v>11646</v>
      </c>
    </row>
    <row r="106" spans="1:75" ht="14.5" x14ac:dyDescent="0.35">
      <c r="A106" s="101" t="s">
        <v>460</v>
      </c>
      <c r="B106" s="101" t="s">
        <v>461</v>
      </c>
      <c r="C106" s="101" t="s">
        <v>462</v>
      </c>
      <c r="D106" s="222">
        <v>7660</v>
      </c>
      <c r="E106" s="212">
        <v>8100</v>
      </c>
      <c r="F106" s="212">
        <v>8100</v>
      </c>
      <c r="G106" s="222">
        <v>7660</v>
      </c>
      <c r="H106" s="212">
        <v>8100</v>
      </c>
      <c r="I106" s="212">
        <v>8100</v>
      </c>
      <c r="J106" s="222">
        <v>7660</v>
      </c>
      <c r="K106" s="212">
        <v>8100</v>
      </c>
      <c r="L106" s="212">
        <v>8100</v>
      </c>
      <c r="M106" s="222">
        <v>7660</v>
      </c>
      <c r="N106" s="212">
        <v>8100</v>
      </c>
      <c r="O106" s="212">
        <v>8100</v>
      </c>
      <c r="P106" s="222">
        <v>7660</v>
      </c>
      <c r="Q106" s="212">
        <v>8100</v>
      </c>
      <c r="R106" s="212">
        <v>8100</v>
      </c>
      <c r="S106" s="222">
        <v>7660</v>
      </c>
      <c r="T106" s="212">
        <v>8100</v>
      </c>
      <c r="U106" s="212">
        <v>8100</v>
      </c>
      <c r="V106" s="222">
        <v>7660</v>
      </c>
      <c r="W106" s="212">
        <v>8100</v>
      </c>
      <c r="X106" s="212">
        <v>8100</v>
      </c>
      <c r="Y106" s="222">
        <v>7660</v>
      </c>
      <c r="Z106" s="212">
        <v>8100</v>
      </c>
      <c r="AA106" s="212">
        <v>8100</v>
      </c>
      <c r="AB106" s="222">
        <v>7660</v>
      </c>
      <c r="AC106" s="212">
        <v>8100</v>
      </c>
      <c r="AD106" s="212">
        <v>8100</v>
      </c>
      <c r="AE106" s="222">
        <v>7660</v>
      </c>
      <c r="AF106" s="212">
        <v>8100</v>
      </c>
      <c r="AG106" s="212">
        <v>8100</v>
      </c>
      <c r="AH106" s="222">
        <v>7460</v>
      </c>
      <c r="AI106" s="222">
        <v>7900</v>
      </c>
      <c r="AJ106" s="222">
        <v>7900</v>
      </c>
      <c r="AK106" s="222">
        <v>7960</v>
      </c>
      <c r="AL106" s="212">
        <v>8500</v>
      </c>
      <c r="AM106" s="212">
        <v>8500</v>
      </c>
      <c r="AN106" s="213">
        <v>1300</v>
      </c>
      <c r="AO106" s="213">
        <v>1400</v>
      </c>
      <c r="AP106" s="213">
        <v>1400</v>
      </c>
      <c r="AQ106" s="222">
        <v>8300</v>
      </c>
      <c r="AR106" s="212">
        <v>9065</v>
      </c>
      <c r="AS106" s="212">
        <v>9065</v>
      </c>
      <c r="AT106" s="222">
        <v>7785</v>
      </c>
      <c r="AU106" s="212">
        <v>8300</v>
      </c>
      <c r="AV106" s="212">
        <v>8300</v>
      </c>
      <c r="AW106" s="222">
        <v>8660</v>
      </c>
      <c r="AX106" s="212">
        <v>9100</v>
      </c>
      <c r="AY106" s="212">
        <v>9100</v>
      </c>
      <c r="AZ106" s="222">
        <v>8260</v>
      </c>
      <c r="BA106" s="212">
        <v>8925</v>
      </c>
      <c r="BB106" s="212">
        <v>8925</v>
      </c>
      <c r="BC106" s="222">
        <v>8410</v>
      </c>
      <c r="BD106" s="212">
        <v>8975</v>
      </c>
      <c r="BE106" s="212">
        <v>8975</v>
      </c>
      <c r="BF106" s="222">
        <v>8485</v>
      </c>
      <c r="BG106" s="212">
        <v>9300</v>
      </c>
      <c r="BH106" s="212">
        <v>9300</v>
      </c>
      <c r="BI106" s="222">
        <v>8860</v>
      </c>
      <c r="BJ106" s="212">
        <v>9300</v>
      </c>
      <c r="BK106" s="212">
        <v>9300</v>
      </c>
      <c r="BL106" s="222">
        <v>8860</v>
      </c>
      <c r="BM106" s="212">
        <v>9300</v>
      </c>
      <c r="BN106" s="212">
        <v>9300</v>
      </c>
      <c r="BO106" s="222">
        <v>8860</v>
      </c>
      <c r="BP106" s="212">
        <v>9300</v>
      </c>
      <c r="BQ106" s="212">
        <v>9300</v>
      </c>
      <c r="BR106" s="213">
        <v>-100</v>
      </c>
      <c r="BS106" s="213">
        <v>-100</v>
      </c>
      <c r="BT106" s="213">
        <v>-100</v>
      </c>
      <c r="BU106" s="6">
        <f t="shared" si="16"/>
        <v>11551</v>
      </c>
      <c r="BV106" s="6">
        <f t="shared" si="17"/>
        <v>11991</v>
      </c>
      <c r="BW106" s="6">
        <f t="shared" si="18"/>
        <v>11991</v>
      </c>
    </row>
    <row r="107" spans="1:75" ht="14.5" x14ac:dyDescent="0.35">
      <c r="A107" s="101" t="s">
        <v>460</v>
      </c>
      <c r="B107" s="101" t="s">
        <v>468</v>
      </c>
      <c r="C107" s="101" t="s">
        <v>462</v>
      </c>
      <c r="D107" s="215">
        <v>7700</v>
      </c>
      <c r="E107" s="215">
        <v>8150</v>
      </c>
      <c r="F107" s="215">
        <v>8150</v>
      </c>
      <c r="G107" s="215">
        <v>7700</v>
      </c>
      <c r="H107" s="215">
        <v>8150</v>
      </c>
      <c r="I107" s="215">
        <v>8150</v>
      </c>
      <c r="J107" s="215">
        <v>7700</v>
      </c>
      <c r="K107" s="215">
        <v>8150</v>
      </c>
      <c r="L107" s="215">
        <v>8150</v>
      </c>
      <c r="M107" s="215">
        <v>7700</v>
      </c>
      <c r="N107" s="215">
        <v>8150</v>
      </c>
      <c r="O107" s="215">
        <v>8150</v>
      </c>
      <c r="P107" s="215">
        <v>7700</v>
      </c>
      <c r="Q107" s="215">
        <v>8150</v>
      </c>
      <c r="R107" s="215">
        <v>8150</v>
      </c>
      <c r="S107" s="215">
        <v>7700</v>
      </c>
      <c r="T107" s="215">
        <v>8150</v>
      </c>
      <c r="U107" s="215">
        <v>8150</v>
      </c>
      <c r="V107" s="215">
        <v>7700</v>
      </c>
      <c r="W107" s="215">
        <v>8150</v>
      </c>
      <c r="X107" s="215">
        <v>8150</v>
      </c>
      <c r="Y107" s="215">
        <v>7700</v>
      </c>
      <c r="Z107" s="215">
        <v>8150</v>
      </c>
      <c r="AA107" s="215">
        <v>8150</v>
      </c>
      <c r="AB107" s="215">
        <v>7700</v>
      </c>
      <c r="AC107" s="215">
        <v>8150</v>
      </c>
      <c r="AD107" s="215">
        <v>8150</v>
      </c>
      <c r="AE107" s="215">
        <v>7700</v>
      </c>
      <c r="AF107" s="215">
        <v>8150</v>
      </c>
      <c r="AG107" s="215">
        <v>8150</v>
      </c>
      <c r="AH107" s="225">
        <v>7500</v>
      </c>
      <c r="AI107" s="225">
        <v>7950</v>
      </c>
      <c r="AJ107" s="225">
        <v>7950</v>
      </c>
      <c r="AK107" s="225">
        <v>8000</v>
      </c>
      <c r="AL107" s="215">
        <v>8550</v>
      </c>
      <c r="AM107" s="215">
        <v>8550</v>
      </c>
      <c r="AN107" s="213">
        <v>1300</v>
      </c>
      <c r="AO107" s="213">
        <v>1400</v>
      </c>
      <c r="AP107" s="213">
        <v>1400</v>
      </c>
      <c r="AQ107" s="215">
        <v>8340</v>
      </c>
      <c r="AR107" s="215">
        <v>9115</v>
      </c>
      <c r="AS107" s="215">
        <v>9115</v>
      </c>
      <c r="AT107" s="215">
        <v>7825</v>
      </c>
      <c r="AU107" s="215">
        <v>8350</v>
      </c>
      <c r="AV107" s="215">
        <v>8350</v>
      </c>
      <c r="AW107" s="215">
        <v>8700</v>
      </c>
      <c r="AX107" s="215">
        <v>9150</v>
      </c>
      <c r="AY107" s="215">
        <v>9150</v>
      </c>
      <c r="AZ107" s="215">
        <v>8300</v>
      </c>
      <c r="BA107" s="215">
        <v>8975</v>
      </c>
      <c r="BB107" s="215">
        <v>8975</v>
      </c>
      <c r="BC107" s="215">
        <v>8450</v>
      </c>
      <c r="BD107" s="215">
        <v>9025</v>
      </c>
      <c r="BE107" s="215">
        <v>9025</v>
      </c>
      <c r="BF107" s="215">
        <v>8525</v>
      </c>
      <c r="BG107" s="215">
        <v>9350</v>
      </c>
      <c r="BH107" s="215">
        <v>9350</v>
      </c>
      <c r="BI107" s="215">
        <v>8900</v>
      </c>
      <c r="BJ107" s="215">
        <v>9350</v>
      </c>
      <c r="BK107" s="215">
        <v>9350</v>
      </c>
      <c r="BL107" s="215">
        <v>8900</v>
      </c>
      <c r="BM107" s="215">
        <v>9350</v>
      </c>
      <c r="BN107" s="215">
        <v>9350</v>
      </c>
      <c r="BO107" s="215">
        <v>8900</v>
      </c>
      <c r="BP107" s="215">
        <v>9350</v>
      </c>
      <c r="BQ107" s="215">
        <v>9350</v>
      </c>
      <c r="BR107" s="213">
        <v>-100</v>
      </c>
      <c r="BS107" s="213">
        <v>-100</v>
      </c>
      <c r="BT107" s="213">
        <v>-100</v>
      </c>
      <c r="BU107" s="6">
        <f t="shared" si="16"/>
        <v>11591</v>
      </c>
      <c r="BV107" s="6">
        <f t="shared" si="17"/>
        <v>12041</v>
      </c>
      <c r="BW107" s="6">
        <f t="shared" si="18"/>
        <v>12041</v>
      </c>
    </row>
    <row r="108" spans="1:75" ht="14.25" customHeight="1" x14ac:dyDescent="0.35">
      <c r="A108" s="101" t="s">
        <v>460</v>
      </c>
      <c r="B108" s="101" t="s">
        <v>469</v>
      </c>
      <c r="C108" s="101" t="s">
        <v>462</v>
      </c>
      <c r="D108" s="215">
        <v>7700</v>
      </c>
      <c r="E108" s="215">
        <v>8100</v>
      </c>
      <c r="F108" s="215">
        <v>8100</v>
      </c>
      <c r="G108" s="215">
        <v>7700</v>
      </c>
      <c r="H108" s="215">
        <v>8100</v>
      </c>
      <c r="I108" s="215">
        <v>8100</v>
      </c>
      <c r="J108" s="215">
        <v>7700</v>
      </c>
      <c r="K108" s="215">
        <v>8100</v>
      </c>
      <c r="L108" s="215">
        <v>8100</v>
      </c>
      <c r="M108" s="215">
        <v>7700</v>
      </c>
      <c r="N108" s="215">
        <v>8100</v>
      </c>
      <c r="O108" s="215">
        <v>8100</v>
      </c>
      <c r="P108" s="215">
        <v>7700</v>
      </c>
      <c r="Q108" s="215">
        <v>8100</v>
      </c>
      <c r="R108" s="215">
        <v>8100</v>
      </c>
      <c r="S108" s="215">
        <v>7700</v>
      </c>
      <c r="T108" s="215">
        <v>8100</v>
      </c>
      <c r="U108" s="215">
        <v>8100</v>
      </c>
      <c r="V108" s="215">
        <v>7700</v>
      </c>
      <c r="W108" s="215">
        <v>8100</v>
      </c>
      <c r="X108" s="215">
        <v>8100</v>
      </c>
      <c r="Y108" s="215">
        <v>7700</v>
      </c>
      <c r="Z108" s="215">
        <v>8100</v>
      </c>
      <c r="AA108" s="215">
        <v>8100</v>
      </c>
      <c r="AB108" s="215">
        <v>7700</v>
      </c>
      <c r="AC108" s="215">
        <v>8100</v>
      </c>
      <c r="AD108" s="215">
        <v>8100</v>
      </c>
      <c r="AE108" s="215">
        <v>7700</v>
      </c>
      <c r="AF108" s="215">
        <v>8100</v>
      </c>
      <c r="AG108" s="215">
        <v>8100</v>
      </c>
      <c r="AH108" s="215">
        <v>7500</v>
      </c>
      <c r="AI108" s="215">
        <v>7900</v>
      </c>
      <c r="AJ108" s="215">
        <v>7900</v>
      </c>
      <c r="AK108" s="215">
        <v>8000</v>
      </c>
      <c r="AL108" s="215">
        <v>8500</v>
      </c>
      <c r="AM108" s="215">
        <v>8500</v>
      </c>
      <c r="AN108" s="213">
        <v>1300</v>
      </c>
      <c r="AO108" s="213">
        <v>1400</v>
      </c>
      <c r="AP108" s="213">
        <v>1400</v>
      </c>
      <c r="AQ108" s="215">
        <v>8340</v>
      </c>
      <c r="AR108" s="215">
        <v>9065</v>
      </c>
      <c r="AS108" s="215">
        <v>9065</v>
      </c>
      <c r="AT108" s="215">
        <v>7825</v>
      </c>
      <c r="AU108" s="215">
        <v>8300</v>
      </c>
      <c r="AV108" s="215">
        <v>8300</v>
      </c>
      <c r="AW108" s="215">
        <v>8700</v>
      </c>
      <c r="AX108" s="215">
        <v>9100</v>
      </c>
      <c r="AY108" s="215">
        <v>9100</v>
      </c>
      <c r="AZ108" s="215">
        <v>8300</v>
      </c>
      <c r="BA108" s="215">
        <v>8925</v>
      </c>
      <c r="BB108" s="215">
        <v>8925</v>
      </c>
      <c r="BC108" s="215">
        <v>8450</v>
      </c>
      <c r="BD108" s="215">
        <v>8975</v>
      </c>
      <c r="BE108" s="215">
        <v>8975</v>
      </c>
      <c r="BF108" s="215">
        <v>8525</v>
      </c>
      <c r="BG108" s="215">
        <v>9300</v>
      </c>
      <c r="BH108" s="215">
        <v>9300</v>
      </c>
      <c r="BI108" s="215">
        <v>8900</v>
      </c>
      <c r="BJ108" s="215">
        <v>9300</v>
      </c>
      <c r="BK108" s="215">
        <v>9300</v>
      </c>
      <c r="BL108" s="215">
        <v>8900</v>
      </c>
      <c r="BM108" s="215">
        <v>9300</v>
      </c>
      <c r="BN108" s="215">
        <v>9300</v>
      </c>
      <c r="BO108" s="215">
        <v>8900</v>
      </c>
      <c r="BP108" s="215">
        <v>9300</v>
      </c>
      <c r="BQ108" s="215">
        <v>9300</v>
      </c>
      <c r="BR108" s="213">
        <v>-100</v>
      </c>
      <c r="BS108" s="213">
        <v>-100</v>
      </c>
      <c r="BT108" s="213">
        <v>-100</v>
      </c>
      <c r="BU108" s="6">
        <f t="shared" si="16"/>
        <v>11591</v>
      </c>
      <c r="BV108" s="6">
        <f t="shared" si="17"/>
        <v>11991</v>
      </c>
      <c r="BW108" s="6">
        <f t="shared" si="18"/>
        <v>11991</v>
      </c>
    </row>
    <row r="109" spans="1:75" ht="14.25" customHeight="1" x14ac:dyDescent="0.35">
      <c r="A109" s="102" t="s">
        <v>126</v>
      </c>
      <c r="B109" s="101" t="s">
        <v>468</v>
      </c>
      <c r="C109" s="103" t="s">
        <v>127</v>
      </c>
      <c r="D109" s="215">
        <v>7850</v>
      </c>
      <c r="E109" s="215">
        <v>8350</v>
      </c>
      <c r="F109" s="215">
        <v>8350</v>
      </c>
      <c r="G109" s="215">
        <v>7850</v>
      </c>
      <c r="H109" s="215">
        <v>8350</v>
      </c>
      <c r="I109" s="215">
        <v>8350</v>
      </c>
      <c r="J109" s="215">
        <v>7850</v>
      </c>
      <c r="K109" s="215">
        <v>8350</v>
      </c>
      <c r="L109" s="215">
        <v>8350</v>
      </c>
      <c r="M109" s="215">
        <v>7850</v>
      </c>
      <c r="N109" s="215">
        <v>8350</v>
      </c>
      <c r="O109" s="215">
        <v>8350</v>
      </c>
      <c r="P109" s="215">
        <v>7850</v>
      </c>
      <c r="Q109" s="215">
        <v>8350</v>
      </c>
      <c r="R109" s="215">
        <v>8350</v>
      </c>
      <c r="S109" s="215">
        <v>7850</v>
      </c>
      <c r="T109" s="215">
        <v>8350</v>
      </c>
      <c r="U109" s="215">
        <v>8350</v>
      </c>
      <c r="V109" s="215">
        <v>7850</v>
      </c>
      <c r="W109" s="215">
        <v>8350</v>
      </c>
      <c r="X109" s="215">
        <v>8350</v>
      </c>
      <c r="Y109" s="215">
        <v>7850</v>
      </c>
      <c r="Z109" s="215">
        <v>8350</v>
      </c>
      <c r="AA109" s="215">
        <v>8350</v>
      </c>
      <c r="AB109" s="215">
        <v>7850</v>
      </c>
      <c r="AC109" s="215">
        <v>8350</v>
      </c>
      <c r="AD109" s="215">
        <v>8350</v>
      </c>
      <c r="AE109" s="215">
        <v>7850</v>
      </c>
      <c r="AF109" s="215">
        <v>8350</v>
      </c>
      <c r="AG109" s="215">
        <v>8350</v>
      </c>
      <c r="AH109" s="215">
        <v>7650</v>
      </c>
      <c r="AI109" s="215">
        <v>8150</v>
      </c>
      <c r="AJ109" s="215">
        <v>8150</v>
      </c>
      <c r="AK109" s="215">
        <v>8150</v>
      </c>
      <c r="AL109" s="215">
        <v>8750</v>
      </c>
      <c r="AM109" s="215">
        <v>8750</v>
      </c>
      <c r="AN109" s="213">
        <v>1300</v>
      </c>
      <c r="AO109" s="213">
        <v>1400</v>
      </c>
      <c r="AP109" s="213">
        <v>1400</v>
      </c>
      <c r="AQ109" s="215">
        <v>8490</v>
      </c>
      <c r="AR109" s="215">
        <v>9315</v>
      </c>
      <c r="AS109" s="215">
        <v>9315</v>
      </c>
      <c r="AT109" s="215">
        <v>7975</v>
      </c>
      <c r="AU109" s="215">
        <v>8550</v>
      </c>
      <c r="AV109" s="215">
        <v>8550</v>
      </c>
      <c r="AW109" s="215">
        <v>8850</v>
      </c>
      <c r="AX109" s="215">
        <v>9350</v>
      </c>
      <c r="AY109" s="215">
        <v>9350</v>
      </c>
      <c r="AZ109" s="215">
        <v>8450</v>
      </c>
      <c r="BA109" s="215">
        <v>9175</v>
      </c>
      <c r="BB109" s="215">
        <v>9175</v>
      </c>
      <c r="BC109" s="215">
        <v>8600</v>
      </c>
      <c r="BD109" s="215">
        <v>9225</v>
      </c>
      <c r="BE109" s="215">
        <v>9225</v>
      </c>
      <c r="BF109" s="215">
        <v>8675</v>
      </c>
      <c r="BG109" s="215">
        <v>9550</v>
      </c>
      <c r="BH109" s="215">
        <v>9550</v>
      </c>
      <c r="BI109" s="215">
        <v>9050</v>
      </c>
      <c r="BJ109" s="215">
        <v>9550</v>
      </c>
      <c r="BK109" s="215">
        <v>9550</v>
      </c>
      <c r="BL109" s="215">
        <v>9050</v>
      </c>
      <c r="BM109" s="215">
        <v>9550</v>
      </c>
      <c r="BN109" s="215">
        <v>9550</v>
      </c>
      <c r="BO109" s="215">
        <v>9050</v>
      </c>
      <c r="BP109" s="215">
        <v>9550</v>
      </c>
      <c r="BQ109" s="215">
        <v>9550</v>
      </c>
      <c r="BR109" s="213">
        <v>-100</v>
      </c>
      <c r="BS109" s="213">
        <v>-100</v>
      </c>
      <c r="BT109" s="213">
        <v>-100</v>
      </c>
      <c r="BU109" s="6">
        <f t="shared" si="16"/>
        <v>11741</v>
      </c>
      <c r="BV109" s="6">
        <f t="shared" si="17"/>
        <v>12241</v>
      </c>
      <c r="BW109" s="6">
        <f t="shared" si="18"/>
        <v>12241</v>
      </c>
    </row>
    <row r="110" spans="1:75" ht="14.25" customHeight="1" x14ac:dyDescent="0.35">
      <c r="A110" s="102" t="s">
        <v>126</v>
      </c>
      <c r="B110" s="101" t="s">
        <v>469</v>
      </c>
      <c r="C110" s="103" t="s">
        <v>127</v>
      </c>
      <c r="D110" s="215">
        <v>7625</v>
      </c>
      <c r="E110" s="215">
        <v>7975</v>
      </c>
      <c r="F110" s="215">
        <v>7975</v>
      </c>
      <c r="G110" s="215">
        <v>7625</v>
      </c>
      <c r="H110" s="215">
        <v>7975</v>
      </c>
      <c r="I110" s="215">
        <v>7975</v>
      </c>
      <c r="J110" s="215">
        <v>7625</v>
      </c>
      <c r="K110" s="215">
        <v>7975</v>
      </c>
      <c r="L110" s="215">
        <v>7975</v>
      </c>
      <c r="M110" s="215">
        <v>7625</v>
      </c>
      <c r="N110" s="215">
        <v>7975</v>
      </c>
      <c r="O110" s="215">
        <v>7975</v>
      </c>
      <c r="P110" s="215">
        <v>7625</v>
      </c>
      <c r="Q110" s="215">
        <v>7975</v>
      </c>
      <c r="R110" s="215">
        <v>7975</v>
      </c>
      <c r="S110" s="215">
        <v>7625</v>
      </c>
      <c r="T110" s="215">
        <v>7975</v>
      </c>
      <c r="U110" s="215">
        <v>7975</v>
      </c>
      <c r="V110" s="215">
        <v>7625</v>
      </c>
      <c r="W110" s="215">
        <v>7975</v>
      </c>
      <c r="X110" s="215">
        <v>7975</v>
      </c>
      <c r="Y110" s="215">
        <v>7625</v>
      </c>
      <c r="Z110" s="215">
        <v>7975</v>
      </c>
      <c r="AA110" s="215">
        <v>7975</v>
      </c>
      <c r="AB110" s="215">
        <v>7625</v>
      </c>
      <c r="AC110" s="215">
        <v>7975</v>
      </c>
      <c r="AD110" s="215">
        <v>7975</v>
      </c>
      <c r="AE110" s="215">
        <v>7625</v>
      </c>
      <c r="AF110" s="215">
        <v>7975</v>
      </c>
      <c r="AG110" s="215">
        <v>7975</v>
      </c>
      <c r="AH110" s="215">
        <v>7425</v>
      </c>
      <c r="AI110" s="215">
        <v>7775</v>
      </c>
      <c r="AJ110" s="215">
        <v>7775</v>
      </c>
      <c r="AK110" s="215">
        <v>7925</v>
      </c>
      <c r="AL110" s="215">
        <v>8375</v>
      </c>
      <c r="AM110" s="215">
        <v>8375</v>
      </c>
      <c r="AN110" s="213">
        <v>1300</v>
      </c>
      <c r="AO110" s="213">
        <v>1400</v>
      </c>
      <c r="AP110" s="213">
        <v>1400</v>
      </c>
      <c r="AQ110" s="215">
        <v>8265</v>
      </c>
      <c r="AR110" s="215">
        <v>8940</v>
      </c>
      <c r="AS110" s="215">
        <v>8940</v>
      </c>
      <c r="AT110" s="215">
        <v>7750</v>
      </c>
      <c r="AU110" s="215">
        <v>8175</v>
      </c>
      <c r="AV110" s="215">
        <v>8175</v>
      </c>
      <c r="AW110" s="215">
        <v>8625</v>
      </c>
      <c r="AX110" s="215">
        <v>8975</v>
      </c>
      <c r="AY110" s="215">
        <v>8975</v>
      </c>
      <c r="AZ110" s="215">
        <v>8225</v>
      </c>
      <c r="BA110" s="215">
        <v>8800</v>
      </c>
      <c r="BB110" s="215">
        <v>8800</v>
      </c>
      <c r="BC110" s="215">
        <v>8375</v>
      </c>
      <c r="BD110" s="215">
        <v>8850</v>
      </c>
      <c r="BE110" s="215">
        <v>8850</v>
      </c>
      <c r="BF110" s="215">
        <v>8450</v>
      </c>
      <c r="BG110" s="215">
        <v>9175</v>
      </c>
      <c r="BH110" s="215">
        <v>9175</v>
      </c>
      <c r="BI110" s="215">
        <v>8825</v>
      </c>
      <c r="BJ110" s="215">
        <v>9175</v>
      </c>
      <c r="BK110" s="215">
        <v>9175</v>
      </c>
      <c r="BL110" s="215">
        <v>8825</v>
      </c>
      <c r="BM110" s="215">
        <v>9175</v>
      </c>
      <c r="BN110" s="215">
        <v>9175</v>
      </c>
      <c r="BO110" s="215">
        <v>8825</v>
      </c>
      <c r="BP110" s="215">
        <v>9175</v>
      </c>
      <c r="BQ110" s="215">
        <v>9175</v>
      </c>
      <c r="BR110" s="213">
        <v>-100</v>
      </c>
      <c r="BS110" s="213">
        <v>-100</v>
      </c>
      <c r="BT110" s="213">
        <v>-100</v>
      </c>
      <c r="BU110" s="6">
        <f t="shared" si="16"/>
        <v>11516</v>
      </c>
      <c r="BV110" s="6">
        <f t="shared" si="17"/>
        <v>11866</v>
      </c>
      <c r="BW110" s="6">
        <f t="shared" si="18"/>
        <v>11866</v>
      </c>
    </row>
    <row r="111" spans="1:75" ht="14.2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71"/>
      <c r="AL111" s="71"/>
      <c r="AM111" s="71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</row>
    <row r="112" spans="1:75" ht="14.25" customHeight="1" x14ac:dyDescent="0.35">
      <c r="A112" s="22" t="s">
        <v>492</v>
      </c>
      <c r="B112" s="2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71"/>
      <c r="AL112" s="71"/>
      <c r="AM112" s="71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</row>
    <row r="113" spans="1:75" ht="14.25" customHeight="1" x14ac:dyDescent="0.35">
      <c r="A113" s="54" t="s">
        <v>410</v>
      </c>
      <c r="B113" s="2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71"/>
      <c r="AL113" s="71"/>
      <c r="AM113" s="71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</row>
    <row r="114" spans="1:75" ht="14.25" customHeight="1" x14ac:dyDescent="0.35">
      <c r="A114" s="4" t="s">
        <v>190</v>
      </c>
      <c r="B114" s="4"/>
      <c r="C114" s="4"/>
      <c r="D114" s="4"/>
      <c r="E114" s="4"/>
      <c r="F114" s="4"/>
      <c r="G114" s="4"/>
      <c r="H114" s="4"/>
      <c r="I114" s="10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71"/>
      <c r="AL114" s="71"/>
      <c r="AM114" s="71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</row>
    <row r="115" spans="1:75" ht="14.25" customHeight="1" x14ac:dyDescent="0.35">
      <c r="A115" s="4"/>
      <c r="B115" s="4"/>
      <c r="C115" s="4"/>
      <c r="D115" s="4"/>
      <c r="E115" s="4"/>
      <c r="F115" s="4"/>
      <c r="G115" s="4"/>
      <c r="H115" s="4"/>
      <c r="I115" s="10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71"/>
      <c r="AL115" s="71"/>
      <c r="AM115" s="71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</row>
    <row r="116" spans="1:75" ht="14.2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71"/>
      <c r="AL116" s="71"/>
      <c r="AM116" s="71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</row>
    <row r="117" spans="1:75" ht="14.25" customHeight="1" x14ac:dyDescent="0.35">
      <c r="A117" s="4" t="s">
        <v>191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71"/>
      <c r="AL117" s="71"/>
      <c r="AM117" s="71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</row>
    <row r="118" spans="1:75" ht="14.25" customHeight="1" x14ac:dyDescent="0.35">
      <c r="A118" s="4" t="s">
        <v>192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71"/>
      <c r="AL118" s="71"/>
      <c r="AM118" s="71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</row>
    <row r="119" spans="1:75" ht="14.2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71"/>
      <c r="AL119" s="71"/>
      <c r="AM119" s="71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</row>
    <row r="120" spans="1:75" ht="14.25" customHeight="1" x14ac:dyDescent="0.35">
      <c r="A120" s="4" t="s">
        <v>193</v>
      </c>
      <c r="B120" s="2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71"/>
      <c r="AL120" s="71"/>
      <c r="AM120" s="71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</row>
    <row r="121" spans="1:75" ht="14.25" customHeight="1" x14ac:dyDescent="0.35">
      <c r="A121" s="2"/>
      <c r="B121" s="2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71"/>
      <c r="AL121" s="71"/>
      <c r="AM121" s="71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</row>
    <row r="122" spans="1:75" ht="15.75" customHeight="1" x14ac:dyDescent="0.35">
      <c r="A122" s="35"/>
      <c r="B122" s="332" t="s">
        <v>194</v>
      </c>
      <c r="C122" s="333"/>
      <c r="D122" s="332" t="s">
        <v>195</v>
      </c>
      <c r="E122" s="33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44"/>
      <c r="AL122" s="44"/>
      <c r="AM122" s="44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spans="1:75" ht="15.75" customHeight="1" x14ac:dyDescent="0.35">
      <c r="A123" s="35"/>
      <c r="B123" s="332" t="s">
        <v>196</v>
      </c>
      <c r="C123" s="333"/>
      <c r="D123" s="332" t="s">
        <v>196</v>
      </c>
      <c r="E123" s="33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44"/>
      <c r="AL123" s="44"/>
      <c r="AM123" s="44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spans="1:75" ht="33" customHeight="1" x14ac:dyDescent="0.35">
      <c r="A124" s="35" t="s">
        <v>197</v>
      </c>
      <c r="B124" s="55" t="s">
        <v>198</v>
      </c>
      <c r="C124" s="55" t="s">
        <v>199</v>
      </c>
      <c r="D124" s="55" t="s">
        <v>198</v>
      </c>
      <c r="E124" s="55" t="s">
        <v>199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44"/>
      <c r="AL124" s="44"/>
      <c r="AM124" s="44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spans="1:75" ht="15.75" customHeight="1" x14ac:dyDescent="0.35">
      <c r="A125" s="35" t="s">
        <v>200</v>
      </c>
      <c r="B125" s="6" t="s">
        <v>201</v>
      </c>
      <c r="C125" s="6" t="s">
        <v>201</v>
      </c>
      <c r="D125" s="6" t="s">
        <v>201</v>
      </c>
      <c r="E125" s="6" t="s">
        <v>202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44"/>
      <c r="AL125" s="44"/>
      <c r="AM125" s="44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spans="1:75" ht="15.75" customHeight="1" x14ac:dyDescent="0.35">
      <c r="A126" s="35" t="s">
        <v>203</v>
      </c>
      <c r="B126" s="6" t="s">
        <v>201</v>
      </c>
      <c r="C126" s="6" t="s">
        <v>202</v>
      </c>
      <c r="D126" s="6" t="s">
        <v>201</v>
      </c>
      <c r="E126" s="6" t="s">
        <v>202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44"/>
      <c r="AL126" s="44"/>
      <c r="AM126" s="44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spans="1:75" ht="15.75" customHeight="1" x14ac:dyDescent="0.35">
      <c r="A127" s="2"/>
      <c r="B127" s="2"/>
      <c r="C127" s="2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44"/>
      <c r="AL127" s="44"/>
      <c r="AM127" s="44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spans="1:75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44"/>
      <c r="AL128" s="44"/>
      <c r="AM128" s="44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spans="1:75" ht="15.75" customHeight="1" x14ac:dyDescent="0.35">
      <c r="A129" s="4" t="s">
        <v>204</v>
      </c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44"/>
      <c r="AL129" s="44"/>
      <c r="AM129" s="44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spans="1:75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44"/>
      <c r="AL130" s="44"/>
      <c r="AM130" s="44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spans="1:75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44"/>
      <c r="AL131" s="44"/>
      <c r="AM131" s="44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spans="1:75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44"/>
      <c r="AL132" s="44"/>
      <c r="AM132" s="44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spans="1:75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44"/>
      <c r="AL133" s="44"/>
      <c r="AM133" s="44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spans="1:75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44"/>
      <c r="AL134" s="44"/>
      <c r="AM134" s="44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spans="1:75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44"/>
      <c r="AL135" s="44"/>
      <c r="AM135" s="44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spans="1:75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44"/>
      <c r="AL136" s="44"/>
      <c r="AM136" s="44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spans="1:75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44"/>
      <c r="AL137" s="44"/>
      <c r="AM137" s="44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spans="1:75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44"/>
      <c r="AL138" s="44"/>
      <c r="AM138" s="44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spans="1:75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44"/>
      <c r="AL139" s="44"/>
      <c r="AM139" s="44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spans="1:75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44"/>
      <c r="AL140" s="44"/>
      <c r="AM140" s="44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spans="1:75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44"/>
      <c r="AL141" s="44"/>
      <c r="AM141" s="44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spans="1:75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44"/>
      <c r="AL142" s="44"/>
      <c r="AM142" s="44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spans="1:75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44"/>
      <c r="AL143" s="44"/>
      <c r="AM143" s="44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spans="1:75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44"/>
      <c r="AL144" s="44"/>
      <c r="AM144" s="44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spans="1:75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44"/>
      <c r="AL145" s="44"/>
      <c r="AM145" s="44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spans="1:75" ht="15.75" customHeight="1" x14ac:dyDescent="0.35">
      <c r="A146" s="2" t="s">
        <v>449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44"/>
      <c r="AL146" s="44"/>
      <c r="AM146" s="44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spans="1:75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44"/>
      <c r="AL147" s="44"/>
      <c r="AM147" s="44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spans="1:75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44"/>
      <c r="AL148" s="44"/>
      <c r="AM148" s="44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spans="1:75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44"/>
      <c r="AL149" s="44"/>
      <c r="AM149" s="44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spans="1:75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44"/>
      <c r="AL150" s="44"/>
      <c r="AM150" s="44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spans="1:75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44"/>
      <c r="AL151" s="44"/>
      <c r="AM151" s="44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spans="1:75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44"/>
      <c r="AL152" s="44"/>
      <c r="AM152" s="44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spans="1:75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44"/>
      <c r="AL153" s="44"/>
      <c r="AM153" s="44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spans="1:75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44"/>
      <c r="AL154" s="44"/>
      <c r="AM154" s="44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spans="1:75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44"/>
      <c r="AL155" s="44"/>
      <c r="AM155" s="44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spans="1:75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44"/>
      <c r="AL156" s="44"/>
      <c r="AM156" s="44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7" spans="1:75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44"/>
      <c r="AL157" s="44"/>
      <c r="AM157" s="44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</row>
    <row r="158" spans="1:75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44"/>
      <c r="AL158" s="44"/>
      <c r="AM158" s="44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</row>
    <row r="159" spans="1:75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44"/>
      <c r="AL159" s="44"/>
      <c r="AM159" s="44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spans="1:75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44"/>
      <c r="AL160" s="44"/>
      <c r="AM160" s="44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spans="1:75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44"/>
      <c r="AL161" s="44"/>
      <c r="AM161" s="44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spans="1:75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44"/>
      <c r="AL162" s="44"/>
      <c r="AM162" s="44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spans="1:75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44"/>
      <c r="AL163" s="44"/>
      <c r="AM163" s="44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spans="1:75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44"/>
      <c r="AL164" s="44"/>
      <c r="AM164" s="44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spans="1:75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44"/>
      <c r="AL165" s="44"/>
      <c r="AM165" s="44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spans="1:75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44"/>
      <c r="AL166" s="44"/>
      <c r="AM166" s="44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spans="1:75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44"/>
      <c r="AL167" s="44"/>
      <c r="AM167" s="44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spans="1:75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44"/>
      <c r="AL168" s="44"/>
      <c r="AM168" s="44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spans="1:75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44"/>
      <c r="AL169" s="44"/>
      <c r="AM169" s="44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 spans="1:75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44"/>
      <c r="AL170" s="44"/>
      <c r="AM170" s="44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 spans="1:75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44"/>
      <c r="AL171" s="44"/>
      <c r="AM171" s="44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 spans="1:75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44"/>
      <c r="AL172" s="44"/>
      <c r="AM172" s="44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 spans="1:75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44"/>
      <c r="AL173" s="44"/>
      <c r="AM173" s="44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</row>
    <row r="174" spans="1:75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44"/>
      <c r="AL174" s="44"/>
      <c r="AM174" s="44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spans="1:75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44"/>
      <c r="AL175" s="44"/>
      <c r="AM175" s="44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spans="1:75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44"/>
      <c r="AL176" s="44"/>
      <c r="AM176" s="44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spans="1:75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44"/>
      <c r="AL177" s="44"/>
      <c r="AM177" s="44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 spans="1:75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44"/>
      <c r="AL178" s="44"/>
      <c r="AM178" s="44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 spans="1:75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44"/>
      <c r="AL179" s="44"/>
      <c r="AM179" s="44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 spans="1:75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44"/>
      <c r="AL180" s="44"/>
      <c r="AM180" s="44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 spans="1:75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44"/>
      <c r="AL181" s="44"/>
      <c r="AM181" s="44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 spans="1:75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44"/>
      <c r="AL182" s="44"/>
      <c r="AM182" s="44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spans="1:75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44"/>
      <c r="AL183" s="44"/>
      <c r="AM183" s="44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spans="1:75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44"/>
      <c r="AL184" s="44"/>
      <c r="AM184" s="44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spans="1:75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44"/>
      <c r="AL185" s="44"/>
      <c r="AM185" s="44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spans="1:75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44"/>
      <c r="AL186" s="44"/>
      <c r="AM186" s="44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 spans="1:75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44"/>
      <c r="AL187" s="44"/>
      <c r="AM187" s="44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 spans="1:75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44"/>
      <c r="AL188" s="44"/>
      <c r="AM188" s="44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 spans="1:75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44"/>
      <c r="AL189" s="44"/>
      <c r="AM189" s="44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 spans="1:75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44"/>
      <c r="AL190" s="44"/>
      <c r="AM190" s="44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 spans="1:75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44"/>
      <c r="AL191" s="44"/>
      <c r="AM191" s="44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 spans="1:75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44"/>
      <c r="AL192" s="44"/>
      <c r="AM192" s="44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 spans="1:75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44"/>
      <c r="AL193" s="44"/>
      <c r="AM193" s="44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 spans="1:75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44"/>
      <c r="AL194" s="44"/>
      <c r="AM194" s="44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spans="1:75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44"/>
      <c r="AL195" s="44"/>
      <c r="AM195" s="44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</row>
    <row r="196" spans="1:75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44"/>
      <c r="AL196" s="44"/>
      <c r="AM196" s="44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 spans="1:75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44"/>
      <c r="AL197" s="44"/>
      <c r="AM197" s="44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spans="1:75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44"/>
      <c r="AL198" s="44"/>
      <c r="AM198" s="44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 spans="1:75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44"/>
      <c r="AL199" s="44"/>
      <c r="AM199" s="44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 spans="1:75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44"/>
      <c r="AL200" s="44"/>
      <c r="AM200" s="44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 spans="1:75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44"/>
      <c r="AL201" s="44"/>
      <c r="AM201" s="44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 spans="1:75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44"/>
      <c r="AL202" s="44"/>
      <c r="AM202" s="44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 spans="1:75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44"/>
      <c r="AL203" s="44"/>
      <c r="AM203" s="44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 spans="1:75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44"/>
      <c r="AL204" s="44"/>
      <c r="AM204" s="44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 spans="1:75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44"/>
      <c r="AL205" s="44"/>
      <c r="AM205" s="44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 spans="1:75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44"/>
      <c r="AL206" s="44"/>
      <c r="AM206" s="44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 spans="1:75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44"/>
      <c r="AL207" s="44"/>
      <c r="AM207" s="44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 spans="1:75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44"/>
      <c r="AL208" s="44"/>
      <c r="AM208" s="44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</row>
    <row r="209" spans="1:75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44"/>
      <c r="AL209" s="44"/>
      <c r="AM209" s="44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 spans="1:75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44"/>
      <c r="AL210" s="44"/>
      <c r="AM210" s="44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 spans="1:75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44"/>
      <c r="AL211" s="44"/>
      <c r="AM211" s="44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 spans="1:75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44"/>
      <c r="AL212" s="44"/>
      <c r="AM212" s="44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 spans="1:75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44"/>
      <c r="AL213" s="44"/>
      <c r="AM213" s="44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 spans="1:75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44"/>
      <c r="AL214" s="44"/>
      <c r="AM214" s="44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 spans="1:75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44"/>
      <c r="AL215" s="44"/>
      <c r="AM215" s="44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 spans="1:75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44"/>
      <c r="AL216" s="44"/>
      <c r="AM216" s="44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 spans="1:75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44"/>
      <c r="AL217" s="44"/>
      <c r="AM217" s="44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 spans="1:75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44"/>
      <c r="AL218" s="44"/>
      <c r="AM218" s="44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 spans="1:75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44"/>
      <c r="AL219" s="44"/>
      <c r="AM219" s="44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 spans="1:75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44"/>
      <c r="AL220" s="44"/>
      <c r="AM220" s="44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 spans="1:75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44"/>
      <c r="AL221" s="44"/>
      <c r="AM221" s="44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 spans="1:75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44"/>
      <c r="AL222" s="44"/>
      <c r="AM222" s="44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 spans="1:75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44"/>
      <c r="AL223" s="44"/>
      <c r="AM223" s="44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 spans="1:75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44"/>
      <c r="AL224" s="44"/>
      <c r="AM224" s="44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 spans="1:75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44"/>
      <c r="AL225" s="44"/>
      <c r="AM225" s="44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 spans="1:75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44"/>
      <c r="AL226" s="44"/>
      <c r="AM226" s="44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spans="1:75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44"/>
      <c r="AL227" s="44"/>
      <c r="AM227" s="44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 spans="1:75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44"/>
      <c r="AL228" s="44"/>
      <c r="AM228" s="44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 spans="1:75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44"/>
      <c r="AL229" s="44"/>
      <c r="AM229" s="44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 spans="1:75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44"/>
      <c r="AL230" s="44"/>
      <c r="AM230" s="44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 spans="1:75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44"/>
      <c r="AL231" s="44"/>
      <c r="AM231" s="44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</row>
    <row r="232" spans="1:75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44"/>
      <c r="AL232" s="44"/>
      <c r="AM232" s="44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 spans="1:75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44"/>
      <c r="AL233" s="44"/>
      <c r="AM233" s="44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 spans="1:75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44"/>
      <c r="AL234" s="44"/>
      <c r="AM234" s="44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spans="1:75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44"/>
      <c r="AL235" s="44"/>
      <c r="AM235" s="44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 spans="1:75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44"/>
      <c r="AL236" s="44"/>
      <c r="AM236" s="44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 spans="1:75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44"/>
      <c r="AL237" s="44"/>
      <c r="AM237" s="44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 spans="1:75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44"/>
      <c r="AL238" s="44"/>
      <c r="AM238" s="44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 spans="1:75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44"/>
      <c r="AL239" s="44"/>
      <c r="AM239" s="44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 spans="1:75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44"/>
      <c r="AL240" s="44"/>
      <c r="AM240" s="44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 spans="1:75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44"/>
      <c r="AL241" s="44"/>
      <c r="AM241" s="44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 spans="1:75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44"/>
      <c r="AL242" s="44"/>
      <c r="AM242" s="44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</row>
    <row r="243" spans="1:75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44"/>
      <c r="AL243" s="44"/>
      <c r="AM243" s="44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 spans="1:75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44"/>
      <c r="AL244" s="44"/>
      <c r="AM244" s="44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 spans="1:75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44"/>
      <c r="AL245" s="44"/>
      <c r="AM245" s="44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</row>
    <row r="246" spans="1:75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44"/>
      <c r="AL246" s="44"/>
      <c r="AM246" s="44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 spans="1:75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44"/>
      <c r="AL247" s="44"/>
      <c r="AM247" s="44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 spans="1:75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44"/>
      <c r="AL248" s="44"/>
      <c r="AM248" s="44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</row>
    <row r="249" spans="1:75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44"/>
      <c r="AL249" s="44"/>
      <c r="AM249" s="44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</row>
    <row r="250" spans="1:75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44"/>
      <c r="AL250" s="44"/>
      <c r="AM250" s="44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 spans="1:75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44"/>
      <c r="AL251" s="44"/>
      <c r="AM251" s="44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</row>
    <row r="252" spans="1:75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44"/>
      <c r="AL252" s="44"/>
      <c r="AM252" s="44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</row>
    <row r="253" spans="1:75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44"/>
      <c r="AL253" s="44"/>
      <c r="AM253" s="44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</row>
    <row r="254" spans="1:75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44"/>
      <c r="AL254" s="44"/>
      <c r="AM254" s="44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</row>
    <row r="255" spans="1:75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44"/>
      <c r="AL255" s="44"/>
      <c r="AM255" s="44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</row>
    <row r="256" spans="1:75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44"/>
      <c r="AL256" s="44"/>
      <c r="AM256" s="44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</row>
    <row r="257" spans="1:75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44"/>
      <c r="AL257" s="44"/>
      <c r="AM257" s="44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</row>
    <row r="258" spans="1:75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44"/>
      <c r="AL258" s="44"/>
      <c r="AM258" s="44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</row>
    <row r="259" spans="1:75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44"/>
      <c r="AL259" s="44"/>
      <c r="AM259" s="44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</row>
    <row r="260" spans="1:75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44"/>
      <c r="AL260" s="44"/>
      <c r="AM260" s="44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</row>
    <row r="261" spans="1:75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44"/>
      <c r="AL261" s="44"/>
      <c r="AM261" s="44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</row>
    <row r="262" spans="1:75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44"/>
      <c r="AL262" s="44"/>
      <c r="AM262" s="44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</row>
    <row r="263" spans="1:75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44"/>
      <c r="AL263" s="44"/>
      <c r="AM263" s="44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</row>
    <row r="264" spans="1:75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44"/>
      <c r="AL264" s="44"/>
      <c r="AM264" s="44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</row>
    <row r="265" spans="1:75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44"/>
      <c r="AL265" s="44"/>
      <c r="AM265" s="44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</row>
    <row r="266" spans="1:75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44"/>
      <c r="AL266" s="44"/>
      <c r="AM266" s="44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</row>
    <row r="267" spans="1:75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44"/>
      <c r="AL267" s="44"/>
      <c r="AM267" s="44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</row>
    <row r="268" spans="1:75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44"/>
      <c r="AL268" s="44"/>
      <c r="AM268" s="44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</row>
    <row r="269" spans="1:75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44"/>
      <c r="AL269" s="44"/>
      <c r="AM269" s="44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</row>
    <row r="270" spans="1:75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44"/>
      <c r="AL270" s="44"/>
      <c r="AM270" s="44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</row>
    <row r="271" spans="1:75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44"/>
      <c r="AL271" s="44"/>
      <c r="AM271" s="44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</row>
    <row r="272" spans="1:75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44"/>
      <c r="AL272" s="44"/>
      <c r="AM272" s="44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</row>
    <row r="273" spans="1:75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44"/>
      <c r="AL273" s="44"/>
      <c r="AM273" s="44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</row>
    <row r="274" spans="1:75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44"/>
      <c r="AL274" s="44"/>
      <c r="AM274" s="44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</row>
    <row r="275" spans="1:75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44"/>
      <c r="AL275" s="44"/>
      <c r="AM275" s="44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</row>
    <row r="276" spans="1:75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44"/>
      <c r="AL276" s="44"/>
      <c r="AM276" s="44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</row>
    <row r="277" spans="1:75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44"/>
      <c r="AL277" s="44"/>
      <c r="AM277" s="44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</row>
    <row r="278" spans="1:75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44"/>
      <c r="AL278" s="44"/>
      <c r="AM278" s="44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</row>
    <row r="279" spans="1:75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44"/>
      <c r="AL279" s="44"/>
      <c r="AM279" s="44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</row>
    <row r="280" spans="1:75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44"/>
      <c r="AL280" s="44"/>
      <c r="AM280" s="44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</row>
    <row r="281" spans="1:75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44"/>
      <c r="AL281" s="44"/>
      <c r="AM281" s="44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</row>
    <row r="282" spans="1:75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44"/>
      <c r="AL282" s="44"/>
      <c r="AM282" s="44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</row>
    <row r="283" spans="1:75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44"/>
      <c r="AL283" s="44"/>
      <c r="AM283" s="44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</row>
    <row r="284" spans="1:75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44"/>
      <c r="AL284" s="44"/>
      <c r="AM284" s="44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</row>
    <row r="285" spans="1:75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44"/>
      <c r="AL285" s="44"/>
      <c r="AM285" s="44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</row>
    <row r="286" spans="1:75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44"/>
      <c r="AL286" s="44"/>
      <c r="AM286" s="44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</row>
    <row r="287" spans="1:75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44"/>
      <c r="AL287" s="44"/>
      <c r="AM287" s="44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</row>
    <row r="288" spans="1:75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44"/>
      <c r="AL288" s="44"/>
      <c r="AM288" s="44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</row>
    <row r="289" spans="1:75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44"/>
      <c r="AL289" s="44"/>
      <c r="AM289" s="44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</row>
    <row r="290" spans="1:75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44"/>
      <c r="AL290" s="44"/>
      <c r="AM290" s="44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</row>
    <row r="291" spans="1:75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44"/>
      <c r="AL291" s="44"/>
      <c r="AM291" s="44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</row>
    <row r="292" spans="1:75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44"/>
      <c r="AL292" s="44"/>
      <c r="AM292" s="44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</row>
    <row r="293" spans="1:75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44"/>
      <c r="AL293" s="44"/>
      <c r="AM293" s="44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</row>
    <row r="294" spans="1:75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44"/>
      <c r="AL294" s="44"/>
      <c r="AM294" s="44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</row>
    <row r="295" spans="1:75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44"/>
      <c r="AL295" s="44"/>
      <c r="AM295" s="44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</row>
    <row r="296" spans="1:75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44"/>
      <c r="AL296" s="44"/>
      <c r="AM296" s="44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</row>
    <row r="297" spans="1:75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44"/>
      <c r="AL297" s="44"/>
      <c r="AM297" s="44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</row>
    <row r="298" spans="1:75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44"/>
      <c r="AL298" s="44"/>
      <c r="AM298" s="44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</row>
    <row r="299" spans="1:75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44"/>
      <c r="AL299" s="44"/>
      <c r="AM299" s="44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</row>
    <row r="300" spans="1:75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44"/>
      <c r="AL300" s="44"/>
      <c r="AM300" s="44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</row>
    <row r="301" spans="1:75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44"/>
      <c r="AL301" s="44"/>
      <c r="AM301" s="44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</row>
    <row r="302" spans="1:75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44"/>
      <c r="AL302" s="44"/>
      <c r="AM302" s="44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</row>
    <row r="303" spans="1:75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44"/>
      <c r="AL303" s="44"/>
      <c r="AM303" s="44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</row>
    <row r="304" spans="1:75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44"/>
      <c r="AL304" s="44"/>
      <c r="AM304" s="44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</row>
    <row r="305" spans="1:75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44"/>
      <c r="AL305" s="44"/>
      <c r="AM305" s="44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</row>
    <row r="306" spans="1:75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44"/>
      <c r="AL306" s="44"/>
      <c r="AM306" s="44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</row>
    <row r="307" spans="1:75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44"/>
      <c r="AL307" s="44"/>
      <c r="AM307" s="44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</row>
    <row r="308" spans="1:75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44"/>
      <c r="AL308" s="44"/>
      <c r="AM308" s="44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</row>
    <row r="309" spans="1:75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44"/>
      <c r="AL309" s="44"/>
      <c r="AM309" s="44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</row>
    <row r="310" spans="1:75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44"/>
      <c r="AL310" s="44"/>
      <c r="AM310" s="44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</row>
    <row r="311" spans="1:75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44"/>
      <c r="AL311" s="44"/>
      <c r="AM311" s="44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</row>
    <row r="312" spans="1:75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44"/>
      <c r="AL312" s="44"/>
      <c r="AM312" s="44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</row>
    <row r="313" spans="1:75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44"/>
      <c r="AL313" s="44"/>
      <c r="AM313" s="44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</row>
    <row r="314" spans="1:75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44"/>
      <c r="AL314" s="44"/>
      <c r="AM314" s="44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</row>
    <row r="315" spans="1:75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44"/>
      <c r="AL315" s="44"/>
      <c r="AM315" s="44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</row>
    <row r="316" spans="1:75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44"/>
      <c r="AL316" s="44"/>
      <c r="AM316" s="44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</row>
    <row r="317" spans="1:75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44"/>
      <c r="AL317" s="44"/>
      <c r="AM317" s="44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</row>
    <row r="318" spans="1:75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44"/>
      <c r="AL318" s="44"/>
      <c r="AM318" s="44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</row>
    <row r="319" spans="1:75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44"/>
      <c r="AL319" s="44"/>
      <c r="AM319" s="44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</row>
    <row r="320" spans="1:75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44"/>
      <c r="AL320" s="44"/>
      <c r="AM320" s="44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</row>
    <row r="321" spans="1:75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44"/>
      <c r="AL321" s="44"/>
      <c r="AM321" s="44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</row>
    <row r="322" spans="1:75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44"/>
      <c r="AL322" s="44"/>
      <c r="AM322" s="44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</row>
    <row r="323" spans="1:75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44"/>
      <c r="AL323" s="44"/>
      <c r="AM323" s="44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</row>
    <row r="324" spans="1:75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44"/>
      <c r="AL324" s="44"/>
      <c r="AM324" s="44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</row>
    <row r="325" spans="1:75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44"/>
      <c r="AL325" s="44"/>
      <c r="AM325" s="44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</row>
    <row r="326" spans="1:75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44"/>
      <c r="AL326" s="44"/>
      <c r="AM326" s="44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</row>
    <row r="327" spans="1:75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44"/>
      <c r="AL327" s="44"/>
      <c r="AM327" s="44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</row>
    <row r="328" spans="1:75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44"/>
      <c r="AL328" s="44"/>
      <c r="AM328" s="44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</row>
    <row r="329" spans="1:75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44"/>
      <c r="AL329" s="44"/>
      <c r="AM329" s="44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</row>
    <row r="330" spans="1:75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44"/>
      <c r="AL330" s="44"/>
      <c r="AM330" s="44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</row>
    <row r="331" spans="1:75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44"/>
      <c r="AL331" s="44"/>
      <c r="AM331" s="44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</row>
    <row r="332" spans="1:75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44"/>
      <c r="AL332" s="44"/>
      <c r="AM332" s="44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</row>
    <row r="333" spans="1:75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44"/>
      <c r="AL333" s="44"/>
      <c r="AM333" s="44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</row>
    <row r="334" spans="1:75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44"/>
      <c r="AL334" s="44"/>
      <c r="AM334" s="44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</row>
    <row r="335" spans="1:75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44"/>
      <c r="AL335" s="44"/>
      <c r="AM335" s="44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</row>
    <row r="336" spans="1:75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44"/>
      <c r="AL336" s="44"/>
      <c r="AM336" s="44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</row>
    <row r="337" spans="1:75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44"/>
      <c r="AL337" s="44"/>
      <c r="AM337" s="44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</row>
    <row r="338" spans="1:75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44"/>
      <c r="AL338" s="44"/>
      <c r="AM338" s="44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</row>
    <row r="339" spans="1:75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44"/>
      <c r="AL339" s="44"/>
      <c r="AM339" s="44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</row>
    <row r="340" spans="1:75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44"/>
      <c r="AL340" s="44"/>
      <c r="AM340" s="44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</row>
    <row r="341" spans="1:75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44"/>
      <c r="AL341" s="44"/>
      <c r="AM341" s="44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</row>
    <row r="342" spans="1:75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44"/>
      <c r="AL342" s="44"/>
      <c r="AM342" s="44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</row>
    <row r="343" spans="1:75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44"/>
      <c r="AL343" s="44"/>
      <c r="AM343" s="44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</row>
    <row r="344" spans="1:75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44"/>
      <c r="AL344" s="44"/>
      <c r="AM344" s="44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</row>
    <row r="345" spans="1:75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44"/>
      <c r="AL345" s="44"/>
      <c r="AM345" s="44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</row>
    <row r="346" spans="1:75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44"/>
      <c r="AL346" s="44"/>
      <c r="AM346" s="44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</row>
    <row r="347" spans="1:75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44"/>
      <c r="AL347" s="44"/>
      <c r="AM347" s="44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</row>
    <row r="348" spans="1:75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44"/>
      <c r="AL348" s="44"/>
      <c r="AM348" s="44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</row>
    <row r="349" spans="1:75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44"/>
      <c r="AL349" s="44"/>
      <c r="AM349" s="44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</row>
    <row r="350" spans="1:75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44"/>
      <c r="AL350" s="44"/>
      <c r="AM350" s="44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</row>
    <row r="351" spans="1:75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44"/>
      <c r="AL351" s="44"/>
      <c r="AM351" s="44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</row>
    <row r="352" spans="1:75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44"/>
      <c r="AL352" s="44"/>
      <c r="AM352" s="44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</row>
    <row r="353" spans="1:75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44"/>
      <c r="AL353" s="44"/>
      <c r="AM353" s="44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</row>
    <row r="354" spans="1:75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44"/>
      <c r="AL354" s="44"/>
      <c r="AM354" s="44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</row>
    <row r="355" spans="1:75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44"/>
      <c r="AL355" s="44"/>
      <c r="AM355" s="44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</row>
    <row r="356" spans="1:75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44"/>
      <c r="AL356" s="44"/>
      <c r="AM356" s="44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</row>
    <row r="357" spans="1:75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44"/>
      <c r="AL357" s="44"/>
      <c r="AM357" s="44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</row>
    <row r="358" spans="1:75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44"/>
      <c r="AL358" s="44"/>
      <c r="AM358" s="44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</row>
    <row r="359" spans="1:75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44"/>
      <c r="AL359" s="44"/>
      <c r="AM359" s="44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</row>
    <row r="360" spans="1:75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44"/>
      <c r="AL360" s="44"/>
      <c r="AM360" s="44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</row>
    <row r="361" spans="1:75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44"/>
      <c r="AL361" s="44"/>
      <c r="AM361" s="44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</row>
    <row r="362" spans="1:75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44"/>
      <c r="AL362" s="44"/>
      <c r="AM362" s="44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</row>
    <row r="363" spans="1:75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44"/>
      <c r="AL363" s="44"/>
      <c r="AM363" s="44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</row>
    <row r="364" spans="1:75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44"/>
      <c r="AL364" s="44"/>
      <c r="AM364" s="44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</row>
    <row r="365" spans="1:75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44"/>
      <c r="AL365" s="44"/>
      <c r="AM365" s="44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</row>
    <row r="366" spans="1:75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44"/>
      <c r="AL366" s="44"/>
      <c r="AM366" s="44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</row>
    <row r="367" spans="1:75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44"/>
      <c r="AL367" s="44"/>
      <c r="AM367" s="44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</row>
    <row r="368" spans="1:75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44"/>
      <c r="AL368" s="44"/>
      <c r="AM368" s="44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</row>
    <row r="369" spans="1:75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44"/>
      <c r="AL369" s="44"/>
      <c r="AM369" s="44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</row>
    <row r="370" spans="1:75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44"/>
      <c r="AL370" s="44"/>
      <c r="AM370" s="44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</row>
    <row r="371" spans="1:75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44"/>
      <c r="AL371" s="44"/>
      <c r="AM371" s="44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</row>
    <row r="372" spans="1:75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44"/>
      <c r="AL372" s="44"/>
      <c r="AM372" s="44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</row>
    <row r="373" spans="1:75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44"/>
      <c r="AL373" s="44"/>
      <c r="AM373" s="44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</row>
    <row r="374" spans="1:75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44"/>
      <c r="AL374" s="44"/>
      <c r="AM374" s="44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</row>
    <row r="375" spans="1:75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44"/>
      <c r="AL375" s="44"/>
      <c r="AM375" s="44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</row>
    <row r="376" spans="1:75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44"/>
      <c r="AL376" s="44"/>
      <c r="AM376" s="44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</row>
    <row r="377" spans="1:75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44"/>
      <c r="AL377" s="44"/>
      <c r="AM377" s="44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</row>
    <row r="378" spans="1:75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44"/>
      <c r="AL378" s="44"/>
      <c r="AM378" s="44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</row>
    <row r="379" spans="1:75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44"/>
      <c r="AL379" s="44"/>
      <c r="AM379" s="44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</row>
    <row r="380" spans="1:75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44"/>
      <c r="AL380" s="44"/>
      <c r="AM380" s="44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</row>
    <row r="381" spans="1:75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44"/>
      <c r="AL381" s="44"/>
      <c r="AM381" s="44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</row>
    <row r="382" spans="1:75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44"/>
      <c r="AL382" s="44"/>
      <c r="AM382" s="44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</row>
    <row r="383" spans="1:75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44"/>
      <c r="AL383" s="44"/>
      <c r="AM383" s="44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</row>
    <row r="384" spans="1:75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44"/>
      <c r="AL384" s="44"/>
      <c r="AM384" s="44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</row>
    <row r="385" spans="1:75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44"/>
      <c r="AL385" s="44"/>
      <c r="AM385" s="44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</row>
    <row r="386" spans="1:75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44"/>
      <c r="AL386" s="44"/>
      <c r="AM386" s="44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</row>
    <row r="387" spans="1:75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44"/>
      <c r="AL387" s="44"/>
      <c r="AM387" s="44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</row>
    <row r="388" spans="1:75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44"/>
      <c r="AL388" s="44"/>
      <c r="AM388" s="44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</row>
    <row r="389" spans="1:75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44"/>
      <c r="AL389" s="44"/>
      <c r="AM389" s="44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</row>
    <row r="390" spans="1:75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44"/>
      <c r="AL390" s="44"/>
      <c r="AM390" s="44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</row>
    <row r="391" spans="1:75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44"/>
      <c r="AL391" s="44"/>
      <c r="AM391" s="44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</row>
    <row r="392" spans="1:75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44"/>
      <c r="AL392" s="44"/>
      <c r="AM392" s="44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</row>
    <row r="393" spans="1:75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44"/>
      <c r="AL393" s="44"/>
      <c r="AM393" s="44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</row>
    <row r="394" spans="1:75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44"/>
      <c r="AL394" s="44"/>
      <c r="AM394" s="44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</row>
    <row r="395" spans="1:75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44"/>
      <c r="AL395" s="44"/>
      <c r="AM395" s="44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</row>
    <row r="396" spans="1:75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44"/>
      <c r="AL396" s="44"/>
      <c r="AM396" s="44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</row>
    <row r="397" spans="1:75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44"/>
      <c r="AL397" s="44"/>
      <c r="AM397" s="44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</row>
    <row r="398" spans="1:75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44"/>
      <c r="AL398" s="44"/>
      <c r="AM398" s="44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</row>
    <row r="399" spans="1:75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44"/>
      <c r="AL399" s="44"/>
      <c r="AM399" s="44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</row>
    <row r="400" spans="1:75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44"/>
      <c r="AL400" s="44"/>
      <c r="AM400" s="44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</row>
    <row r="401" spans="1:75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44"/>
      <c r="AL401" s="44"/>
      <c r="AM401" s="44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</row>
    <row r="402" spans="1:75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44"/>
      <c r="AL402" s="44"/>
      <c r="AM402" s="44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</row>
    <row r="403" spans="1:75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44"/>
      <c r="AL403" s="44"/>
      <c r="AM403" s="44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</row>
    <row r="404" spans="1:75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44"/>
      <c r="AL404" s="44"/>
      <c r="AM404" s="44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</row>
    <row r="405" spans="1:75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44"/>
      <c r="AL405" s="44"/>
      <c r="AM405" s="44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</row>
    <row r="406" spans="1:75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44"/>
      <c r="AL406" s="44"/>
      <c r="AM406" s="44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</row>
    <row r="407" spans="1:75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44"/>
      <c r="AL407" s="44"/>
      <c r="AM407" s="44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</row>
    <row r="408" spans="1:75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44"/>
      <c r="AL408" s="44"/>
      <c r="AM408" s="44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</row>
    <row r="409" spans="1:75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44"/>
      <c r="AL409" s="44"/>
      <c r="AM409" s="44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</row>
    <row r="410" spans="1:75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44"/>
      <c r="AL410" s="44"/>
      <c r="AM410" s="44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</row>
    <row r="411" spans="1:75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44"/>
      <c r="AL411" s="44"/>
      <c r="AM411" s="44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</row>
    <row r="412" spans="1:75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44"/>
      <c r="AL412" s="44"/>
      <c r="AM412" s="44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</row>
    <row r="413" spans="1:75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44"/>
      <c r="AL413" s="44"/>
      <c r="AM413" s="44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</row>
    <row r="414" spans="1:75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44"/>
      <c r="AL414" s="44"/>
      <c r="AM414" s="44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</row>
    <row r="415" spans="1:75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44"/>
      <c r="AL415" s="44"/>
      <c r="AM415" s="44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</row>
    <row r="416" spans="1:75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44"/>
      <c r="AL416" s="44"/>
      <c r="AM416" s="44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</row>
    <row r="417" spans="1:75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44"/>
      <c r="AL417" s="44"/>
      <c r="AM417" s="44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</row>
    <row r="418" spans="1:75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44"/>
      <c r="AL418" s="44"/>
      <c r="AM418" s="44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</row>
    <row r="419" spans="1:75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44"/>
      <c r="AL419" s="44"/>
      <c r="AM419" s="44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</row>
    <row r="420" spans="1:75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44"/>
      <c r="AL420" s="44"/>
      <c r="AM420" s="44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</row>
    <row r="421" spans="1:75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44"/>
      <c r="AL421" s="44"/>
      <c r="AM421" s="44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</row>
    <row r="422" spans="1:75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44"/>
      <c r="AL422" s="44"/>
      <c r="AM422" s="44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</row>
    <row r="423" spans="1:75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44"/>
      <c r="AL423" s="44"/>
      <c r="AM423" s="44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</row>
    <row r="424" spans="1:75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44"/>
      <c r="AL424" s="44"/>
      <c r="AM424" s="44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</row>
    <row r="425" spans="1:75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44"/>
      <c r="AL425" s="44"/>
      <c r="AM425" s="44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</row>
    <row r="426" spans="1:75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44"/>
      <c r="AL426" s="44"/>
      <c r="AM426" s="44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</row>
    <row r="427" spans="1:75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44"/>
      <c r="AL427" s="44"/>
      <c r="AM427" s="44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 spans="1:75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44"/>
      <c r="AL428" s="44"/>
      <c r="AM428" s="44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 spans="1:75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44"/>
      <c r="AL429" s="44"/>
      <c r="AM429" s="44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</row>
    <row r="430" spans="1:75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44"/>
      <c r="AL430" s="44"/>
      <c r="AM430" s="44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</row>
    <row r="431" spans="1:75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44"/>
      <c r="AL431" s="44"/>
      <c r="AM431" s="44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</row>
    <row r="432" spans="1:75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44"/>
      <c r="AL432" s="44"/>
      <c r="AM432" s="44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 spans="1:75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44"/>
      <c r="AL433" s="44"/>
      <c r="AM433" s="44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</row>
    <row r="434" spans="1:75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44"/>
      <c r="AL434" s="44"/>
      <c r="AM434" s="44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</row>
    <row r="435" spans="1:75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44"/>
      <c r="AL435" s="44"/>
      <c r="AM435" s="44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</row>
    <row r="436" spans="1:75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44"/>
      <c r="AL436" s="44"/>
      <c r="AM436" s="44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 spans="1:75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44"/>
      <c r="AL437" s="44"/>
      <c r="AM437" s="44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</row>
    <row r="438" spans="1:75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44"/>
      <c r="AL438" s="44"/>
      <c r="AM438" s="44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 spans="1:75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44"/>
      <c r="AL439" s="44"/>
      <c r="AM439" s="44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 spans="1:75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44"/>
      <c r="AL440" s="44"/>
      <c r="AM440" s="44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</row>
    <row r="441" spans="1:75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44"/>
      <c r="AL441" s="44"/>
      <c r="AM441" s="44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 spans="1:75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44"/>
      <c r="AL442" s="44"/>
      <c r="AM442" s="44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</row>
    <row r="443" spans="1:75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44"/>
      <c r="AL443" s="44"/>
      <c r="AM443" s="44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 spans="1:75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44"/>
      <c r="AL444" s="44"/>
      <c r="AM444" s="44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</row>
    <row r="445" spans="1:75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44"/>
      <c r="AL445" s="44"/>
      <c r="AM445" s="44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 spans="1:75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44"/>
      <c r="AL446" s="44"/>
      <c r="AM446" s="44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</row>
    <row r="447" spans="1:75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44"/>
      <c r="AL447" s="44"/>
      <c r="AM447" s="44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</row>
    <row r="448" spans="1:75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44"/>
      <c r="AL448" s="44"/>
      <c r="AM448" s="44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</row>
    <row r="449" spans="1:75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44"/>
      <c r="AL449" s="44"/>
      <c r="AM449" s="44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 spans="1:75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44"/>
      <c r="AL450" s="44"/>
      <c r="AM450" s="44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 spans="1:75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44"/>
      <c r="AL451" s="44"/>
      <c r="AM451" s="44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</row>
    <row r="452" spans="1:75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44"/>
      <c r="AL452" s="44"/>
      <c r="AM452" s="44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</row>
    <row r="453" spans="1:75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44"/>
      <c r="AL453" s="44"/>
      <c r="AM453" s="44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 spans="1:75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44"/>
      <c r="AL454" s="44"/>
      <c r="AM454" s="44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 spans="1:75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44"/>
      <c r="AL455" s="44"/>
      <c r="AM455" s="44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</row>
    <row r="456" spans="1:75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44"/>
      <c r="AL456" s="44"/>
      <c r="AM456" s="44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</row>
    <row r="457" spans="1:75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44"/>
      <c r="AL457" s="44"/>
      <c r="AM457" s="44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 spans="1:75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44"/>
      <c r="AL458" s="44"/>
      <c r="AM458" s="44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</row>
    <row r="459" spans="1:75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44"/>
      <c r="AL459" s="44"/>
      <c r="AM459" s="44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 spans="1:75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44"/>
      <c r="AL460" s="44"/>
      <c r="AM460" s="44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</row>
    <row r="461" spans="1:75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44"/>
      <c r="AL461" s="44"/>
      <c r="AM461" s="44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 spans="1:75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44"/>
      <c r="AL462" s="44"/>
      <c r="AM462" s="44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</row>
    <row r="463" spans="1:75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44"/>
      <c r="AL463" s="44"/>
      <c r="AM463" s="44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 spans="1:75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44"/>
      <c r="AL464" s="44"/>
      <c r="AM464" s="44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 spans="1:75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44"/>
      <c r="AL465" s="44"/>
      <c r="AM465" s="44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 spans="1:75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44"/>
      <c r="AL466" s="44"/>
      <c r="AM466" s="44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 spans="1:75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44"/>
      <c r="AL467" s="44"/>
      <c r="AM467" s="44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</row>
    <row r="468" spans="1:75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44"/>
      <c r="AL468" s="44"/>
      <c r="AM468" s="44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</row>
    <row r="469" spans="1:75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44"/>
      <c r="AL469" s="44"/>
      <c r="AM469" s="44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</row>
    <row r="470" spans="1:75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44"/>
      <c r="AL470" s="44"/>
      <c r="AM470" s="44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</row>
    <row r="471" spans="1:75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44"/>
      <c r="AL471" s="44"/>
      <c r="AM471" s="44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</row>
    <row r="472" spans="1:75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44"/>
      <c r="AL472" s="44"/>
      <c r="AM472" s="44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</row>
    <row r="473" spans="1:75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44"/>
      <c r="AL473" s="44"/>
      <c r="AM473" s="44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</row>
    <row r="474" spans="1:75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44"/>
      <c r="AL474" s="44"/>
      <c r="AM474" s="44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</row>
    <row r="475" spans="1:75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44"/>
      <c r="AL475" s="44"/>
      <c r="AM475" s="44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</row>
    <row r="476" spans="1:75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44"/>
      <c r="AL476" s="44"/>
      <c r="AM476" s="44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</row>
    <row r="477" spans="1:75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44"/>
      <c r="AL477" s="44"/>
      <c r="AM477" s="44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</row>
    <row r="478" spans="1:75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44"/>
      <c r="AL478" s="44"/>
      <c r="AM478" s="44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</row>
    <row r="479" spans="1:75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44"/>
      <c r="AL479" s="44"/>
      <c r="AM479" s="44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</row>
    <row r="480" spans="1:75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44"/>
      <c r="AL480" s="44"/>
      <c r="AM480" s="44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</row>
    <row r="481" spans="1:75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44"/>
      <c r="AL481" s="44"/>
      <c r="AM481" s="44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</row>
    <row r="482" spans="1:75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44"/>
      <c r="AL482" s="44"/>
      <c r="AM482" s="44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</row>
    <row r="483" spans="1:75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44"/>
      <c r="AL483" s="44"/>
      <c r="AM483" s="44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</row>
    <row r="484" spans="1:75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44"/>
      <c r="AL484" s="44"/>
      <c r="AM484" s="44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</row>
    <row r="485" spans="1:75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44"/>
      <c r="AL485" s="44"/>
      <c r="AM485" s="44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</row>
    <row r="486" spans="1:75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44"/>
      <c r="AL486" s="44"/>
      <c r="AM486" s="44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</row>
    <row r="487" spans="1:75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44"/>
      <c r="AL487" s="44"/>
      <c r="AM487" s="44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</row>
    <row r="488" spans="1:75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44"/>
      <c r="AL488" s="44"/>
      <c r="AM488" s="44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</row>
    <row r="489" spans="1:75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44"/>
      <c r="AL489" s="44"/>
      <c r="AM489" s="44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</row>
    <row r="490" spans="1:75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44"/>
      <c r="AL490" s="44"/>
      <c r="AM490" s="44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</row>
    <row r="491" spans="1:75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44"/>
      <c r="AL491" s="44"/>
      <c r="AM491" s="44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</row>
    <row r="492" spans="1:75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44"/>
      <c r="AL492" s="44"/>
      <c r="AM492" s="44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</row>
    <row r="493" spans="1:75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44"/>
      <c r="AL493" s="44"/>
      <c r="AM493" s="44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</row>
    <row r="494" spans="1:75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44"/>
      <c r="AL494" s="44"/>
      <c r="AM494" s="44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</row>
    <row r="495" spans="1:75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44"/>
      <c r="AL495" s="44"/>
      <c r="AM495" s="44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</row>
    <row r="496" spans="1:75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44"/>
      <c r="AL496" s="44"/>
      <c r="AM496" s="44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</row>
    <row r="497" spans="1:75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44"/>
      <c r="AL497" s="44"/>
      <c r="AM497" s="44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</row>
    <row r="498" spans="1:75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44"/>
      <c r="AL498" s="44"/>
      <c r="AM498" s="44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</row>
    <row r="499" spans="1:75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44"/>
      <c r="AL499" s="44"/>
      <c r="AM499" s="44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</row>
    <row r="500" spans="1:75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44"/>
      <c r="AL500" s="44"/>
      <c r="AM500" s="44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</row>
    <row r="501" spans="1:75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44"/>
      <c r="AL501" s="44"/>
      <c r="AM501" s="44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</row>
    <row r="502" spans="1:75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44"/>
      <c r="AL502" s="44"/>
      <c r="AM502" s="44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</row>
    <row r="503" spans="1:75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44"/>
      <c r="AL503" s="44"/>
      <c r="AM503" s="44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</row>
    <row r="504" spans="1:75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44"/>
      <c r="AL504" s="44"/>
      <c r="AM504" s="44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</row>
    <row r="505" spans="1:75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44"/>
      <c r="AL505" s="44"/>
      <c r="AM505" s="44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</row>
    <row r="506" spans="1:75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44"/>
      <c r="AL506" s="44"/>
      <c r="AM506" s="44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</row>
    <row r="507" spans="1:75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44"/>
      <c r="AL507" s="44"/>
      <c r="AM507" s="44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</row>
    <row r="508" spans="1:75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44"/>
      <c r="AL508" s="44"/>
      <c r="AM508" s="44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</row>
    <row r="509" spans="1:75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44"/>
      <c r="AL509" s="44"/>
      <c r="AM509" s="44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</row>
    <row r="510" spans="1:75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44"/>
      <c r="AL510" s="44"/>
      <c r="AM510" s="44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</row>
    <row r="511" spans="1:75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44"/>
      <c r="AL511" s="44"/>
      <c r="AM511" s="44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</row>
    <row r="512" spans="1:75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44"/>
      <c r="AL512" s="44"/>
      <c r="AM512" s="44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</row>
    <row r="513" spans="1:75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44"/>
      <c r="AL513" s="44"/>
      <c r="AM513" s="44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</row>
    <row r="514" spans="1:75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44"/>
      <c r="AL514" s="44"/>
      <c r="AM514" s="44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</row>
    <row r="515" spans="1:75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44"/>
      <c r="AL515" s="44"/>
      <c r="AM515" s="44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</row>
    <row r="516" spans="1:75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44"/>
      <c r="AL516" s="44"/>
      <c r="AM516" s="44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</row>
    <row r="517" spans="1:75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44"/>
      <c r="AL517" s="44"/>
      <c r="AM517" s="44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</row>
    <row r="518" spans="1:75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44"/>
      <c r="AL518" s="44"/>
      <c r="AM518" s="44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</row>
    <row r="519" spans="1:75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44"/>
      <c r="AL519" s="44"/>
      <c r="AM519" s="44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</row>
    <row r="520" spans="1:75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44"/>
      <c r="AL520" s="44"/>
      <c r="AM520" s="44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</row>
    <row r="521" spans="1:75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44"/>
      <c r="AL521" s="44"/>
      <c r="AM521" s="44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</row>
    <row r="522" spans="1:75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44"/>
      <c r="AL522" s="44"/>
      <c r="AM522" s="44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</row>
    <row r="523" spans="1:75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44"/>
      <c r="AL523" s="44"/>
      <c r="AM523" s="44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</row>
    <row r="524" spans="1:75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44"/>
      <c r="AL524" s="44"/>
      <c r="AM524" s="44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</row>
    <row r="525" spans="1:75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44"/>
      <c r="AL525" s="44"/>
      <c r="AM525" s="44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</row>
    <row r="526" spans="1:75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44"/>
      <c r="AL526" s="44"/>
      <c r="AM526" s="44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</row>
    <row r="527" spans="1:75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44"/>
      <c r="AL527" s="44"/>
      <c r="AM527" s="44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</row>
    <row r="528" spans="1:75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44"/>
      <c r="AL528" s="44"/>
      <c r="AM528" s="44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</row>
    <row r="529" spans="1:75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44"/>
      <c r="AL529" s="44"/>
      <c r="AM529" s="44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</row>
    <row r="530" spans="1:75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44"/>
      <c r="AL530" s="44"/>
      <c r="AM530" s="44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</row>
    <row r="531" spans="1:75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44"/>
      <c r="AL531" s="44"/>
      <c r="AM531" s="44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</row>
    <row r="532" spans="1:75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44"/>
      <c r="AL532" s="44"/>
      <c r="AM532" s="44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</row>
    <row r="533" spans="1:75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44"/>
      <c r="AL533" s="44"/>
      <c r="AM533" s="44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</row>
    <row r="534" spans="1:75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44"/>
      <c r="AL534" s="44"/>
      <c r="AM534" s="44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</row>
    <row r="535" spans="1:75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44"/>
      <c r="AL535" s="44"/>
      <c r="AM535" s="44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</row>
    <row r="536" spans="1:75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44"/>
      <c r="AL536" s="44"/>
      <c r="AM536" s="44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</row>
    <row r="537" spans="1:75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44"/>
      <c r="AL537" s="44"/>
      <c r="AM537" s="44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</row>
    <row r="538" spans="1:75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44"/>
      <c r="AL538" s="44"/>
      <c r="AM538" s="44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</row>
    <row r="539" spans="1:75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44"/>
      <c r="AL539" s="44"/>
      <c r="AM539" s="44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</row>
    <row r="540" spans="1:75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44"/>
      <c r="AL540" s="44"/>
      <c r="AM540" s="44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</row>
    <row r="541" spans="1:75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44"/>
      <c r="AL541" s="44"/>
      <c r="AM541" s="44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</row>
    <row r="542" spans="1:75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44"/>
      <c r="AL542" s="44"/>
      <c r="AM542" s="44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</row>
    <row r="543" spans="1:75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44"/>
      <c r="AL543" s="44"/>
      <c r="AM543" s="44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</row>
    <row r="544" spans="1:75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44"/>
      <c r="AL544" s="44"/>
      <c r="AM544" s="44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</row>
    <row r="545" spans="1:75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44"/>
      <c r="AL545" s="44"/>
      <c r="AM545" s="44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</row>
    <row r="546" spans="1:75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44"/>
      <c r="AL546" s="44"/>
      <c r="AM546" s="44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</row>
    <row r="547" spans="1:75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44"/>
      <c r="AL547" s="44"/>
      <c r="AM547" s="44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</row>
    <row r="548" spans="1:75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44"/>
      <c r="AL548" s="44"/>
      <c r="AM548" s="44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</row>
    <row r="549" spans="1:75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44"/>
      <c r="AL549" s="44"/>
      <c r="AM549" s="44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</row>
    <row r="550" spans="1:75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44"/>
      <c r="AL550" s="44"/>
      <c r="AM550" s="44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</row>
    <row r="551" spans="1:75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44"/>
      <c r="AL551" s="44"/>
      <c r="AM551" s="44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</row>
    <row r="552" spans="1:75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44"/>
      <c r="AL552" s="44"/>
      <c r="AM552" s="44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</row>
    <row r="553" spans="1:75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44"/>
      <c r="AL553" s="44"/>
      <c r="AM553" s="44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</row>
    <row r="554" spans="1:75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44"/>
      <c r="AL554" s="44"/>
      <c r="AM554" s="44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</row>
    <row r="555" spans="1:75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44"/>
      <c r="AL555" s="44"/>
      <c r="AM555" s="44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</row>
    <row r="556" spans="1:75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44"/>
      <c r="AL556" s="44"/>
      <c r="AM556" s="44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</row>
    <row r="557" spans="1:75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44"/>
      <c r="AL557" s="44"/>
      <c r="AM557" s="44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</row>
    <row r="558" spans="1:75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44"/>
      <c r="AL558" s="44"/>
      <c r="AM558" s="44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</row>
    <row r="559" spans="1:75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44"/>
      <c r="AL559" s="44"/>
      <c r="AM559" s="44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</row>
    <row r="560" spans="1:75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44"/>
      <c r="AL560" s="44"/>
      <c r="AM560" s="44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</row>
    <row r="561" spans="1:75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44"/>
      <c r="AL561" s="44"/>
      <c r="AM561" s="44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</row>
    <row r="562" spans="1:75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44"/>
      <c r="AL562" s="44"/>
      <c r="AM562" s="44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</row>
    <row r="563" spans="1:75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44"/>
      <c r="AL563" s="44"/>
      <c r="AM563" s="44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</row>
    <row r="564" spans="1:75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44"/>
      <c r="AL564" s="44"/>
      <c r="AM564" s="44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</row>
    <row r="565" spans="1:75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44"/>
      <c r="AL565" s="44"/>
      <c r="AM565" s="44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 spans="1:75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44"/>
      <c r="AL566" s="44"/>
      <c r="AM566" s="44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</row>
    <row r="567" spans="1:75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44"/>
      <c r="AL567" s="44"/>
      <c r="AM567" s="44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</row>
    <row r="568" spans="1:75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44"/>
      <c r="AL568" s="44"/>
      <c r="AM568" s="44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</row>
    <row r="569" spans="1:75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44"/>
      <c r="AL569" s="44"/>
      <c r="AM569" s="44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</row>
    <row r="570" spans="1:75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44"/>
      <c r="AL570" s="44"/>
      <c r="AM570" s="44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</row>
    <row r="571" spans="1:75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44"/>
      <c r="AL571" s="44"/>
      <c r="AM571" s="44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</row>
    <row r="572" spans="1:75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44"/>
      <c r="AL572" s="44"/>
      <c r="AM572" s="44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</row>
    <row r="573" spans="1:75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44"/>
      <c r="AL573" s="44"/>
      <c r="AM573" s="44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</row>
    <row r="574" spans="1:75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44"/>
      <c r="AL574" s="44"/>
      <c r="AM574" s="44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</row>
    <row r="575" spans="1:75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44"/>
      <c r="AL575" s="44"/>
      <c r="AM575" s="44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</row>
    <row r="576" spans="1:75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44"/>
      <c r="AL576" s="44"/>
      <c r="AM576" s="44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</row>
    <row r="577" spans="1:75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44"/>
      <c r="AL577" s="44"/>
      <c r="AM577" s="44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</row>
    <row r="578" spans="1:75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44"/>
      <c r="AL578" s="44"/>
      <c r="AM578" s="44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</row>
    <row r="579" spans="1:75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44"/>
      <c r="AL579" s="44"/>
      <c r="AM579" s="44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</row>
    <row r="580" spans="1:75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44"/>
      <c r="AL580" s="44"/>
      <c r="AM580" s="44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</row>
    <row r="581" spans="1:75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44"/>
      <c r="AL581" s="44"/>
      <c r="AM581" s="44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</row>
    <row r="582" spans="1:75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44"/>
      <c r="AL582" s="44"/>
      <c r="AM582" s="44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</row>
    <row r="583" spans="1:75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44"/>
      <c r="AL583" s="44"/>
      <c r="AM583" s="44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</row>
    <row r="584" spans="1:75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44"/>
      <c r="AL584" s="44"/>
      <c r="AM584" s="44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</row>
    <row r="585" spans="1:75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44"/>
      <c r="AL585" s="44"/>
      <c r="AM585" s="44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</row>
    <row r="586" spans="1:75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44"/>
      <c r="AL586" s="44"/>
      <c r="AM586" s="44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</row>
    <row r="587" spans="1:75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44"/>
      <c r="AL587" s="44"/>
      <c r="AM587" s="44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</row>
    <row r="588" spans="1:75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44"/>
      <c r="AL588" s="44"/>
      <c r="AM588" s="44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</row>
    <row r="589" spans="1:75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44"/>
      <c r="AL589" s="44"/>
      <c r="AM589" s="44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</row>
    <row r="590" spans="1:75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44"/>
      <c r="AL590" s="44"/>
      <c r="AM590" s="44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</row>
    <row r="591" spans="1:75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44"/>
      <c r="AL591" s="44"/>
      <c r="AM591" s="44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</row>
    <row r="592" spans="1:75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44"/>
      <c r="AL592" s="44"/>
      <c r="AM592" s="44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</row>
    <row r="593" spans="1:75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44"/>
      <c r="AL593" s="44"/>
      <c r="AM593" s="44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</row>
    <row r="594" spans="1:75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44"/>
      <c r="AL594" s="44"/>
      <c r="AM594" s="44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</row>
    <row r="595" spans="1:75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44"/>
      <c r="AL595" s="44"/>
      <c r="AM595" s="44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</row>
    <row r="596" spans="1:75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44"/>
      <c r="AL596" s="44"/>
      <c r="AM596" s="44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</row>
    <row r="597" spans="1:75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44"/>
      <c r="AL597" s="44"/>
      <c r="AM597" s="44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</row>
    <row r="598" spans="1:75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44"/>
      <c r="AL598" s="44"/>
      <c r="AM598" s="44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</row>
    <row r="599" spans="1:75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44"/>
      <c r="AL599" s="44"/>
      <c r="AM599" s="44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</row>
    <row r="600" spans="1:75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44"/>
      <c r="AL600" s="44"/>
      <c r="AM600" s="44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</row>
    <row r="601" spans="1:75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44"/>
      <c r="AL601" s="44"/>
      <c r="AM601" s="44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</row>
    <row r="602" spans="1:75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44"/>
      <c r="AL602" s="44"/>
      <c r="AM602" s="44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</row>
    <row r="603" spans="1:75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44"/>
      <c r="AL603" s="44"/>
      <c r="AM603" s="44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</row>
    <row r="604" spans="1:75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44"/>
      <c r="AL604" s="44"/>
      <c r="AM604" s="44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</row>
    <row r="605" spans="1:75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44"/>
      <c r="AL605" s="44"/>
      <c r="AM605" s="44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</row>
    <row r="606" spans="1:75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44"/>
      <c r="AL606" s="44"/>
      <c r="AM606" s="44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</row>
    <row r="607" spans="1:75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44"/>
      <c r="AL607" s="44"/>
      <c r="AM607" s="44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</row>
    <row r="608" spans="1:75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44"/>
      <c r="AL608" s="44"/>
      <c r="AM608" s="44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</row>
    <row r="609" spans="1:75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44"/>
      <c r="AL609" s="44"/>
      <c r="AM609" s="44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</row>
    <row r="610" spans="1:75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44"/>
      <c r="AL610" s="44"/>
      <c r="AM610" s="44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</row>
    <row r="611" spans="1:75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44"/>
      <c r="AL611" s="44"/>
      <c r="AM611" s="44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</row>
    <row r="612" spans="1:75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44"/>
      <c r="AL612" s="44"/>
      <c r="AM612" s="44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 spans="1:75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44"/>
      <c r="AL613" s="44"/>
      <c r="AM613" s="44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</row>
    <row r="614" spans="1:75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44"/>
      <c r="AL614" s="44"/>
      <c r="AM614" s="44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</row>
    <row r="615" spans="1:75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44"/>
      <c r="AL615" s="44"/>
      <c r="AM615" s="44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</row>
    <row r="616" spans="1:75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44"/>
      <c r="AL616" s="44"/>
      <c r="AM616" s="44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</row>
    <row r="617" spans="1:75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44"/>
      <c r="AL617" s="44"/>
      <c r="AM617" s="44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</row>
    <row r="618" spans="1:75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44"/>
      <c r="AL618" s="44"/>
      <c r="AM618" s="44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</row>
    <row r="619" spans="1:75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44"/>
      <c r="AL619" s="44"/>
      <c r="AM619" s="44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</row>
    <row r="620" spans="1:75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44"/>
      <c r="AL620" s="44"/>
      <c r="AM620" s="44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</row>
    <row r="621" spans="1:75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44"/>
      <c r="AL621" s="44"/>
      <c r="AM621" s="44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</row>
    <row r="622" spans="1:75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44"/>
      <c r="AL622" s="44"/>
      <c r="AM622" s="44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</row>
    <row r="623" spans="1:75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44"/>
      <c r="AL623" s="44"/>
      <c r="AM623" s="44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</row>
    <row r="624" spans="1:75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44"/>
      <c r="AL624" s="44"/>
      <c r="AM624" s="44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</row>
    <row r="625" spans="1:75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44"/>
      <c r="AL625" s="44"/>
      <c r="AM625" s="44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</row>
    <row r="626" spans="1:75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44"/>
      <c r="AL626" s="44"/>
      <c r="AM626" s="44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</row>
    <row r="627" spans="1:75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44"/>
      <c r="AL627" s="44"/>
      <c r="AM627" s="44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</row>
    <row r="628" spans="1:75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44"/>
      <c r="AL628" s="44"/>
      <c r="AM628" s="44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</row>
    <row r="629" spans="1:75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44"/>
      <c r="AL629" s="44"/>
      <c r="AM629" s="44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</row>
    <row r="630" spans="1:75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44"/>
      <c r="AL630" s="44"/>
      <c r="AM630" s="44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</row>
    <row r="631" spans="1:75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44"/>
      <c r="AL631" s="44"/>
      <c r="AM631" s="44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</row>
    <row r="632" spans="1:75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44"/>
      <c r="AL632" s="44"/>
      <c r="AM632" s="44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</row>
    <row r="633" spans="1:75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44"/>
      <c r="AL633" s="44"/>
      <c r="AM633" s="44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</row>
    <row r="634" spans="1:75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44"/>
      <c r="AL634" s="44"/>
      <c r="AM634" s="44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</row>
    <row r="635" spans="1:75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44"/>
      <c r="AL635" s="44"/>
      <c r="AM635" s="44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</row>
    <row r="636" spans="1:75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44"/>
      <c r="AL636" s="44"/>
      <c r="AM636" s="44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</row>
    <row r="637" spans="1:75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44"/>
      <c r="AL637" s="44"/>
      <c r="AM637" s="44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</row>
    <row r="638" spans="1:75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44"/>
      <c r="AL638" s="44"/>
      <c r="AM638" s="44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</row>
    <row r="639" spans="1:75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44"/>
      <c r="AL639" s="44"/>
      <c r="AM639" s="44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</row>
    <row r="640" spans="1:75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44"/>
      <c r="AL640" s="44"/>
      <c r="AM640" s="44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</row>
    <row r="641" spans="1:75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44"/>
      <c r="AL641" s="44"/>
      <c r="AM641" s="44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</row>
    <row r="642" spans="1:75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44"/>
      <c r="AL642" s="44"/>
      <c r="AM642" s="44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</row>
    <row r="643" spans="1:75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44"/>
      <c r="AL643" s="44"/>
      <c r="AM643" s="44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</row>
    <row r="644" spans="1:75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44"/>
      <c r="AL644" s="44"/>
      <c r="AM644" s="44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</row>
    <row r="645" spans="1:75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44"/>
      <c r="AL645" s="44"/>
      <c r="AM645" s="44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</row>
    <row r="646" spans="1:75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44"/>
      <c r="AL646" s="44"/>
      <c r="AM646" s="44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</row>
    <row r="647" spans="1:75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44"/>
      <c r="AL647" s="44"/>
      <c r="AM647" s="44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</row>
    <row r="648" spans="1:75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44"/>
      <c r="AL648" s="44"/>
      <c r="AM648" s="44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</row>
    <row r="649" spans="1:75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44"/>
      <c r="AL649" s="44"/>
      <c r="AM649" s="44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</row>
    <row r="650" spans="1:75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44"/>
      <c r="AL650" s="44"/>
      <c r="AM650" s="44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</row>
    <row r="651" spans="1:75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44"/>
      <c r="AL651" s="44"/>
      <c r="AM651" s="44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</row>
    <row r="652" spans="1:75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44"/>
      <c r="AL652" s="44"/>
      <c r="AM652" s="44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</row>
    <row r="653" spans="1:75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44"/>
      <c r="AL653" s="44"/>
      <c r="AM653" s="44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</row>
    <row r="654" spans="1:75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44"/>
      <c r="AL654" s="44"/>
      <c r="AM654" s="44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</row>
    <row r="655" spans="1:75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44"/>
      <c r="AL655" s="44"/>
      <c r="AM655" s="44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</row>
    <row r="656" spans="1:75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44"/>
      <c r="AL656" s="44"/>
      <c r="AM656" s="44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</row>
    <row r="657" spans="1:75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44"/>
      <c r="AL657" s="44"/>
      <c r="AM657" s="44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</row>
    <row r="658" spans="1:75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44"/>
      <c r="AL658" s="44"/>
      <c r="AM658" s="44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</row>
    <row r="659" spans="1:75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44"/>
      <c r="AL659" s="44"/>
      <c r="AM659" s="44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</row>
    <row r="660" spans="1:75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44"/>
      <c r="AL660" s="44"/>
      <c r="AM660" s="44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</row>
    <row r="661" spans="1:75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44"/>
      <c r="AL661" s="44"/>
      <c r="AM661" s="44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</row>
    <row r="662" spans="1:75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44"/>
      <c r="AL662" s="44"/>
      <c r="AM662" s="44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</row>
    <row r="663" spans="1:75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44"/>
      <c r="AL663" s="44"/>
      <c r="AM663" s="44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</row>
    <row r="664" spans="1:75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44"/>
      <c r="AL664" s="44"/>
      <c r="AM664" s="44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</row>
    <row r="665" spans="1:75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44"/>
      <c r="AL665" s="44"/>
      <c r="AM665" s="44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</row>
    <row r="666" spans="1:75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44"/>
      <c r="AL666" s="44"/>
      <c r="AM666" s="44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</row>
    <row r="667" spans="1:75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44"/>
      <c r="AL667" s="44"/>
      <c r="AM667" s="44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</row>
    <row r="668" spans="1:75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44"/>
      <c r="AL668" s="44"/>
      <c r="AM668" s="44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</row>
    <row r="669" spans="1:75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44"/>
      <c r="AL669" s="44"/>
      <c r="AM669" s="44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</row>
    <row r="670" spans="1:75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44"/>
      <c r="AL670" s="44"/>
      <c r="AM670" s="44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</row>
    <row r="671" spans="1:75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44"/>
      <c r="AL671" s="44"/>
      <c r="AM671" s="44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</row>
    <row r="672" spans="1:75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44"/>
      <c r="AL672" s="44"/>
      <c r="AM672" s="44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</row>
    <row r="673" spans="1:75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44"/>
      <c r="AL673" s="44"/>
      <c r="AM673" s="44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</row>
    <row r="674" spans="1:75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44"/>
      <c r="AL674" s="44"/>
      <c r="AM674" s="44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</row>
    <row r="675" spans="1:75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44"/>
      <c r="AL675" s="44"/>
      <c r="AM675" s="44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</row>
    <row r="676" spans="1:75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44"/>
      <c r="AL676" s="44"/>
      <c r="AM676" s="44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</row>
    <row r="677" spans="1:75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44"/>
      <c r="AL677" s="44"/>
      <c r="AM677" s="44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</row>
    <row r="678" spans="1:75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44"/>
      <c r="AL678" s="44"/>
      <c r="AM678" s="44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</row>
    <row r="679" spans="1:75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44"/>
      <c r="AL679" s="44"/>
      <c r="AM679" s="44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</row>
    <row r="680" spans="1:75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44"/>
      <c r="AL680" s="44"/>
      <c r="AM680" s="44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</row>
    <row r="681" spans="1:75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44"/>
      <c r="AL681" s="44"/>
      <c r="AM681" s="44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</row>
    <row r="682" spans="1:75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44"/>
      <c r="AL682" s="44"/>
      <c r="AM682" s="44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</row>
    <row r="683" spans="1:75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44"/>
      <c r="AL683" s="44"/>
      <c r="AM683" s="44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</row>
    <row r="684" spans="1:75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44"/>
      <c r="AL684" s="44"/>
      <c r="AM684" s="44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</row>
    <row r="685" spans="1:75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44"/>
      <c r="AL685" s="44"/>
      <c r="AM685" s="44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</row>
    <row r="686" spans="1:75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44"/>
      <c r="AL686" s="44"/>
      <c r="AM686" s="44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</row>
    <row r="687" spans="1:75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44"/>
      <c r="AL687" s="44"/>
      <c r="AM687" s="44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</row>
    <row r="688" spans="1:75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44"/>
      <c r="AL688" s="44"/>
      <c r="AM688" s="44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</row>
    <row r="689" spans="1:75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44"/>
      <c r="AL689" s="44"/>
      <c r="AM689" s="44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</row>
    <row r="690" spans="1:75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44"/>
      <c r="AL690" s="44"/>
      <c r="AM690" s="44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</row>
    <row r="691" spans="1:75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44"/>
      <c r="AL691" s="44"/>
      <c r="AM691" s="44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</row>
    <row r="692" spans="1:75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44"/>
      <c r="AL692" s="44"/>
      <c r="AM692" s="44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</row>
    <row r="693" spans="1:75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44"/>
      <c r="AL693" s="44"/>
      <c r="AM693" s="44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</row>
    <row r="694" spans="1:75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44"/>
      <c r="AL694" s="44"/>
      <c r="AM694" s="44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</row>
    <row r="695" spans="1:75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44"/>
      <c r="AL695" s="44"/>
      <c r="AM695" s="44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 spans="1:75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44"/>
      <c r="AL696" s="44"/>
      <c r="AM696" s="44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</row>
    <row r="697" spans="1:75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44"/>
      <c r="AL697" s="44"/>
      <c r="AM697" s="44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</row>
    <row r="698" spans="1:75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44"/>
      <c r="AL698" s="44"/>
      <c r="AM698" s="44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 spans="1:75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44"/>
      <c r="AL699" s="44"/>
      <c r="AM699" s="44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</row>
    <row r="700" spans="1:75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44"/>
      <c r="AL700" s="44"/>
      <c r="AM700" s="44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</row>
    <row r="701" spans="1:75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44"/>
      <c r="AL701" s="44"/>
      <c r="AM701" s="44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 spans="1:75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44"/>
      <c r="AL702" s="44"/>
      <c r="AM702" s="44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 spans="1:75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44"/>
      <c r="AL703" s="44"/>
      <c r="AM703" s="44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 spans="1:75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44"/>
      <c r="AL704" s="44"/>
      <c r="AM704" s="44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 spans="1:75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44"/>
      <c r="AL705" s="44"/>
      <c r="AM705" s="44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 spans="1:75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44"/>
      <c r="AL706" s="44"/>
      <c r="AM706" s="44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 spans="1:75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44"/>
      <c r="AL707" s="44"/>
      <c r="AM707" s="44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 spans="1:75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44"/>
      <c r="AL708" s="44"/>
      <c r="AM708" s="44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</row>
    <row r="709" spans="1:75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44"/>
      <c r="AL709" s="44"/>
      <c r="AM709" s="44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</row>
    <row r="710" spans="1:75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44"/>
      <c r="AL710" s="44"/>
      <c r="AM710" s="44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</row>
    <row r="711" spans="1:75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44"/>
      <c r="AL711" s="44"/>
      <c r="AM711" s="44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</row>
    <row r="712" spans="1:75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44"/>
      <c r="AL712" s="44"/>
      <c r="AM712" s="44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</row>
    <row r="713" spans="1:75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44"/>
      <c r="AL713" s="44"/>
      <c r="AM713" s="44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</row>
    <row r="714" spans="1:75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44"/>
      <c r="AL714" s="44"/>
      <c r="AM714" s="44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</row>
    <row r="715" spans="1:75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44"/>
      <c r="AL715" s="44"/>
      <c r="AM715" s="44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 spans="1:75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44"/>
      <c r="AL716" s="44"/>
      <c r="AM716" s="44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 spans="1:75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44"/>
      <c r="AL717" s="44"/>
      <c r="AM717" s="44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</row>
    <row r="718" spans="1:75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44"/>
      <c r="AL718" s="44"/>
      <c r="AM718" s="44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 spans="1:75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44"/>
      <c r="AL719" s="44"/>
      <c r="AM719" s="44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 spans="1:75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44"/>
      <c r="AL720" s="44"/>
      <c r="AM720" s="44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</row>
    <row r="721" spans="1:75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44"/>
      <c r="AL721" s="44"/>
      <c r="AM721" s="44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</row>
    <row r="722" spans="1:75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44"/>
      <c r="AL722" s="44"/>
      <c r="AM722" s="44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</row>
    <row r="723" spans="1:75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44"/>
      <c r="AL723" s="44"/>
      <c r="AM723" s="44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</row>
    <row r="724" spans="1:75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44"/>
      <c r="AL724" s="44"/>
      <c r="AM724" s="44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</row>
    <row r="725" spans="1:75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44"/>
      <c r="AL725" s="44"/>
      <c r="AM725" s="44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</row>
    <row r="726" spans="1:75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44"/>
      <c r="AL726" s="44"/>
      <c r="AM726" s="44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</row>
    <row r="727" spans="1:75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44"/>
      <c r="AL727" s="44"/>
      <c r="AM727" s="44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</row>
    <row r="728" spans="1:75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44"/>
      <c r="AL728" s="44"/>
      <c r="AM728" s="44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</row>
    <row r="729" spans="1:75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44"/>
      <c r="AL729" s="44"/>
      <c r="AM729" s="44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</row>
    <row r="730" spans="1:75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44"/>
      <c r="AL730" s="44"/>
      <c r="AM730" s="44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</row>
    <row r="731" spans="1:75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44"/>
      <c r="AL731" s="44"/>
      <c r="AM731" s="44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</row>
    <row r="732" spans="1:75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44"/>
      <c r="AL732" s="44"/>
      <c r="AM732" s="44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</row>
    <row r="733" spans="1:75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44"/>
      <c r="AL733" s="44"/>
      <c r="AM733" s="44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</row>
    <row r="734" spans="1:75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44"/>
      <c r="AL734" s="44"/>
      <c r="AM734" s="44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</row>
    <row r="735" spans="1:75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44"/>
      <c r="AL735" s="44"/>
      <c r="AM735" s="44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</row>
    <row r="736" spans="1:75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44"/>
      <c r="AL736" s="44"/>
      <c r="AM736" s="44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</row>
    <row r="737" spans="1:75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44"/>
      <c r="AL737" s="44"/>
      <c r="AM737" s="44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</row>
    <row r="738" spans="1:75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44"/>
      <c r="AL738" s="44"/>
      <c r="AM738" s="44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</row>
    <row r="739" spans="1:75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44"/>
      <c r="AL739" s="44"/>
      <c r="AM739" s="44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</row>
    <row r="740" spans="1:75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44"/>
      <c r="AL740" s="44"/>
      <c r="AM740" s="44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</row>
    <row r="741" spans="1:75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44"/>
      <c r="AL741" s="44"/>
      <c r="AM741" s="44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</row>
    <row r="742" spans="1:75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44"/>
      <c r="AL742" s="44"/>
      <c r="AM742" s="44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</row>
    <row r="743" spans="1:75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44"/>
      <c r="AL743" s="44"/>
      <c r="AM743" s="44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</row>
    <row r="744" spans="1:75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44"/>
      <c r="AL744" s="44"/>
      <c r="AM744" s="44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</row>
    <row r="745" spans="1:75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44"/>
      <c r="AL745" s="44"/>
      <c r="AM745" s="44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</row>
    <row r="746" spans="1:75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44"/>
      <c r="AL746" s="44"/>
      <c r="AM746" s="44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</row>
    <row r="747" spans="1:75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44"/>
      <c r="AL747" s="44"/>
      <c r="AM747" s="44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</row>
    <row r="748" spans="1:75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44"/>
      <c r="AL748" s="44"/>
      <c r="AM748" s="44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</row>
    <row r="749" spans="1:75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44"/>
      <c r="AL749" s="44"/>
      <c r="AM749" s="44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</row>
    <row r="750" spans="1:75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44"/>
      <c r="AL750" s="44"/>
      <c r="AM750" s="44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</row>
    <row r="751" spans="1:75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44"/>
      <c r="AL751" s="44"/>
      <c r="AM751" s="44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</row>
    <row r="752" spans="1:75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44"/>
      <c r="AL752" s="44"/>
      <c r="AM752" s="44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</row>
    <row r="753" spans="1:75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44"/>
      <c r="AL753" s="44"/>
      <c r="AM753" s="44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</row>
    <row r="754" spans="1:75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44"/>
      <c r="AL754" s="44"/>
      <c r="AM754" s="44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</row>
    <row r="755" spans="1:75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44"/>
      <c r="AL755" s="44"/>
      <c r="AM755" s="44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</row>
    <row r="756" spans="1:75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44"/>
      <c r="AL756" s="44"/>
      <c r="AM756" s="44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</row>
    <row r="757" spans="1:75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44"/>
      <c r="AL757" s="44"/>
      <c r="AM757" s="44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</row>
    <row r="758" spans="1:75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44"/>
      <c r="AL758" s="44"/>
      <c r="AM758" s="44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</row>
    <row r="759" spans="1:75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44"/>
      <c r="AL759" s="44"/>
      <c r="AM759" s="44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</row>
    <row r="760" spans="1:75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44"/>
      <c r="AL760" s="44"/>
      <c r="AM760" s="44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</row>
    <row r="761" spans="1:75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44"/>
      <c r="AL761" s="44"/>
      <c r="AM761" s="44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</row>
    <row r="762" spans="1:75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44"/>
      <c r="AL762" s="44"/>
      <c r="AM762" s="44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</row>
    <row r="763" spans="1:75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44"/>
      <c r="AL763" s="44"/>
      <c r="AM763" s="44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</row>
    <row r="764" spans="1:75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44"/>
      <c r="AL764" s="44"/>
      <c r="AM764" s="44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</row>
    <row r="765" spans="1:75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44"/>
      <c r="AL765" s="44"/>
      <c r="AM765" s="44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</row>
    <row r="766" spans="1:75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44"/>
      <c r="AL766" s="44"/>
      <c r="AM766" s="44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</row>
    <row r="767" spans="1:75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44"/>
      <c r="AL767" s="44"/>
      <c r="AM767" s="44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</row>
    <row r="768" spans="1:75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44"/>
      <c r="AL768" s="44"/>
      <c r="AM768" s="44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</row>
    <row r="769" spans="1:75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44"/>
      <c r="AL769" s="44"/>
      <c r="AM769" s="44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</row>
    <row r="770" spans="1:75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44"/>
      <c r="AL770" s="44"/>
      <c r="AM770" s="44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</row>
    <row r="771" spans="1:75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44"/>
      <c r="AL771" s="44"/>
      <c r="AM771" s="44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</row>
    <row r="772" spans="1:75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44"/>
      <c r="AL772" s="44"/>
      <c r="AM772" s="44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</row>
    <row r="773" spans="1:75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44"/>
      <c r="AL773" s="44"/>
      <c r="AM773" s="44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</row>
    <row r="774" spans="1:75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44"/>
      <c r="AL774" s="44"/>
      <c r="AM774" s="44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</row>
    <row r="775" spans="1:75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44"/>
      <c r="AL775" s="44"/>
      <c r="AM775" s="44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</row>
    <row r="776" spans="1:75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44"/>
      <c r="AL776" s="44"/>
      <c r="AM776" s="44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</row>
    <row r="777" spans="1:75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44"/>
      <c r="AL777" s="44"/>
      <c r="AM777" s="44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</row>
    <row r="778" spans="1:75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44"/>
      <c r="AL778" s="44"/>
      <c r="AM778" s="44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</row>
    <row r="779" spans="1:75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44"/>
      <c r="AL779" s="44"/>
      <c r="AM779" s="44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</row>
    <row r="780" spans="1:75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44"/>
      <c r="AL780" s="44"/>
      <c r="AM780" s="44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</row>
    <row r="781" spans="1:75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44"/>
      <c r="AL781" s="44"/>
      <c r="AM781" s="44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</row>
    <row r="782" spans="1:75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44"/>
      <c r="AL782" s="44"/>
      <c r="AM782" s="44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</row>
    <row r="783" spans="1:75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44"/>
      <c r="AL783" s="44"/>
      <c r="AM783" s="44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</row>
    <row r="784" spans="1:75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44"/>
      <c r="AL784" s="44"/>
      <c r="AM784" s="44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</row>
    <row r="785" spans="1:75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44"/>
      <c r="AL785" s="44"/>
      <c r="AM785" s="44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</row>
    <row r="786" spans="1:75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44"/>
      <c r="AL786" s="44"/>
      <c r="AM786" s="44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</row>
    <row r="787" spans="1:75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44"/>
      <c r="AL787" s="44"/>
      <c r="AM787" s="44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</row>
    <row r="788" spans="1:75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44"/>
      <c r="AL788" s="44"/>
      <c r="AM788" s="44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</row>
    <row r="789" spans="1:75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44"/>
      <c r="AL789" s="44"/>
      <c r="AM789" s="44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</row>
    <row r="790" spans="1:75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44"/>
      <c r="AL790" s="44"/>
      <c r="AM790" s="44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</row>
    <row r="791" spans="1:75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44"/>
      <c r="AL791" s="44"/>
      <c r="AM791" s="44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</row>
    <row r="792" spans="1:75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44"/>
      <c r="AL792" s="44"/>
      <c r="AM792" s="44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</row>
    <row r="793" spans="1:75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44"/>
      <c r="AL793" s="44"/>
      <c r="AM793" s="44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</row>
    <row r="794" spans="1:75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44"/>
      <c r="AL794" s="44"/>
      <c r="AM794" s="44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</row>
    <row r="795" spans="1:75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44"/>
      <c r="AL795" s="44"/>
      <c r="AM795" s="44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</row>
    <row r="796" spans="1:75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44"/>
      <c r="AL796" s="44"/>
      <c r="AM796" s="44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</row>
    <row r="797" spans="1:75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44"/>
      <c r="AL797" s="44"/>
      <c r="AM797" s="44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</row>
    <row r="798" spans="1:75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44"/>
      <c r="AL798" s="44"/>
      <c r="AM798" s="44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</row>
    <row r="799" spans="1:75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44"/>
      <c r="AL799" s="44"/>
      <c r="AM799" s="44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</row>
    <row r="800" spans="1:75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44"/>
      <c r="AL800" s="44"/>
      <c r="AM800" s="44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</row>
    <row r="801" spans="1:75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44"/>
      <c r="AL801" s="44"/>
      <c r="AM801" s="44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</row>
    <row r="802" spans="1:75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44"/>
      <c r="AL802" s="44"/>
      <c r="AM802" s="44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</row>
    <row r="803" spans="1:75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44"/>
      <c r="AL803" s="44"/>
      <c r="AM803" s="44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</row>
    <row r="804" spans="1:75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44"/>
      <c r="AL804" s="44"/>
      <c r="AM804" s="44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</row>
    <row r="805" spans="1:75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44"/>
      <c r="AL805" s="44"/>
      <c r="AM805" s="44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</row>
    <row r="806" spans="1:75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44"/>
      <c r="AL806" s="44"/>
      <c r="AM806" s="44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</row>
    <row r="807" spans="1:75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44"/>
      <c r="AL807" s="44"/>
      <c r="AM807" s="44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</row>
    <row r="808" spans="1:75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44"/>
      <c r="AL808" s="44"/>
      <c r="AM808" s="44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</row>
    <row r="809" spans="1:75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44"/>
      <c r="AL809" s="44"/>
      <c r="AM809" s="44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</row>
    <row r="810" spans="1:75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44"/>
      <c r="AL810" s="44"/>
      <c r="AM810" s="44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</row>
    <row r="811" spans="1:75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44"/>
      <c r="AL811" s="44"/>
      <c r="AM811" s="44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</row>
    <row r="812" spans="1:75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44"/>
      <c r="AL812" s="44"/>
      <c r="AM812" s="44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</row>
    <row r="813" spans="1:75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44"/>
      <c r="AL813" s="44"/>
      <c r="AM813" s="44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</row>
    <row r="814" spans="1:75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44"/>
      <c r="AL814" s="44"/>
      <c r="AM814" s="44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</row>
    <row r="815" spans="1:75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44"/>
      <c r="AL815" s="44"/>
      <c r="AM815" s="44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</row>
    <row r="816" spans="1:75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44"/>
      <c r="AL816" s="44"/>
      <c r="AM816" s="44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</row>
    <row r="817" spans="1:75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44"/>
      <c r="AL817" s="44"/>
      <c r="AM817" s="44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</row>
    <row r="818" spans="1:75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44"/>
      <c r="AL818" s="44"/>
      <c r="AM818" s="44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</row>
    <row r="819" spans="1:75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44"/>
      <c r="AL819" s="44"/>
      <c r="AM819" s="44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</row>
    <row r="820" spans="1:75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44"/>
      <c r="AL820" s="44"/>
      <c r="AM820" s="44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</row>
    <row r="821" spans="1:75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44"/>
      <c r="AL821" s="44"/>
      <c r="AM821" s="44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</row>
    <row r="822" spans="1:75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44"/>
      <c r="AL822" s="44"/>
      <c r="AM822" s="44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</row>
    <row r="823" spans="1:75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44"/>
      <c r="AL823" s="44"/>
      <c r="AM823" s="44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</row>
    <row r="824" spans="1:75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44"/>
      <c r="AL824" s="44"/>
      <c r="AM824" s="44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</row>
    <row r="825" spans="1:75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44"/>
      <c r="AL825" s="44"/>
      <c r="AM825" s="44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</row>
    <row r="826" spans="1:75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44"/>
      <c r="AL826" s="44"/>
      <c r="AM826" s="44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</row>
    <row r="827" spans="1:75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44"/>
      <c r="AL827" s="44"/>
      <c r="AM827" s="44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</row>
    <row r="828" spans="1:75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44"/>
      <c r="AL828" s="44"/>
      <c r="AM828" s="44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</row>
    <row r="829" spans="1:75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44"/>
      <c r="AL829" s="44"/>
      <c r="AM829" s="44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</row>
    <row r="830" spans="1:75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44"/>
      <c r="AL830" s="44"/>
      <c r="AM830" s="44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</row>
    <row r="831" spans="1:75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44"/>
      <c r="AL831" s="44"/>
      <c r="AM831" s="44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</row>
    <row r="832" spans="1:75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44"/>
      <c r="AL832" s="44"/>
      <c r="AM832" s="44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</row>
    <row r="833" spans="1:75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44"/>
      <c r="AL833" s="44"/>
      <c r="AM833" s="44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</row>
    <row r="834" spans="1:75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44"/>
      <c r="AL834" s="44"/>
      <c r="AM834" s="44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</row>
    <row r="835" spans="1:75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44"/>
      <c r="AL835" s="44"/>
      <c r="AM835" s="44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</row>
    <row r="836" spans="1:75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44"/>
      <c r="AL836" s="44"/>
      <c r="AM836" s="44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</row>
    <row r="837" spans="1:75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44"/>
      <c r="AL837" s="44"/>
      <c r="AM837" s="44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</row>
    <row r="838" spans="1:75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44"/>
      <c r="AL838" s="44"/>
      <c r="AM838" s="44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</row>
    <row r="839" spans="1:75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44"/>
      <c r="AL839" s="44"/>
      <c r="AM839" s="44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</row>
    <row r="840" spans="1:75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44"/>
      <c r="AL840" s="44"/>
      <c r="AM840" s="44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</row>
    <row r="841" spans="1:75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44"/>
      <c r="AL841" s="44"/>
      <c r="AM841" s="44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</row>
    <row r="842" spans="1:75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44"/>
      <c r="AL842" s="44"/>
      <c r="AM842" s="44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</row>
    <row r="843" spans="1:75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44"/>
      <c r="AL843" s="44"/>
      <c r="AM843" s="44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</row>
    <row r="844" spans="1:75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44"/>
      <c r="AL844" s="44"/>
      <c r="AM844" s="44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</row>
    <row r="845" spans="1:75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44"/>
      <c r="AL845" s="44"/>
      <c r="AM845" s="44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</row>
    <row r="846" spans="1:75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44"/>
      <c r="AL846" s="44"/>
      <c r="AM846" s="44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</row>
    <row r="847" spans="1:75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44"/>
      <c r="AL847" s="44"/>
      <c r="AM847" s="44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</row>
    <row r="848" spans="1:75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44"/>
      <c r="AL848" s="44"/>
      <c r="AM848" s="44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</row>
    <row r="849" spans="1:75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44"/>
      <c r="AL849" s="44"/>
      <c r="AM849" s="44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</row>
    <row r="850" spans="1:75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44"/>
      <c r="AL850" s="44"/>
      <c r="AM850" s="44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</row>
    <row r="851" spans="1:75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44"/>
      <c r="AL851" s="44"/>
      <c r="AM851" s="44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</row>
    <row r="852" spans="1:75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44"/>
      <c r="AL852" s="44"/>
      <c r="AM852" s="44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</row>
    <row r="853" spans="1:75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44"/>
      <c r="AL853" s="44"/>
      <c r="AM853" s="44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</row>
    <row r="854" spans="1:75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44"/>
      <c r="AL854" s="44"/>
      <c r="AM854" s="44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</row>
    <row r="855" spans="1:75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44"/>
      <c r="AL855" s="44"/>
      <c r="AM855" s="44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</row>
    <row r="856" spans="1:75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44"/>
      <c r="AL856" s="44"/>
      <c r="AM856" s="44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</row>
    <row r="857" spans="1:75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44"/>
      <c r="AL857" s="44"/>
      <c r="AM857" s="44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</row>
    <row r="858" spans="1:75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44"/>
      <c r="AL858" s="44"/>
      <c r="AM858" s="44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</row>
    <row r="859" spans="1:75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44"/>
      <c r="AL859" s="44"/>
      <c r="AM859" s="44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</row>
    <row r="860" spans="1:75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44"/>
      <c r="AL860" s="44"/>
      <c r="AM860" s="44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</row>
    <row r="861" spans="1:75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44"/>
      <c r="AL861" s="44"/>
      <c r="AM861" s="44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</row>
    <row r="862" spans="1:75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44"/>
      <c r="AL862" s="44"/>
      <c r="AM862" s="44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</row>
    <row r="863" spans="1:75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44"/>
      <c r="AL863" s="44"/>
      <c r="AM863" s="44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</row>
    <row r="864" spans="1:75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44"/>
      <c r="AL864" s="44"/>
      <c r="AM864" s="44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</row>
    <row r="865" spans="1:75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44"/>
      <c r="AL865" s="44"/>
      <c r="AM865" s="44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</row>
    <row r="866" spans="1:75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44"/>
      <c r="AL866" s="44"/>
      <c r="AM866" s="44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</row>
    <row r="867" spans="1:75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44"/>
      <c r="AL867" s="44"/>
      <c r="AM867" s="44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</row>
    <row r="868" spans="1:75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44"/>
      <c r="AL868" s="44"/>
      <c r="AM868" s="44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</row>
    <row r="869" spans="1:75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44"/>
      <c r="AL869" s="44"/>
      <c r="AM869" s="44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</row>
    <row r="870" spans="1:75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44"/>
      <c r="AL870" s="44"/>
      <c r="AM870" s="44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</row>
    <row r="871" spans="1:75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44"/>
      <c r="AL871" s="44"/>
      <c r="AM871" s="44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</row>
    <row r="872" spans="1:75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44"/>
      <c r="AL872" s="44"/>
      <c r="AM872" s="44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 spans="1:75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44"/>
      <c r="AL873" s="44"/>
      <c r="AM873" s="44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 spans="1:75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44"/>
      <c r="AL874" s="44"/>
      <c r="AM874" s="44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 spans="1:75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44"/>
      <c r="AL875" s="44"/>
      <c r="AM875" s="44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 spans="1:75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44"/>
      <c r="AL876" s="44"/>
      <c r="AM876" s="44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 spans="1:75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44"/>
      <c r="AL877" s="44"/>
      <c r="AM877" s="44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 spans="1:75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44"/>
      <c r="AL878" s="44"/>
      <c r="AM878" s="44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 spans="1:75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44"/>
      <c r="AL879" s="44"/>
      <c r="AM879" s="44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 spans="1:75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44"/>
      <c r="AL880" s="44"/>
      <c r="AM880" s="44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 spans="1:75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44"/>
      <c r="AL881" s="44"/>
      <c r="AM881" s="44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 spans="1:75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44"/>
      <c r="AL882" s="44"/>
      <c r="AM882" s="44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 spans="1:75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44"/>
      <c r="AL883" s="44"/>
      <c r="AM883" s="44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 spans="1:75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44"/>
      <c r="AL884" s="44"/>
      <c r="AM884" s="44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 spans="1:75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44"/>
      <c r="AL885" s="44"/>
      <c r="AM885" s="44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 spans="1:75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44"/>
      <c r="AL886" s="44"/>
      <c r="AM886" s="44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 spans="1:75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44"/>
      <c r="AL887" s="44"/>
      <c r="AM887" s="44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 spans="1:75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44"/>
      <c r="AL888" s="44"/>
      <c r="AM888" s="44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 spans="1:75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44"/>
      <c r="AL889" s="44"/>
      <c r="AM889" s="44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 spans="1:75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44"/>
      <c r="AL890" s="44"/>
      <c r="AM890" s="44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 spans="1:75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44"/>
      <c r="AL891" s="44"/>
      <c r="AM891" s="44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 spans="1:75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44"/>
      <c r="AL892" s="44"/>
      <c r="AM892" s="44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 spans="1:75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44"/>
      <c r="AL893" s="44"/>
      <c r="AM893" s="44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 spans="1:75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44"/>
      <c r="AL894" s="44"/>
      <c r="AM894" s="44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 spans="1:75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44"/>
      <c r="AL895" s="44"/>
      <c r="AM895" s="44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 spans="1:75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44"/>
      <c r="AL896" s="44"/>
      <c r="AM896" s="44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 spans="1:75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44"/>
      <c r="AL897" s="44"/>
      <c r="AM897" s="44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 spans="1:75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44"/>
      <c r="AL898" s="44"/>
      <c r="AM898" s="44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 spans="1:75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44"/>
      <c r="AL899" s="44"/>
      <c r="AM899" s="44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 spans="1:75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44"/>
      <c r="AL900" s="44"/>
      <c r="AM900" s="44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 spans="1:75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44"/>
      <c r="AL901" s="44"/>
      <c r="AM901" s="44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 spans="1:75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44"/>
      <c r="AL902" s="44"/>
      <c r="AM902" s="44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 spans="1:75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44"/>
      <c r="AL903" s="44"/>
      <c r="AM903" s="44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 spans="1:75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44"/>
      <c r="AL904" s="44"/>
      <c r="AM904" s="44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 spans="1:75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44"/>
      <c r="AL905" s="44"/>
      <c r="AM905" s="44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 spans="1:75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44"/>
      <c r="AL906" s="44"/>
      <c r="AM906" s="44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 spans="1:75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44"/>
      <c r="AL907" s="44"/>
      <c r="AM907" s="44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 spans="1:75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44"/>
      <c r="AL908" s="44"/>
      <c r="AM908" s="44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 spans="1:75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44"/>
      <c r="AL909" s="44"/>
      <c r="AM909" s="44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 spans="1:75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44"/>
      <c r="AL910" s="44"/>
      <c r="AM910" s="44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 spans="1:75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44"/>
      <c r="AL911" s="44"/>
      <c r="AM911" s="44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 spans="1:75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44"/>
      <c r="AL912" s="44"/>
      <c r="AM912" s="44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 spans="1:75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44"/>
      <c r="AL913" s="44"/>
      <c r="AM913" s="44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 spans="1:75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44"/>
      <c r="AL914" s="44"/>
      <c r="AM914" s="44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 spans="1:75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44"/>
      <c r="AL915" s="44"/>
      <c r="AM915" s="44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 spans="1:75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44"/>
      <c r="AL916" s="44"/>
      <c r="AM916" s="44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 spans="1:75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44"/>
      <c r="AL917" s="44"/>
      <c r="AM917" s="44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 spans="1:75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44"/>
      <c r="AL918" s="44"/>
      <c r="AM918" s="44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 spans="1:75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44"/>
      <c r="AL919" s="44"/>
      <c r="AM919" s="44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 spans="1:75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44"/>
      <c r="AL920" s="44"/>
      <c r="AM920" s="44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 spans="1:75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44"/>
      <c r="AL921" s="44"/>
      <c r="AM921" s="44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 spans="1:75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44"/>
      <c r="AL922" s="44"/>
      <c r="AM922" s="44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 spans="1:75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44"/>
      <c r="AL923" s="44"/>
      <c r="AM923" s="44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 spans="1:75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44"/>
      <c r="AL924" s="44"/>
      <c r="AM924" s="44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 spans="1:75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44"/>
      <c r="AL925" s="44"/>
      <c r="AM925" s="44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 spans="1:75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44"/>
      <c r="AL926" s="44"/>
      <c r="AM926" s="44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 spans="1:75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44"/>
      <c r="AL927" s="44"/>
      <c r="AM927" s="44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 spans="1:75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44"/>
      <c r="AL928" s="44"/>
      <c r="AM928" s="44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 spans="1:75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44"/>
      <c r="AL929" s="44"/>
      <c r="AM929" s="44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 spans="1:75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44"/>
      <c r="AL930" s="44"/>
      <c r="AM930" s="44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 spans="1:75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44"/>
      <c r="AL931" s="44"/>
      <c r="AM931" s="44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 spans="1:75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44"/>
      <c r="AL932" s="44"/>
      <c r="AM932" s="44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 spans="1:75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44"/>
      <c r="AL933" s="44"/>
      <c r="AM933" s="44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 spans="1:75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44"/>
      <c r="AL934" s="44"/>
      <c r="AM934" s="44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 spans="1:75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44"/>
      <c r="AL935" s="44"/>
      <c r="AM935" s="44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 spans="1:75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44"/>
      <c r="AL936" s="44"/>
      <c r="AM936" s="44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 spans="1:75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44"/>
      <c r="AL937" s="44"/>
      <c r="AM937" s="44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 spans="1:75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44"/>
      <c r="AL938" s="44"/>
      <c r="AM938" s="44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 spans="1:75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44"/>
      <c r="AL939" s="44"/>
      <c r="AM939" s="44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 spans="1:75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44"/>
      <c r="AL940" s="44"/>
      <c r="AM940" s="44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 spans="1:75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44"/>
      <c r="AL941" s="44"/>
      <c r="AM941" s="44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 spans="1:75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44"/>
      <c r="AL942" s="44"/>
      <c r="AM942" s="44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 spans="1:75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44"/>
      <c r="AL943" s="44"/>
      <c r="AM943" s="44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 spans="1:75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44"/>
      <c r="AL944" s="44"/>
      <c r="AM944" s="44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 spans="1:75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44"/>
      <c r="AL945" s="44"/>
      <c r="AM945" s="44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 spans="1:75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44"/>
      <c r="AL946" s="44"/>
      <c r="AM946" s="44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 spans="1:75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44"/>
      <c r="AL947" s="44"/>
      <c r="AM947" s="44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 spans="1:75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44"/>
      <c r="AL948" s="44"/>
      <c r="AM948" s="44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 spans="1:75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44"/>
      <c r="AL949" s="44"/>
      <c r="AM949" s="44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 spans="1:75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44"/>
      <c r="AL950" s="44"/>
      <c r="AM950" s="44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 spans="1:75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44"/>
      <c r="AL951" s="44"/>
      <c r="AM951" s="44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 spans="1:75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44"/>
      <c r="AL952" s="44"/>
      <c r="AM952" s="44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 spans="1:75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44"/>
      <c r="AL953" s="44"/>
      <c r="AM953" s="44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 spans="1:75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44"/>
      <c r="AL954" s="44"/>
      <c r="AM954" s="44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 spans="1:75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44"/>
      <c r="AL955" s="44"/>
      <c r="AM955" s="44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 spans="1:75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44"/>
      <c r="AL956" s="44"/>
      <c r="AM956" s="44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 spans="1:75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44"/>
      <c r="AL957" s="44"/>
      <c r="AM957" s="44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 spans="1:75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44"/>
      <c r="AL958" s="44"/>
      <c r="AM958" s="44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 spans="1:75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44"/>
      <c r="AL959" s="44"/>
      <c r="AM959" s="44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 spans="1:75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44"/>
      <c r="AL960" s="44"/>
      <c r="AM960" s="44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 spans="1:75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44"/>
      <c r="AL961" s="44"/>
      <c r="AM961" s="44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 spans="1:75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44"/>
      <c r="AL962" s="44"/>
      <c r="AM962" s="44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 spans="1:75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44"/>
      <c r="AL963" s="44"/>
      <c r="AM963" s="44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 spans="1:75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44"/>
      <c r="AL964" s="44"/>
      <c r="AM964" s="44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 spans="1:75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44"/>
      <c r="AL965" s="44"/>
      <c r="AM965" s="44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 spans="1:75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44"/>
      <c r="AL966" s="44"/>
      <c r="AM966" s="44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 spans="1:75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44"/>
      <c r="AL967" s="44"/>
      <c r="AM967" s="44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 spans="1:75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44"/>
      <c r="AL968" s="44"/>
      <c r="AM968" s="44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 spans="1:75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44"/>
      <c r="AL969" s="44"/>
      <c r="AM969" s="44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 spans="1:75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44"/>
      <c r="AL970" s="44"/>
      <c r="AM970" s="44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 spans="1:75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44"/>
      <c r="AL971" s="44"/>
      <c r="AM971" s="44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 spans="1:75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44"/>
      <c r="AL972" s="44"/>
      <c r="AM972" s="44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 spans="1:75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44"/>
      <c r="AL973" s="44"/>
      <c r="AM973" s="44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 spans="1:75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44"/>
      <c r="AL974" s="44"/>
      <c r="AM974" s="44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 spans="1:75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44"/>
      <c r="AL975" s="44"/>
      <c r="AM975" s="44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 spans="1:75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44"/>
      <c r="AL976" s="44"/>
      <c r="AM976" s="44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 spans="1:75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44"/>
      <c r="AL977" s="44"/>
      <c r="AM977" s="44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 spans="1:75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44"/>
      <c r="AL978" s="44"/>
      <c r="AM978" s="44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 spans="1:75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44"/>
      <c r="AL979" s="44"/>
      <c r="AM979" s="44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 spans="1:75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44"/>
      <c r="AL980" s="44"/>
      <c r="AM980" s="44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 spans="1:75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44"/>
      <c r="AL981" s="44"/>
      <c r="AM981" s="44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 spans="1:75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44"/>
      <c r="AL982" s="44"/>
      <c r="AM982" s="44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 spans="1:75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44"/>
      <c r="AL983" s="44"/>
      <c r="AM983" s="44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 spans="1:75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44"/>
      <c r="AL984" s="44"/>
      <c r="AM984" s="44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 spans="1:75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44"/>
      <c r="AL985" s="44"/>
      <c r="AM985" s="44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 spans="1:75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44"/>
      <c r="AL986" s="44"/>
      <c r="AM986" s="44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 spans="1:75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44"/>
      <c r="AL987" s="44"/>
      <c r="AM987" s="44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 spans="1:75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44"/>
      <c r="AL988" s="44"/>
      <c r="AM988" s="44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 spans="1:75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44"/>
      <c r="AL989" s="44"/>
      <c r="AM989" s="44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 spans="1:75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44"/>
      <c r="AL990" s="44"/>
      <c r="AM990" s="44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 spans="1:75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44"/>
      <c r="AL991" s="44"/>
      <c r="AM991" s="44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 spans="1:75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44"/>
      <c r="AL992" s="44"/>
      <c r="AM992" s="44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 spans="1:75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44"/>
      <c r="AL993" s="44"/>
      <c r="AM993" s="44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 spans="1:75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44"/>
      <c r="AL994" s="44"/>
      <c r="AM994" s="44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 spans="1:75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44"/>
      <c r="AL995" s="44"/>
      <c r="AM995" s="44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 spans="1:75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44"/>
      <c r="AL996" s="44"/>
      <c r="AM996" s="44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 spans="1:75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44"/>
      <c r="AL997" s="44"/>
      <c r="AM997" s="44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 spans="1:75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44"/>
      <c r="AL998" s="44"/>
      <c r="AM998" s="44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 spans="1:75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44"/>
      <c r="AL999" s="44"/>
      <c r="AM999" s="44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 spans="1:75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44"/>
      <c r="AL1000" s="44"/>
      <c r="AM1000" s="44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  <row r="1001" spans="1:75" ht="15.75" customHeight="1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44"/>
      <c r="AL1001" s="44"/>
      <c r="AM1001" s="44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</row>
    <row r="1002" spans="1:75" ht="15.75" customHeight="1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44"/>
      <c r="AL1002" s="44"/>
      <c r="AM1002" s="44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</row>
    <row r="1003" spans="1:75" ht="15.75" customHeight="1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44"/>
      <c r="AL1003" s="44"/>
      <c r="AM1003" s="44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</row>
    <row r="1004" spans="1:75" ht="15.75" customHeight="1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44"/>
      <c r="AL1004" s="44"/>
      <c r="AM1004" s="44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</row>
    <row r="1005" spans="1:75" ht="15.75" customHeight="1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44"/>
      <c r="AL1005" s="44"/>
      <c r="AM1005" s="44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</row>
    <row r="1006" spans="1:75" ht="15.75" customHeight="1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44"/>
      <c r="AL1006" s="44"/>
      <c r="AM1006" s="44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</row>
    <row r="1007" spans="1:75" ht="15.75" customHeight="1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44"/>
      <c r="AL1007" s="44"/>
      <c r="AM1007" s="44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</row>
    <row r="1008" spans="1:75" ht="15.75" customHeight="1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44"/>
      <c r="AL1008" s="44"/>
      <c r="AM1008" s="44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</row>
    <row r="1009" spans="1:75" ht="15.75" customHeight="1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44"/>
      <c r="AL1009" s="44"/>
      <c r="AM1009" s="44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</row>
  </sheetData>
  <mergeCells count="53">
    <mergeCell ref="B123:C123"/>
    <mergeCell ref="D123:E123"/>
    <mergeCell ref="Y7:AA7"/>
    <mergeCell ref="AB7:AD7"/>
    <mergeCell ref="D8:F8"/>
    <mergeCell ref="G8:I8"/>
    <mergeCell ref="J8:L8"/>
    <mergeCell ref="M8:O8"/>
    <mergeCell ref="S8:U8"/>
    <mergeCell ref="V8:X8"/>
    <mergeCell ref="Y8:AA8"/>
    <mergeCell ref="P7:R7"/>
    <mergeCell ref="P8:R8"/>
    <mergeCell ref="D6:BW6"/>
    <mergeCell ref="B122:C122"/>
    <mergeCell ref="D122:E122"/>
    <mergeCell ref="D7:F7"/>
    <mergeCell ref="G7:I7"/>
    <mergeCell ref="J7:L7"/>
    <mergeCell ref="M7:O7"/>
    <mergeCell ref="S7:U7"/>
    <mergeCell ref="V7:X7"/>
    <mergeCell ref="AW7:AY7"/>
    <mergeCell ref="AZ7:BB7"/>
    <mergeCell ref="BC7:BE7"/>
    <mergeCell ref="BI7:BK7"/>
    <mergeCell ref="BI8:BK8"/>
    <mergeCell ref="BL8:BN8"/>
    <mergeCell ref="AH8:AJ8"/>
    <mergeCell ref="BO8:BQ8"/>
    <mergeCell ref="AZ8:BB8"/>
    <mergeCell ref="BC8:BE8"/>
    <mergeCell ref="BL7:BN7"/>
    <mergeCell ref="AE7:AG7"/>
    <mergeCell ref="AK7:AM7"/>
    <mergeCell ref="AN7:AP7"/>
    <mergeCell ref="AQ7:AS7"/>
    <mergeCell ref="AH7:AJ7"/>
    <mergeCell ref="BU7:BW7"/>
    <mergeCell ref="BU8:BW8"/>
    <mergeCell ref="BF7:BH7"/>
    <mergeCell ref="BF8:BH8"/>
    <mergeCell ref="BO7:BQ7"/>
    <mergeCell ref="BR7:BT7"/>
    <mergeCell ref="AT7:AV7"/>
    <mergeCell ref="BR8:BT8"/>
    <mergeCell ref="AB8:AD8"/>
    <mergeCell ref="AE8:AG8"/>
    <mergeCell ref="AK8:AM8"/>
    <mergeCell ref="AN8:AP8"/>
    <mergeCell ref="AQ8:AS8"/>
    <mergeCell ref="AT8:AV8"/>
    <mergeCell ref="AW8:AY8"/>
  </mergeCells>
  <conditionalFormatting sqref="AK3">
    <cfRule type="notContainsBlanks" dxfId="1" priority="1">
      <formula>LEN(TRIM(AK3))&gt;0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986"/>
  <sheetViews>
    <sheetView zoomScale="80" zoomScaleNormal="80" workbookViewId="0">
      <selection activeCell="A80" sqref="A80"/>
    </sheetView>
  </sheetViews>
  <sheetFormatPr defaultColWidth="14.453125" defaultRowHeight="15" customHeight="1" x14ac:dyDescent="0.35"/>
  <cols>
    <col min="1" max="1" width="24.81640625" style="1" customWidth="1"/>
    <col min="2" max="2" width="16.81640625" style="1" customWidth="1"/>
    <col min="3" max="3" width="22.81640625" style="1" customWidth="1"/>
    <col min="4" max="4" width="18.81640625" style="1" customWidth="1"/>
    <col min="5" max="8" width="17.1796875" style="1" customWidth="1"/>
    <col min="9" max="47" width="14.54296875" style="1" customWidth="1"/>
    <col min="48" max="50" width="15.54296875" style="1" customWidth="1"/>
    <col min="51" max="59" width="14.81640625" style="1" customWidth="1"/>
    <col min="60" max="68" width="16.81640625" style="1" customWidth="1"/>
    <col min="69" max="71" width="12.81640625" style="1" customWidth="1"/>
    <col min="72" max="16384" width="14.453125" style="1"/>
  </cols>
  <sheetData>
    <row r="1" spans="1:71" ht="49.5" customHeight="1" x14ac:dyDescent="0.5">
      <c r="A1" s="132"/>
      <c r="B1" s="132"/>
      <c r="C1" s="133" t="s">
        <v>0</v>
      </c>
      <c r="D1" s="134"/>
      <c r="E1" s="160"/>
      <c r="F1" s="160"/>
      <c r="G1" s="160"/>
      <c r="H1" s="160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</row>
    <row r="2" spans="1:71" ht="20.25" customHeight="1" x14ac:dyDescent="0.35">
      <c r="A2" s="132"/>
      <c r="B2" s="132"/>
      <c r="C2" s="134"/>
      <c r="D2" s="134"/>
      <c r="E2" s="160"/>
      <c r="F2" s="160"/>
      <c r="G2" s="160"/>
      <c r="H2" s="160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28"/>
      <c r="AX2" s="128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</row>
    <row r="3" spans="1:71" ht="14.25" customHeight="1" x14ac:dyDescent="0.35">
      <c r="A3" s="130"/>
      <c r="B3" s="130"/>
      <c r="C3" s="151" t="s">
        <v>1</v>
      </c>
      <c r="D3" s="151" t="s">
        <v>2</v>
      </c>
      <c r="E3" s="162"/>
      <c r="F3" s="162"/>
      <c r="G3" s="162"/>
      <c r="H3" s="162"/>
      <c r="I3" s="162"/>
      <c r="J3" s="162"/>
      <c r="K3" s="163"/>
      <c r="L3" s="162"/>
      <c r="M3" s="162"/>
      <c r="N3" s="163"/>
      <c r="O3" s="162"/>
      <c r="P3" s="162"/>
      <c r="Q3" s="163"/>
      <c r="R3" s="162"/>
      <c r="S3" s="162"/>
      <c r="T3" s="163"/>
      <c r="U3" s="130"/>
      <c r="V3" s="130"/>
      <c r="W3" s="128"/>
      <c r="X3" s="130"/>
      <c r="Y3" s="130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35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28"/>
      <c r="AX3" s="128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</row>
    <row r="4" spans="1:71" ht="14.5" x14ac:dyDescent="0.35">
      <c r="A4" s="154" t="s">
        <v>3</v>
      </c>
      <c r="B4" s="152" t="str">
        <f>'China_TWN_SIN_HKG_KR Dry'!B4</f>
        <v>FAK</v>
      </c>
      <c r="C4" s="227">
        <v>46249</v>
      </c>
      <c r="D4" s="227">
        <v>46265</v>
      </c>
      <c r="E4" s="162"/>
      <c r="F4" s="162"/>
      <c r="G4" s="162"/>
      <c r="H4" s="162"/>
      <c r="I4" s="162"/>
      <c r="J4" s="162"/>
      <c r="K4" s="163"/>
      <c r="L4" s="162"/>
      <c r="M4" s="162"/>
      <c r="N4" s="163"/>
      <c r="O4" s="162"/>
      <c r="P4" s="162"/>
      <c r="Q4" s="163"/>
      <c r="R4" s="162"/>
      <c r="S4" s="162"/>
      <c r="T4" s="163"/>
      <c r="U4" s="130"/>
      <c r="V4" s="130"/>
      <c r="W4" s="128"/>
      <c r="X4" s="130"/>
      <c r="Y4" s="130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</row>
    <row r="5" spans="1:71" ht="14.25" customHeight="1" x14ac:dyDescent="0.35">
      <c r="A5" s="130"/>
      <c r="B5" s="130"/>
      <c r="C5" s="131"/>
      <c r="D5" s="131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</row>
    <row r="6" spans="1:71" ht="14.25" customHeight="1" x14ac:dyDescent="0.35">
      <c r="A6" s="137"/>
      <c r="B6" s="137"/>
      <c r="C6" s="349" t="s">
        <v>4</v>
      </c>
      <c r="D6" s="337"/>
      <c r="E6" s="337"/>
      <c r="F6" s="337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7"/>
      <c r="AW6" s="337"/>
      <c r="AX6" s="337"/>
      <c r="AY6" s="337"/>
      <c r="AZ6" s="337"/>
      <c r="BA6" s="337"/>
      <c r="BB6" s="337"/>
      <c r="BC6" s="337"/>
      <c r="BD6" s="337"/>
      <c r="BE6" s="337"/>
      <c r="BF6" s="337"/>
      <c r="BG6" s="337"/>
      <c r="BH6" s="337"/>
      <c r="BI6" s="337"/>
      <c r="BJ6" s="337"/>
      <c r="BK6" s="337"/>
      <c r="BL6" s="337"/>
      <c r="BM6" s="337"/>
      <c r="BN6" s="350"/>
      <c r="BO6" s="350"/>
      <c r="BP6" s="350"/>
      <c r="BQ6" s="337"/>
      <c r="BR6" s="337"/>
      <c r="BS6" s="338"/>
    </row>
    <row r="7" spans="1:71" ht="53.15" customHeight="1" x14ac:dyDescent="0.35">
      <c r="A7" s="138"/>
      <c r="B7" s="139"/>
      <c r="C7" s="345" t="s">
        <v>5</v>
      </c>
      <c r="D7" s="337"/>
      <c r="E7" s="338"/>
      <c r="F7" s="345" t="s">
        <v>6</v>
      </c>
      <c r="G7" s="337"/>
      <c r="H7" s="338"/>
      <c r="I7" s="345" t="s">
        <v>7</v>
      </c>
      <c r="J7" s="337"/>
      <c r="K7" s="338"/>
      <c r="L7" s="348" t="s">
        <v>453</v>
      </c>
      <c r="M7" s="344"/>
      <c r="N7" s="344"/>
      <c r="O7" s="348" t="s">
        <v>455</v>
      </c>
      <c r="P7" s="344"/>
      <c r="Q7" s="344"/>
      <c r="R7" s="345" t="s">
        <v>8</v>
      </c>
      <c r="S7" s="337"/>
      <c r="T7" s="338"/>
      <c r="U7" s="345" t="s">
        <v>9</v>
      </c>
      <c r="V7" s="337"/>
      <c r="W7" s="338"/>
      <c r="X7" s="345" t="s">
        <v>10</v>
      </c>
      <c r="Y7" s="337"/>
      <c r="Z7" s="338"/>
      <c r="AA7" s="345" t="s">
        <v>11</v>
      </c>
      <c r="AB7" s="337"/>
      <c r="AC7" s="338"/>
      <c r="AD7" s="345" t="s">
        <v>12</v>
      </c>
      <c r="AE7" s="337"/>
      <c r="AF7" s="338"/>
      <c r="AG7" s="345" t="s">
        <v>488</v>
      </c>
      <c r="AH7" s="337"/>
      <c r="AI7" s="338"/>
      <c r="AJ7" s="345" t="s">
        <v>13</v>
      </c>
      <c r="AK7" s="337"/>
      <c r="AL7" s="338"/>
      <c r="AM7" s="345" t="s">
        <v>14</v>
      </c>
      <c r="AN7" s="337"/>
      <c r="AO7" s="338"/>
      <c r="AP7" s="345" t="s">
        <v>15</v>
      </c>
      <c r="AQ7" s="337"/>
      <c r="AR7" s="338"/>
      <c r="AS7" s="345" t="s">
        <v>16</v>
      </c>
      <c r="AT7" s="337"/>
      <c r="AU7" s="338"/>
      <c r="AV7" s="345" t="s">
        <v>17</v>
      </c>
      <c r="AW7" s="337"/>
      <c r="AX7" s="338"/>
      <c r="AY7" s="351" t="s">
        <v>18</v>
      </c>
      <c r="AZ7" s="337"/>
      <c r="BA7" s="338"/>
      <c r="BB7" s="345" t="s">
        <v>19</v>
      </c>
      <c r="BC7" s="337"/>
      <c r="BD7" s="338"/>
      <c r="BE7" s="345" t="s">
        <v>412</v>
      </c>
      <c r="BF7" s="337"/>
      <c r="BG7" s="338"/>
      <c r="BH7" s="352" t="s">
        <v>20</v>
      </c>
      <c r="BI7" s="337"/>
      <c r="BJ7" s="338"/>
      <c r="BK7" s="352" t="s">
        <v>21</v>
      </c>
      <c r="BL7" s="337"/>
      <c r="BM7" s="337"/>
      <c r="BN7" s="340" t="s">
        <v>22</v>
      </c>
      <c r="BO7" s="341"/>
      <c r="BP7" s="342"/>
      <c r="BQ7" s="353" t="s">
        <v>476</v>
      </c>
      <c r="BR7" s="354"/>
      <c r="BS7" s="355"/>
    </row>
    <row r="8" spans="1:71" ht="19.5" customHeight="1" x14ac:dyDescent="0.35">
      <c r="A8" s="140"/>
      <c r="B8" s="141"/>
      <c r="C8" s="336" t="s">
        <v>23</v>
      </c>
      <c r="D8" s="337"/>
      <c r="E8" s="338"/>
      <c r="F8" s="336" t="s">
        <v>24</v>
      </c>
      <c r="G8" s="337"/>
      <c r="H8" s="338"/>
      <c r="I8" s="336" t="s">
        <v>25</v>
      </c>
      <c r="J8" s="337"/>
      <c r="K8" s="338"/>
      <c r="L8" s="343" t="s">
        <v>454</v>
      </c>
      <c r="M8" s="344"/>
      <c r="N8" s="344"/>
      <c r="O8" s="343" t="s">
        <v>452</v>
      </c>
      <c r="P8" s="344"/>
      <c r="Q8" s="344"/>
      <c r="R8" s="336" t="s">
        <v>26</v>
      </c>
      <c r="S8" s="337"/>
      <c r="T8" s="338"/>
      <c r="U8" s="336" t="s">
        <v>27</v>
      </c>
      <c r="V8" s="337"/>
      <c r="W8" s="338"/>
      <c r="X8" s="336" t="s">
        <v>28</v>
      </c>
      <c r="Y8" s="337"/>
      <c r="Z8" s="338"/>
      <c r="AA8" s="336" t="s">
        <v>29</v>
      </c>
      <c r="AB8" s="337"/>
      <c r="AC8" s="338"/>
      <c r="AD8" s="336" t="s">
        <v>30</v>
      </c>
      <c r="AE8" s="337"/>
      <c r="AF8" s="338"/>
      <c r="AG8" s="336" t="s">
        <v>489</v>
      </c>
      <c r="AH8" s="337"/>
      <c r="AI8" s="338"/>
      <c r="AJ8" s="336" t="s">
        <v>31</v>
      </c>
      <c r="AK8" s="337"/>
      <c r="AL8" s="338"/>
      <c r="AM8" s="336" t="s">
        <v>32</v>
      </c>
      <c r="AN8" s="337"/>
      <c r="AO8" s="338"/>
      <c r="AP8" s="336" t="s">
        <v>33</v>
      </c>
      <c r="AQ8" s="337"/>
      <c r="AR8" s="338"/>
      <c r="AS8" s="336" t="s">
        <v>34</v>
      </c>
      <c r="AT8" s="337"/>
      <c r="AU8" s="338"/>
      <c r="AV8" s="336" t="s">
        <v>35</v>
      </c>
      <c r="AW8" s="337"/>
      <c r="AX8" s="338"/>
      <c r="AY8" s="339" t="s">
        <v>36</v>
      </c>
      <c r="AZ8" s="337"/>
      <c r="BA8" s="338"/>
      <c r="BB8" s="339" t="s">
        <v>37</v>
      </c>
      <c r="BC8" s="337"/>
      <c r="BD8" s="338"/>
      <c r="BE8" s="339" t="s">
        <v>411</v>
      </c>
      <c r="BF8" s="337"/>
      <c r="BG8" s="338"/>
      <c r="BH8" s="359" t="s">
        <v>38</v>
      </c>
      <c r="BI8" s="337"/>
      <c r="BJ8" s="338"/>
      <c r="BK8" s="359" t="s">
        <v>39</v>
      </c>
      <c r="BL8" s="337"/>
      <c r="BM8" s="337"/>
      <c r="BN8" s="346" t="s">
        <v>40</v>
      </c>
      <c r="BO8" s="337"/>
      <c r="BP8" s="347"/>
      <c r="BQ8" s="356" t="s">
        <v>41</v>
      </c>
      <c r="BR8" s="357"/>
      <c r="BS8" s="358"/>
    </row>
    <row r="9" spans="1:71" ht="14.25" customHeight="1" x14ac:dyDescent="0.35">
      <c r="A9" s="142" t="s">
        <v>42</v>
      </c>
      <c r="B9" s="142" t="s">
        <v>44</v>
      </c>
      <c r="C9" s="143" t="s">
        <v>45</v>
      </c>
      <c r="D9" s="143" t="s">
        <v>46</v>
      </c>
      <c r="E9" s="143" t="s">
        <v>47</v>
      </c>
      <c r="F9" s="143" t="s">
        <v>45</v>
      </c>
      <c r="G9" s="143" t="s">
        <v>46</v>
      </c>
      <c r="H9" s="143" t="s">
        <v>47</v>
      </c>
      <c r="I9" s="143" t="s">
        <v>45</v>
      </c>
      <c r="J9" s="143" t="s">
        <v>46</v>
      </c>
      <c r="K9" s="143" t="s">
        <v>47</v>
      </c>
      <c r="L9" s="143" t="s">
        <v>45</v>
      </c>
      <c r="M9" s="143" t="s">
        <v>46</v>
      </c>
      <c r="N9" s="143" t="s">
        <v>47</v>
      </c>
      <c r="O9" s="143" t="s">
        <v>45</v>
      </c>
      <c r="P9" s="143" t="s">
        <v>46</v>
      </c>
      <c r="Q9" s="143" t="s">
        <v>47</v>
      </c>
      <c r="R9" s="143" t="s">
        <v>45</v>
      </c>
      <c r="S9" s="143" t="s">
        <v>46</v>
      </c>
      <c r="T9" s="143" t="s">
        <v>47</v>
      </c>
      <c r="U9" s="143" t="s">
        <v>45</v>
      </c>
      <c r="V9" s="143" t="s">
        <v>46</v>
      </c>
      <c r="W9" s="143" t="s">
        <v>47</v>
      </c>
      <c r="X9" s="143" t="s">
        <v>45</v>
      </c>
      <c r="Y9" s="143" t="s">
        <v>46</v>
      </c>
      <c r="Z9" s="143" t="s">
        <v>47</v>
      </c>
      <c r="AA9" s="143" t="s">
        <v>45</v>
      </c>
      <c r="AB9" s="143" t="s">
        <v>46</v>
      </c>
      <c r="AC9" s="143" t="s">
        <v>47</v>
      </c>
      <c r="AD9" s="143" t="s">
        <v>45</v>
      </c>
      <c r="AE9" s="143" t="s">
        <v>46</v>
      </c>
      <c r="AF9" s="143" t="s">
        <v>47</v>
      </c>
      <c r="AG9" s="143" t="s">
        <v>45</v>
      </c>
      <c r="AH9" s="143" t="s">
        <v>46</v>
      </c>
      <c r="AI9" s="143" t="s">
        <v>47</v>
      </c>
      <c r="AJ9" s="143" t="s">
        <v>45</v>
      </c>
      <c r="AK9" s="143" t="s">
        <v>46</v>
      </c>
      <c r="AL9" s="143" t="s">
        <v>47</v>
      </c>
      <c r="AM9" s="143" t="s">
        <v>45</v>
      </c>
      <c r="AN9" s="143" t="s">
        <v>46</v>
      </c>
      <c r="AO9" s="143" t="s">
        <v>47</v>
      </c>
      <c r="AP9" s="143" t="s">
        <v>45</v>
      </c>
      <c r="AQ9" s="143" t="s">
        <v>46</v>
      </c>
      <c r="AR9" s="143" t="s">
        <v>47</v>
      </c>
      <c r="AS9" s="143" t="s">
        <v>45</v>
      </c>
      <c r="AT9" s="143" t="s">
        <v>46</v>
      </c>
      <c r="AU9" s="143" t="s">
        <v>47</v>
      </c>
      <c r="AV9" s="143" t="s">
        <v>45</v>
      </c>
      <c r="AW9" s="143" t="s">
        <v>46</v>
      </c>
      <c r="AX9" s="143" t="s">
        <v>47</v>
      </c>
      <c r="AY9" s="143" t="s">
        <v>45</v>
      </c>
      <c r="AZ9" s="143" t="s">
        <v>46</v>
      </c>
      <c r="BA9" s="143" t="s">
        <v>47</v>
      </c>
      <c r="BB9" s="143" t="s">
        <v>45</v>
      </c>
      <c r="BC9" s="143" t="s">
        <v>46</v>
      </c>
      <c r="BD9" s="143" t="s">
        <v>47</v>
      </c>
      <c r="BE9" s="143" t="s">
        <v>45</v>
      </c>
      <c r="BF9" s="143" t="s">
        <v>46</v>
      </c>
      <c r="BG9" s="143" t="s">
        <v>47</v>
      </c>
      <c r="BH9" s="144" t="s">
        <v>45</v>
      </c>
      <c r="BI9" s="144" t="s">
        <v>46</v>
      </c>
      <c r="BJ9" s="144" t="s">
        <v>47</v>
      </c>
      <c r="BK9" s="145" t="s">
        <v>45</v>
      </c>
      <c r="BL9" s="145" t="s">
        <v>46</v>
      </c>
      <c r="BM9" s="156" t="s">
        <v>47</v>
      </c>
      <c r="BN9" s="158" t="s">
        <v>45</v>
      </c>
      <c r="BO9" s="144" t="s">
        <v>46</v>
      </c>
      <c r="BP9" s="159" t="s">
        <v>47</v>
      </c>
      <c r="BQ9" s="157" t="s">
        <v>45</v>
      </c>
      <c r="BR9" s="150" t="s">
        <v>46</v>
      </c>
      <c r="BS9" s="150" t="s">
        <v>47</v>
      </c>
    </row>
    <row r="10" spans="1:71" ht="14.5" x14ac:dyDescent="0.35">
      <c r="A10" s="127" t="s">
        <v>216</v>
      </c>
      <c r="B10" s="127" t="s">
        <v>217</v>
      </c>
      <c r="C10" s="255">
        <v>5800</v>
      </c>
      <c r="D10" s="255">
        <v>6100</v>
      </c>
      <c r="E10" s="255">
        <v>6100</v>
      </c>
      <c r="F10" s="255">
        <v>5800</v>
      </c>
      <c r="G10" s="255">
        <v>6100</v>
      </c>
      <c r="H10" s="255">
        <v>6100</v>
      </c>
      <c r="I10" s="255">
        <v>5800</v>
      </c>
      <c r="J10" s="255">
        <v>6100</v>
      </c>
      <c r="K10" s="255">
        <v>6100</v>
      </c>
      <c r="L10" s="255">
        <v>5800</v>
      </c>
      <c r="M10" s="255">
        <v>6100</v>
      </c>
      <c r="N10" s="255">
        <v>6100</v>
      </c>
      <c r="O10" s="255">
        <v>5800</v>
      </c>
      <c r="P10" s="255">
        <v>6100</v>
      </c>
      <c r="Q10" s="255">
        <v>6100</v>
      </c>
      <c r="R10" s="255">
        <v>5800</v>
      </c>
      <c r="S10" s="255">
        <v>6100</v>
      </c>
      <c r="T10" s="255">
        <v>6100</v>
      </c>
      <c r="U10" s="255">
        <v>5800</v>
      </c>
      <c r="V10" s="255">
        <v>6100</v>
      </c>
      <c r="W10" s="255">
        <v>6100</v>
      </c>
      <c r="X10" s="255">
        <v>5800</v>
      </c>
      <c r="Y10" s="255">
        <v>6100</v>
      </c>
      <c r="Z10" s="255">
        <v>6100</v>
      </c>
      <c r="AA10" s="255">
        <v>5800</v>
      </c>
      <c r="AB10" s="255">
        <v>6100</v>
      </c>
      <c r="AC10" s="255">
        <v>6100</v>
      </c>
      <c r="AD10" s="255">
        <v>5800</v>
      </c>
      <c r="AE10" s="255">
        <v>6100</v>
      </c>
      <c r="AF10" s="255">
        <v>6100</v>
      </c>
      <c r="AG10" s="255">
        <v>5600</v>
      </c>
      <c r="AH10" s="255">
        <v>5900</v>
      </c>
      <c r="AI10" s="255">
        <v>5900</v>
      </c>
      <c r="AJ10" s="255">
        <v>6000</v>
      </c>
      <c r="AK10" s="255">
        <v>6450</v>
      </c>
      <c r="AL10" s="255">
        <v>6450</v>
      </c>
      <c r="AM10" s="256">
        <v>900</v>
      </c>
      <c r="AN10" s="256">
        <v>1100</v>
      </c>
      <c r="AO10" s="256">
        <v>1100</v>
      </c>
      <c r="AP10" s="255">
        <v>6090</v>
      </c>
      <c r="AQ10" s="255">
        <v>6490</v>
      </c>
      <c r="AR10" s="255">
        <v>6490</v>
      </c>
      <c r="AS10" s="255">
        <v>5950</v>
      </c>
      <c r="AT10" s="255">
        <v>6300</v>
      </c>
      <c r="AU10" s="255">
        <v>6350</v>
      </c>
      <c r="AV10" s="255">
        <v>5950</v>
      </c>
      <c r="AW10" s="255">
        <v>6300</v>
      </c>
      <c r="AX10" s="255">
        <v>6350</v>
      </c>
      <c r="AY10" s="255">
        <v>6000</v>
      </c>
      <c r="AZ10" s="255">
        <v>6550</v>
      </c>
      <c r="BA10" s="255">
        <v>6550</v>
      </c>
      <c r="BB10" s="255">
        <v>6150</v>
      </c>
      <c r="BC10" s="255">
        <v>6600</v>
      </c>
      <c r="BD10" s="255">
        <v>6600</v>
      </c>
      <c r="BE10" s="255">
        <v>6375</v>
      </c>
      <c r="BF10" s="255">
        <v>6875</v>
      </c>
      <c r="BG10" s="255">
        <v>6875</v>
      </c>
      <c r="BH10" s="287">
        <v>6800</v>
      </c>
      <c r="BI10" s="287">
        <v>7100</v>
      </c>
      <c r="BJ10" s="288">
        <v>7100</v>
      </c>
      <c r="BK10" s="287">
        <v>6800</v>
      </c>
      <c r="BL10" s="287">
        <v>7100</v>
      </c>
      <c r="BM10" s="288">
        <v>7100</v>
      </c>
      <c r="BN10" s="289">
        <v>6800</v>
      </c>
      <c r="BO10" s="287">
        <v>7100</v>
      </c>
      <c r="BP10" s="288">
        <v>7100</v>
      </c>
      <c r="BQ10" s="228">
        <f>BH10+2791</f>
        <v>9591</v>
      </c>
      <c r="BR10" s="229">
        <f>BI10+2791</f>
        <v>9891</v>
      </c>
      <c r="BS10" s="230">
        <f>BJ10+2791</f>
        <v>9891</v>
      </c>
    </row>
    <row r="11" spans="1:71" ht="14.5" x14ac:dyDescent="0.35">
      <c r="A11" s="127" t="s">
        <v>218</v>
      </c>
      <c r="B11" s="127" t="s">
        <v>219</v>
      </c>
      <c r="C11" s="255">
        <v>5800</v>
      </c>
      <c r="D11" s="255">
        <v>6100</v>
      </c>
      <c r="E11" s="255">
        <v>6100</v>
      </c>
      <c r="F11" s="255">
        <v>5800</v>
      </c>
      <c r="G11" s="255">
        <v>6100</v>
      </c>
      <c r="H11" s="255">
        <v>6100</v>
      </c>
      <c r="I11" s="255">
        <v>5800</v>
      </c>
      <c r="J11" s="255">
        <v>6100</v>
      </c>
      <c r="K11" s="255">
        <v>6100</v>
      </c>
      <c r="L11" s="255">
        <v>5800</v>
      </c>
      <c r="M11" s="255">
        <v>6100</v>
      </c>
      <c r="N11" s="255">
        <v>6100</v>
      </c>
      <c r="O11" s="255">
        <v>5800</v>
      </c>
      <c r="P11" s="255">
        <v>6100</v>
      </c>
      <c r="Q11" s="255">
        <v>6100</v>
      </c>
      <c r="R11" s="255">
        <v>5800</v>
      </c>
      <c r="S11" s="255">
        <v>6100</v>
      </c>
      <c r="T11" s="255">
        <v>6100</v>
      </c>
      <c r="U11" s="255">
        <v>5800</v>
      </c>
      <c r="V11" s="255">
        <v>6100</v>
      </c>
      <c r="W11" s="255">
        <v>6100</v>
      </c>
      <c r="X11" s="255">
        <v>5800</v>
      </c>
      <c r="Y11" s="255">
        <v>6100</v>
      </c>
      <c r="Z11" s="255">
        <v>6100</v>
      </c>
      <c r="AA11" s="255">
        <v>5800</v>
      </c>
      <c r="AB11" s="255">
        <v>6100</v>
      </c>
      <c r="AC11" s="255">
        <v>6100</v>
      </c>
      <c r="AD11" s="255">
        <v>5800</v>
      </c>
      <c r="AE11" s="255">
        <v>6100</v>
      </c>
      <c r="AF11" s="255">
        <v>6100</v>
      </c>
      <c r="AG11" s="255">
        <v>5600</v>
      </c>
      <c r="AH11" s="255">
        <v>5900</v>
      </c>
      <c r="AI11" s="255">
        <v>5900</v>
      </c>
      <c r="AJ11" s="255">
        <v>6000</v>
      </c>
      <c r="AK11" s="255">
        <v>6450</v>
      </c>
      <c r="AL11" s="255">
        <v>6450</v>
      </c>
      <c r="AM11" s="256">
        <v>900</v>
      </c>
      <c r="AN11" s="256">
        <v>1100</v>
      </c>
      <c r="AO11" s="256">
        <v>1100</v>
      </c>
      <c r="AP11" s="255">
        <v>6090</v>
      </c>
      <c r="AQ11" s="255">
        <v>6490</v>
      </c>
      <c r="AR11" s="255">
        <v>6490</v>
      </c>
      <c r="AS11" s="255">
        <v>5950</v>
      </c>
      <c r="AT11" s="255">
        <v>6300</v>
      </c>
      <c r="AU11" s="255">
        <v>6350</v>
      </c>
      <c r="AV11" s="255">
        <v>5950</v>
      </c>
      <c r="AW11" s="255">
        <v>6300</v>
      </c>
      <c r="AX11" s="255">
        <v>6350</v>
      </c>
      <c r="AY11" s="255">
        <v>6000</v>
      </c>
      <c r="AZ11" s="255">
        <v>6550</v>
      </c>
      <c r="BA11" s="255">
        <v>6550</v>
      </c>
      <c r="BB11" s="255">
        <v>6150</v>
      </c>
      <c r="BC11" s="255">
        <v>6600</v>
      </c>
      <c r="BD11" s="255">
        <v>6600</v>
      </c>
      <c r="BE11" s="255">
        <v>6375</v>
      </c>
      <c r="BF11" s="255">
        <v>6875</v>
      </c>
      <c r="BG11" s="255">
        <v>6875</v>
      </c>
      <c r="BH11" s="287">
        <v>6800</v>
      </c>
      <c r="BI11" s="287">
        <v>7100</v>
      </c>
      <c r="BJ11" s="288">
        <v>7100</v>
      </c>
      <c r="BK11" s="287">
        <v>6800</v>
      </c>
      <c r="BL11" s="287">
        <v>7100</v>
      </c>
      <c r="BM11" s="288">
        <v>7100</v>
      </c>
      <c r="BN11" s="289">
        <v>6800</v>
      </c>
      <c r="BO11" s="287">
        <v>7100</v>
      </c>
      <c r="BP11" s="288">
        <v>7100</v>
      </c>
      <c r="BQ11" s="228">
        <f t="shared" ref="BQ11:BQ38" si="0">BH11+2791</f>
        <v>9591</v>
      </c>
      <c r="BR11" s="229">
        <f t="shared" ref="BR11:BR38" si="1">BI11+2791</f>
        <v>9891</v>
      </c>
      <c r="BS11" s="230">
        <f t="shared" ref="BS11:BS38" si="2">BJ11+2791</f>
        <v>9891</v>
      </c>
    </row>
    <row r="12" spans="1:71" ht="14.5" x14ac:dyDescent="0.35">
      <c r="A12" s="127" t="s">
        <v>220</v>
      </c>
      <c r="B12" s="127" t="s">
        <v>221</v>
      </c>
      <c r="C12" s="255">
        <v>5875</v>
      </c>
      <c r="D12" s="255">
        <v>6200</v>
      </c>
      <c r="E12" s="255">
        <v>6200</v>
      </c>
      <c r="F12" s="255">
        <v>5875</v>
      </c>
      <c r="G12" s="255">
        <v>6200</v>
      </c>
      <c r="H12" s="255">
        <v>6200</v>
      </c>
      <c r="I12" s="255">
        <v>5875</v>
      </c>
      <c r="J12" s="255">
        <v>6200</v>
      </c>
      <c r="K12" s="255">
        <v>6200</v>
      </c>
      <c r="L12" s="255">
        <v>5875</v>
      </c>
      <c r="M12" s="255">
        <v>6200</v>
      </c>
      <c r="N12" s="255">
        <v>6200</v>
      </c>
      <c r="O12" s="255">
        <v>5875</v>
      </c>
      <c r="P12" s="255">
        <v>6200</v>
      </c>
      <c r="Q12" s="255">
        <v>6200</v>
      </c>
      <c r="R12" s="255">
        <v>5875</v>
      </c>
      <c r="S12" s="255">
        <v>6200</v>
      </c>
      <c r="T12" s="255">
        <v>6200</v>
      </c>
      <c r="U12" s="255">
        <v>5875</v>
      </c>
      <c r="V12" s="255">
        <v>6200</v>
      </c>
      <c r="W12" s="255">
        <v>6200</v>
      </c>
      <c r="X12" s="255">
        <v>5875</v>
      </c>
      <c r="Y12" s="255">
        <v>6200</v>
      </c>
      <c r="Z12" s="255">
        <v>6200</v>
      </c>
      <c r="AA12" s="255">
        <v>5875</v>
      </c>
      <c r="AB12" s="255">
        <v>6200</v>
      </c>
      <c r="AC12" s="255">
        <v>6200</v>
      </c>
      <c r="AD12" s="255">
        <v>5875</v>
      </c>
      <c r="AE12" s="255">
        <v>6200</v>
      </c>
      <c r="AF12" s="255">
        <v>6200</v>
      </c>
      <c r="AG12" s="255">
        <v>5675</v>
      </c>
      <c r="AH12" s="255">
        <v>6000</v>
      </c>
      <c r="AI12" s="255">
        <v>6000</v>
      </c>
      <c r="AJ12" s="255">
        <v>6075</v>
      </c>
      <c r="AK12" s="255">
        <v>6550</v>
      </c>
      <c r="AL12" s="255">
        <v>6550</v>
      </c>
      <c r="AM12" s="256">
        <v>900</v>
      </c>
      <c r="AN12" s="256">
        <v>1100</v>
      </c>
      <c r="AO12" s="256">
        <v>1100</v>
      </c>
      <c r="AP12" s="255">
        <v>6165</v>
      </c>
      <c r="AQ12" s="255">
        <v>6590</v>
      </c>
      <c r="AR12" s="255">
        <v>6590</v>
      </c>
      <c r="AS12" s="255">
        <v>6025</v>
      </c>
      <c r="AT12" s="255">
        <v>6400</v>
      </c>
      <c r="AU12" s="255">
        <v>6400</v>
      </c>
      <c r="AV12" s="255">
        <v>6025</v>
      </c>
      <c r="AW12" s="255">
        <v>6400</v>
      </c>
      <c r="AX12" s="255">
        <v>6400</v>
      </c>
      <c r="AY12" s="255">
        <v>6075</v>
      </c>
      <c r="AZ12" s="255">
        <v>6650</v>
      </c>
      <c r="BA12" s="255">
        <v>6650</v>
      </c>
      <c r="BB12" s="255">
        <v>6225</v>
      </c>
      <c r="BC12" s="255">
        <v>6700</v>
      </c>
      <c r="BD12" s="255">
        <v>6700</v>
      </c>
      <c r="BE12" s="255">
        <v>6450</v>
      </c>
      <c r="BF12" s="255">
        <v>6975</v>
      </c>
      <c r="BG12" s="255">
        <v>6975</v>
      </c>
      <c r="BH12" s="287">
        <v>6875</v>
      </c>
      <c r="BI12" s="287">
        <v>7200</v>
      </c>
      <c r="BJ12" s="287">
        <v>7200</v>
      </c>
      <c r="BK12" s="287">
        <v>6875</v>
      </c>
      <c r="BL12" s="287">
        <v>7200</v>
      </c>
      <c r="BM12" s="287">
        <v>7200</v>
      </c>
      <c r="BN12" s="289">
        <v>6875</v>
      </c>
      <c r="BO12" s="287">
        <v>7200</v>
      </c>
      <c r="BP12" s="288">
        <v>7200</v>
      </c>
      <c r="BQ12" s="228">
        <f t="shared" si="0"/>
        <v>9666</v>
      </c>
      <c r="BR12" s="229">
        <f t="shared" si="1"/>
        <v>9991</v>
      </c>
      <c r="BS12" s="230">
        <f t="shared" si="2"/>
        <v>9991</v>
      </c>
    </row>
    <row r="13" spans="1:71" ht="14.5" x14ac:dyDescent="0.35">
      <c r="A13" s="127" t="s">
        <v>222</v>
      </c>
      <c r="B13" s="127" t="s">
        <v>223</v>
      </c>
      <c r="C13" s="255">
        <v>6000</v>
      </c>
      <c r="D13" s="255">
        <v>6500</v>
      </c>
      <c r="E13" s="255">
        <v>6500</v>
      </c>
      <c r="F13" s="255">
        <v>6000</v>
      </c>
      <c r="G13" s="255">
        <v>6500</v>
      </c>
      <c r="H13" s="255">
        <v>6500</v>
      </c>
      <c r="I13" s="255">
        <v>6000</v>
      </c>
      <c r="J13" s="255">
        <v>6500</v>
      </c>
      <c r="K13" s="255">
        <v>6500</v>
      </c>
      <c r="L13" s="255">
        <v>6000</v>
      </c>
      <c r="M13" s="255">
        <v>6500</v>
      </c>
      <c r="N13" s="255">
        <v>6500</v>
      </c>
      <c r="O13" s="255">
        <v>6000</v>
      </c>
      <c r="P13" s="255">
        <v>6500</v>
      </c>
      <c r="Q13" s="255">
        <v>6500</v>
      </c>
      <c r="R13" s="255">
        <v>6000</v>
      </c>
      <c r="S13" s="255">
        <v>6500</v>
      </c>
      <c r="T13" s="255">
        <v>6500</v>
      </c>
      <c r="U13" s="255">
        <v>6000</v>
      </c>
      <c r="V13" s="255">
        <v>6500</v>
      </c>
      <c r="W13" s="255">
        <v>6500</v>
      </c>
      <c r="X13" s="255">
        <v>6000</v>
      </c>
      <c r="Y13" s="255">
        <v>6500</v>
      </c>
      <c r="Z13" s="255">
        <v>6500</v>
      </c>
      <c r="AA13" s="255">
        <v>6000</v>
      </c>
      <c r="AB13" s="255">
        <v>6500</v>
      </c>
      <c r="AC13" s="255">
        <v>6500</v>
      </c>
      <c r="AD13" s="255">
        <v>6000</v>
      </c>
      <c r="AE13" s="255">
        <v>6500</v>
      </c>
      <c r="AF13" s="255">
        <v>6500</v>
      </c>
      <c r="AG13" s="255">
        <v>5800</v>
      </c>
      <c r="AH13" s="255">
        <v>6300</v>
      </c>
      <c r="AI13" s="255">
        <v>6300</v>
      </c>
      <c r="AJ13" s="255">
        <v>6200</v>
      </c>
      <c r="AK13" s="255">
        <v>6850</v>
      </c>
      <c r="AL13" s="255">
        <v>6850</v>
      </c>
      <c r="AM13" s="256">
        <v>900</v>
      </c>
      <c r="AN13" s="256">
        <v>1100</v>
      </c>
      <c r="AO13" s="256">
        <v>1100</v>
      </c>
      <c r="AP13" s="255">
        <v>6290</v>
      </c>
      <c r="AQ13" s="255">
        <v>6890</v>
      </c>
      <c r="AR13" s="255">
        <v>6890</v>
      </c>
      <c r="AS13" s="255">
        <v>6150</v>
      </c>
      <c r="AT13" s="255">
        <v>6700</v>
      </c>
      <c r="AU13" s="255">
        <v>6750</v>
      </c>
      <c r="AV13" s="255">
        <v>6150</v>
      </c>
      <c r="AW13" s="255">
        <v>6700</v>
      </c>
      <c r="AX13" s="255">
        <v>6750</v>
      </c>
      <c r="AY13" s="255">
        <v>6200</v>
      </c>
      <c r="AZ13" s="255">
        <v>6950</v>
      </c>
      <c r="BA13" s="255">
        <v>6950</v>
      </c>
      <c r="BB13" s="255">
        <v>6350</v>
      </c>
      <c r="BC13" s="255">
        <v>7000</v>
      </c>
      <c r="BD13" s="255">
        <v>7000</v>
      </c>
      <c r="BE13" s="255">
        <v>6575</v>
      </c>
      <c r="BF13" s="255">
        <v>7275</v>
      </c>
      <c r="BG13" s="255">
        <v>7275</v>
      </c>
      <c r="BH13" s="287">
        <v>7000</v>
      </c>
      <c r="BI13" s="287">
        <v>7500</v>
      </c>
      <c r="BJ13" s="288">
        <v>7500</v>
      </c>
      <c r="BK13" s="287">
        <v>7000</v>
      </c>
      <c r="BL13" s="287">
        <v>7500</v>
      </c>
      <c r="BM13" s="288">
        <v>7500</v>
      </c>
      <c r="BN13" s="289">
        <v>7000</v>
      </c>
      <c r="BO13" s="287">
        <v>7500</v>
      </c>
      <c r="BP13" s="288">
        <v>7500</v>
      </c>
      <c r="BQ13" s="228">
        <f t="shared" si="0"/>
        <v>9791</v>
      </c>
      <c r="BR13" s="229">
        <f t="shared" si="1"/>
        <v>10291</v>
      </c>
      <c r="BS13" s="230">
        <f t="shared" si="2"/>
        <v>10291</v>
      </c>
    </row>
    <row r="14" spans="1:71" s="99" customFormat="1" ht="14.5" x14ac:dyDescent="0.35">
      <c r="A14" s="155" t="s">
        <v>224</v>
      </c>
      <c r="B14" s="155" t="s">
        <v>225</v>
      </c>
      <c r="C14" s="255">
        <v>5800</v>
      </c>
      <c r="D14" s="255">
        <v>6100</v>
      </c>
      <c r="E14" s="255">
        <v>6100</v>
      </c>
      <c r="F14" s="255">
        <v>5800</v>
      </c>
      <c r="G14" s="255">
        <v>6100</v>
      </c>
      <c r="H14" s="255">
        <v>6100</v>
      </c>
      <c r="I14" s="255">
        <v>5800</v>
      </c>
      <c r="J14" s="255">
        <v>6100</v>
      </c>
      <c r="K14" s="255">
        <v>6100</v>
      </c>
      <c r="L14" s="255">
        <v>5800</v>
      </c>
      <c r="M14" s="255">
        <v>6100</v>
      </c>
      <c r="N14" s="255">
        <v>6100</v>
      </c>
      <c r="O14" s="255">
        <v>5800</v>
      </c>
      <c r="P14" s="255">
        <v>6100</v>
      </c>
      <c r="Q14" s="255">
        <v>6100</v>
      </c>
      <c r="R14" s="255">
        <v>5800</v>
      </c>
      <c r="S14" s="255">
        <v>6100</v>
      </c>
      <c r="T14" s="255">
        <v>6100</v>
      </c>
      <c r="U14" s="255">
        <v>5800</v>
      </c>
      <c r="V14" s="255">
        <v>6100</v>
      </c>
      <c r="W14" s="255">
        <v>6100</v>
      </c>
      <c r="X14" s="255">
        <v>5800</v>
      </c>
      <c r="Y14" s="255">
        <v>6100</v>
      </c>
      <c r="Z14" s="255">
        <v>6100</v>
      </c>
      <c r="AA14" s="255">
        <v>5800</v>
      </c>
      <c r="AB14" s="255">
        <v>6100</v>
      </c>
      <c r="AC14" s="255">
        <v>6100</v>
      </c>
      <c r="AD14" s="255">
        <v>5800</v>
      </c>
      <c r="AE14" s="255">
        <v>6100</v>
      </c>
      <c r="AF14" s="255">
        <v>6100</v>
      </c>
      <c r="AG14" s="255">
        <v>5600</v>
      </c>
      <c r="AH14" s="255">
        <v>5900</v>
      </c>
      <c r="AI14" s="255">
        <v>5900</v>
      </c>
      <c r="AJ14" s="255">
        <v>6000</v>
      </c>
      <c r="AK14" s="255">
        <v>6450</v>
      </c>
      <c r="AL14" s="255">
        <v>6450</v>
      </c>
      <c r="AM14" s="256">
        <v>1000</v>
      </c>
      <c r="AN14" s="256">
        <v>1200</v>
      </c>
      <c r="AO14" s="256">
        <v>1200</v>
      </c>
      <c r="AP14" s="255">
        <v>6090</v>
      </c>
      <c r="AQ14" s="255">
        <v>6490</v>
      </c>
      <c r="AR14" s="255">
        <v>6490</v>
      </c>
      <c r="AS14" s="255">
        <v>5950</v>
      </c>
      <c r="AT14" s="255">
        <v>6300</v>
      </c>
      <c r="AU14" s="255">
        <v>6350</v>
      </c>
      <c r="AV14" s="255">
        <v>5950</v>
      </c>
      <c r="AW14" s="255">
        <v>6300</v>
      </c>
      <c r="AX14" s="255">
        <v>6350</v>
      </c>
      <c r="AY14" s="255">
        <v>6200</v>
      </c>
      <c r="AZ14" s="255">
        <v>6750</v>
      </c>
      <c r="BA14" s="255">
        <v>6750</v>
      </c>
      <c r="BB14" s="255">
        <v>6350</v>
      </c>
      <c r="BC14" s="255">
        <v>6800</v>
      </c>
      <c r="BD14" s="255">
        <v>6800</v>
      </c>
      <c r="BE14" s="255">
        <v>6375</v>
      </c>
      <c r="BF14" s="255">
        <v>6875</v>
      </c>
      <c r="BG14" s="255">
        <v>6875</v>
      </c>
      <c r="BH14" s="287">
        <v>6800</v>
      </c>
      <c r="BI14" s="287">
        <v>7100</v>
      </c>
      <c r="BJ14" s="288">
        <v>7100</v>
      </c>
      <c r="BK14" s="287">
        <v>6800</v>
      </c>
      <c r="BL14" s="287">
        <v>7100</v>
      </c>
      <c r="BM14" s="288">
        <v>7100</v>
      </c>
      <c r="BN14" s="289">
        <v>6800</v>
      </c>
      <c r="BO14" s="287">
        <v>7100</v>
      </c>
      <c r="BP14" s="288">
        <v>7100</v>
      </c>
      <c r="BQ14" s="228">
        <f t="shared" si="0"/>
        <v>9591</v>
      </c>
      <c r="BR14" s="229">
        <f t="shared" si="1"/>
        <v>9891</v>
      </c>
      <c r="BS14" s="230">
        <f t="shared" si="2"/>
        <v>9891</v>
      </c>
    </row>
    <row r="15" spans="1:71" s="99" customFormat="1" ht="14.5" x14ac:dyDescent="0.35">
      <c r="A15" s="155" t="s">
        <v>226</v>
      </c>
      <c r="B15" s="155" t="s">
        <v>227</v>
      </c>
      <c r="C15" s="255">
        <v>5825</v>
      </c>
      <c r="D15" s="255">
        <v>6375</v>
      </c>
      <c r="E15" s="255">
        <v>6375</v>
      </c>
      <c r="F15" s="255">
        <v>5825</v>
      </c>
      <c r="G15" s="255">
        <v>6375</v>
      </c>
      <c r="H15" s="255">
        <v>6375</v>
      </c>
      <c r="I15" s="255">
        <v>5825</v>
      </c>
      <c r="J15" s="255">
        <v>6375</v>
      </c>
      <c r="K15" s="255">
        <v>6375</v>
      </c>
      <c r="L15" s="255">
        <v>5825</v>
      </c>
      <c r="M15" s="255">
        <v>6375</v>
      </c>
      <c r="N15" s="255">
        <v>6375</v>
      </c>
      <c r="O15" s="255">
        <v>5825</v>
      </c>
      <c r="P15" s="255">
        <v>6375</v>
      </c>
      <c r="Q15" s="255">
        <v>6375</v>
      </c>
      <c r="R15" s="255">
        <v>5825</v>
      </c>
      <c r="S15" s="255">
        <v>6375</v>
      </c>
      <c r="T15" s="255">
        <v>6375</v>
      </c>
      <c r="U15" s="255">
        <v>5825</v>
      </c>
      <c r="V15" s="255">
        <v>6375</v>
      </c>
      <c r="W15" s="255">
        <v>6375</v>
      </c>
      <c r="X15" s="255">
        <v>5825</v>
      </c>
      <c r="Y15" s="255">
        <v>6375</v>
      </c>
      <c r="Z15" s="255">
        <v>6375</v>
      </c>
      <c r="AA15" s="255">
        <v>5825</v>
      </c>
      <c r="AB15" s="255">
        <v>6375</v>
      </c>
      <c r="AC15" s="255">
        <v>6375</v>
      </c>
      <c r="AD15" s="255">
        <v>5825</v>
      </c>
      <c r="AE15" s="255">
        <v>6375</v>
      </c>
      <c r="AF15" s="255">
        <v>6375</v>
      </c>
      <c r="AG15" s="255">
        <v>5625</v>
      </c>
      <c r="AH15" s="255">
        <v>6175</v>
      </c>
      <c r="AI15" s="255">
        <v>6175</v>
      </c>
      <c r="AJ15" s="255">
        <v>6025</v>
      </c>
      <c r="AK15" s="255">
        <v>6725</v>
      </c>
      <c r="AL15" s="255">
        <v>6725</v>
      </c>
      <c r="AM15" s="256">
        <v>1000</v>
      </c>
      <c r="AN15" s="256">
        <v>1200</v>
      </c>
      <c r="AO15" s="256">
        <v>1200</v>
      </c>
      <c r="AP15" s="255">
        <v>6115</v>
      </c>
      <c r="AQ15" s="255">
        <v>6765</v>
      </c>
      <c r="AR15" s="255">
        <v>6765</v>
      </c>
      <c r="AS15" s="255">
        <v>5975</v>
      </c>
      <c r="AT15" s="255">
        <v>6575</v>
      </c>
      <c r="AU15" s="255">
        <v>6625</v>
      </c>
      <c r="AV15" s="255">
        <v>5975</v>
      </c>
      <c r="AW15" s="255">
        <v>6575</v>
      </c>
      <c r="AX15" s="255">
        <v>6625</v>
      </c>
      <c r="AY15" s="255">
        <v>6225</v>
      </c>
      <c r="AZ15" s="255">
        <v>7025</v>
      </c>
      <c r="BA15" s="255">
        <v>7025</v>
      </c>
      <c r="BB15" s="255">
        <v>6375</v>
      </c>
      <c r="BC15" s="255">
        <v>7075</v>
      </c>
      <c r="BD15" s="255">
        <v>7075</v>
      </c>
      <c r="BE15" s="255">
        <v>6400</v>
      </c>
      <c r="BF15" s="255">
        <v>7150</v>
      </c>
      <c r="BG15" s="255">
        <v>7150</v>
      </c>
      <c r="BH15" s="287">
        <v>6825</v>
      </c>
      <c r="BI15" s="287">
        <v>7375</v>
      </c>
      <c r="BJ15" s="288">
        <v>7375</v>
      </c>
      <c r="BK15" s="287">
        <v>6825</v>
      </c>
      <c r="BL15" s="287">
        <v>7375</v>
      </c>
      <c r="BM15" s="288">
        <v>7375</v>
      </c>
      <c r="BN15" s="289">
        <v>6825</v>
      </c>
      <c r="BO15" s="287">
        <v>7375</v>
      </c>
      <c r="BP15" s="288">
        <v>7375</v>
      </c>
      <c r="BQ15" s="228">
        <f t="shared" si="0"/>
        <v>9616</v>
      </c>
      <c r="BR15" s="229">
        <f t="shared" si="1"/>
        <v>10166</v>
      </c>
      <c r="BS15" s="230">
        <f t="shared" si="2"/>
        <v>10166</v>
      </c>
    </row>
    <row r="16" spans="1:71" s="99" customFormat="1" ht="14.5" x14ac:dyDescent="0.35">
      <c r="A16" s="155" t="s">
        <v>228</v>
      </c>
      <c r="B16" s="155" t="s">
        <v>229</v>
      </c>
      <c r="C16" s="255">
        <v>5825</v>
      </c>
      <c r="D16" s="255">
        <v>6375</v>
      </c>
      <c r="E16" s="255">
        <v>6375</v>
      </c>
      <c r="F16" s="255">
        <v>5825</v>
      </c>
      <c r="G16" s="255">
        <v>6375</v>
      </c>
      <c r="H16" s="255">
        <v>6375</v>
      </c>
      <c r="I16" s="255">
        <v>5825</v>
      </c>
      <c r="J16" s="255">
        <v>6375</v>
      </c>
      <c r="K16" s="255">
        <v>6375</v>
      </c>
      <c r="L16" s="255">
        <v>5825</v>
      </c>
      <c r="M16" s="255">
        <v>6375</v>
      </c>
      <c r="N16" s="255">
        <v>6375</v>
      </c>
      <c r="O16" s="255">
        <v>5825</v>
      </c>
      <c r="P16" s="255">
        <v>6375</v>
      </c>
      <c r="Q16" s="255">
        <v>6375</v>
      </c>
      <c r="R16" s="255">
        <v>5825</v>
      </c>
      <c r="S16" s="255">
        <v>6375</v>
      </c>
      <c r="T16" s="255">
        <v>6375</v>
      </c>
      <c r="U16" s="255">
        <v>5825</v>
      </c>
      <c r="V16" s="255">
        <v>6375</v>
      </c>
      <c r="W16" s="255">
        <v>6375</v>
      </c>
      <c r="X16" s="255">
        <v>5825</v>
      </c>
      <c r="Y16" s="255">
        <v>6375</v>
      </c>
      <c r="Z16" s="255">
        <v>6375</v>
      </c>
      <c r="AA16" s="255">
        <v>5825</v>
      </c>
      <c r="AB16" s="255">
        <v>6375</v>
      </c>
      <c r="AC16" s="255">
        <v>6375</v>
      </c>
      <c r="AD16" s="255">
        <v>5825</v>
      </c>
      <c r="AE16" s="255">
        <v>6375</v>
      </c>
      <c r="AF16" s="255">
        <v>6375</v>
      </c>
      <c r="AG16" s="255">
        <v>5625</v>
      </c>
      <c r="AH16" s="255">
        <v>6175</v>
      </c>
      <c r="AI16" s="255">
        <v>6175</v>
      </c>
      <c r="AJ16" s="255">
        <v>6025</v>
      </c>
      <c r="AK16" s="255">
        <v>6725</v>
      </c>
      <c r="AL16" s="255">
        <v>6725</v>
      </c>
      <c r="AM16" s="256">
        <v>1000</v>
      </c>
      <c r="AN16" s="256">
        <v>1200</v>
      </c>
      <c r="AO16" s="256">
        <v>1200</v>
      </c>
      <c r="AP16" s="255">
        <v>6115</v>
      </c>
      <c r="AQ16" s="255">
        <v>6765</v>
      </c>
      <c r="AR16" s="255">
        <v>6765</v>
      </c>
      <c r="AS16" s="255">
        <v>5975</v>
      </c>
      <c r="AT16" s="255">
        <v>6575</v>
      </c>
      <c r="AU16" s="255">
        <v>6625</v>
      </c>
      <c r="AV16" s="255">
        <v>5975</v>
      </c>
      <c r="AW16" s="255">
        <v>6575</v>
      </c>
      <c r="AX16" s="255">
        <v>6625</v>
      </c>
      <c r="AY16" s="255">
        <v>6225</v>
      </c>
      <c r="AZ16" s="255">
        <v>7025</v>
      </c>
      <c r="BA16" s="255">
        <v>7025</v>
      </c>
      <c r="BB16" s="255">
        <v>6375</v>
      </c>
      <c r="BC16" s="255">
        <v>7075</v>
      </c>
      <c r="BD16" s="255">
        <v>7075</v>
      </c>
      <c r="BE16" s="255">
        <v>6400</v>
      </c>
      <c r="BF16" s="255">
        <v>7150</v>
      </c>
      <c r="BG16" s="255">
        <v>7150</v>
      </c>
      <c r="BH16" s="287">
        <v>6825</v>
      </c>
      <c r="BI16" s="287">
        <v>7375</v>
      </c>
      <c r="BJ16" s="288">
        <v>7375</v>
      </c>
      <c r="BK16" s="287">
        <v>6825</v>
      </c>
      <c r="BL16" s="287">
        <v>7375</v>
      </c>
      <c r="BM16" s="288">
        <v>7375</v>
      </c>
      <c r="BN16" s="289">
        <v>6825</v>
      </c>
      <c r="BO16" s="287">
        <v>7375</v>
      </c>
      <c r="BP16" s="288">
        <v>7375</v>
      </c>
      <c r="BQ16" s="228">
        <f t="shared" si="0"/>
        <v>9616</v>
      </c>
      <c r="BR16" s="229">
        <f t="shared" si="1"/>
        <v>10166</v>
      </c>
      <c r="BS16" s="230">
        <f t="shared" si="2"/>
        <v>10166</v>
      </c>
    </row>
    <row r="17" spans="1:71" s="99" customFormat="1" ht="14.5" x14ac:dyDescent="0.35">
      <c r="A17" s="155" t="s">
        <v>230</v>
      </c>
      <c r="B17" s="155" t="s">
        <v>231</v>
      </c>
      <c r="C17" s="257">
        <v>5825</v>
      </c>
      <c r="D17" s="257">
        <v>6375</v>
      </c>
      <c r="E17" s="257">
        <v>6375</v>
      </c>
      <c r="F17" s="257">
        <v>5825</v>
      </c>
      <c r="G17" s="257">
        <v>6375</v>
      </c>
      <c r="H17" s="257">
        <v>6375</v>
      </c>
      <c r="I17" s="257">
        <v>5825</v>
      </c>
      <c r="J17" s="257">
        <v>6375</v>
      </c>
      <c r="K17" s="257">
        <v>6375</v>
      </c>
      <c r="L17" s="257">
        <v>5825</v>
      </c>
      <c r="M17" s="257">
        <v>6375</v>
      </c>
      <c r="N17" s="257">
        <v>6375</v>
      </c>
      <c r="O17" s="257">
        <v>5825</v>
      </c>
      <c r="P17" s="257">
        <v>6375</v>
      </c>
      <c r="Q17" s="257">
        <v>6375</v>
      </c>
      <c r="R17" s="257">
        <v>5825</v>
      </c>
      <c r="S17" s="257">
        <v>6375</v>
      </c>
      <c r="T17" s="257">
        <v>6375</v>
      </c>
      <c r="U17" s="257">
        <v>5825</v>
      </c>
      <c r="V17" s="257">
        <v>6375</v>
      </c>
      <c r="W17" s="257">
        <v>6375</v>
      </c>
      <c r="X17" s="257">
        <v>5825</v>
      </c>
      <c r="Y17" s="257">
        <v>6375</v>
      </c>
      <c r="Z17" s="257">
        <v>6375</v>
      </c>
      <c r="AA17" s="257">
        <v>5825</v>
      </c>
      <c r="AB17" s="257">
        <v>6375</v>
      </c>
      <c r="AC17" s="257">
        <v>6375</v>
      </c>
      <c r="AD17" s="257">
        <v>5825</v>
      </c>
      <c r="AE17" s="257">
        <v>6375</v>
      </c>
      <c r="AF17" s="257">
        <v>6375</v>
      </c>
      <c r="AG17" s="257">
        <v>5625</v>
      </c>
      <c r="AH17" s="257">
        <v>6175</v>
      </c>
      <c r="AI17" s="257">
        <v>6175</v>
      </c>
      <c r="AJ17" s="257">
        <v>6025</v>
      </c>
      <c r="AK17" s="257">
        <v>6725</v>
      </c>
      <c r="AL17" s="257">
        <v>6725</v>
      </c>
      <c r="AM17" s="258">
        <v>1000</v>
      </c>
      <c r="AN17" s="258">
        <v>1200</v>
      </c>
      <c r="AO17" s="258">
        <v>1200</v>
      </c>
      <c r="AP17" s="257">
        <v>6115</v>
      </c>
      <c r="AQ17" s="257">
        <v>6765</v>
      </c>
      <c r="AR17" s="257">
        <v>6765</v>
      </c>
      <c r="AS17" s="257">
        <v>5975</v>
      </c>
      <c r="AT17" s="257">
        <v>6575</v>
      </c>
      <c r="AU17" s="257">
        <v>6625</v>
      </c>
      <c r="AV17" s="257">
        <v>5975</v>
      </c>
      <c r="AW17" s="257">
        <v>6575</v>
      </c>
      <c r="AX17" s="257">
        <v>6625</v>
      </c>
      <c r="AY17" s="257">
        <v>6225</v>
      </c>
      <c r="AZ17" s="257">
        <v>7025</v>
      </c>
      <c r="BA17" s="257">
        <v>7025</v>
      </c>
      <c r="BB17" s="255">
        <v>6375</v>
      </c>
      <c r="BC17" s="255">
        <v>7075</v>
      </c>
      <c r="BD17" s="255">
        <v>7075</v>
      </c>
      <c r="BE17" s="255">
        <v>6400</v>
      </c>
      <c r="BF17" s="255">
        <v>7150</v>
      </c>
      <c r="BG17" s="255">
        <v>7150</v>
      </c>
      <c r="BH17" s="290">
        <v>6825</v>
      </c>
      <c r="BI17" s="290">
        <v>7375</v>
      </c>
      <c r="BJ17" s="291">
        <v>7375</v>
      </c>
      <c r="BK17" s="290">
        <v>6825</v>
      </c>
      <c r="BL17" s="290">
        <v>7375</v>
      </c>
      <c r="BM17" s="291">
        <v>7375</v>
      </c>
      <c r="BN17" s="292">
        <v>6825</v>
      </c>
      <c r="BO17" s="290">
        <v>7375</v>
      </c>
      <c r="BP17" s="291">
        <v>7375</v>
      </c>
      <c r="BQ17" s="228">
        <f t="shared" si="0"/>
        <v>9616</v>
      </c>
      <c r="BR17" s="229">
        <f t="shared" si="1"/>
        <v>10166</v>
      </c>
      <c r="BS17" s="230">
        <f t="shared" si="2"/>
        <v>10166</v>
      </c>
    </row>
    <row r="18" spans="1:71" ht="14.5" x14ac:dyDescent="0.35">
      <c r="A18" s="127" t="s">
        <v>232</v>
      </c>
      <c r="B18" s="129" t="s">
        <v>233</v>
      </c>
      <c r="C18" s="255">
        <v>5800</v>
      </c>
      <c r="D18" s="255">
        <v>6100</v>
      </c>
      <c r="E18" s="255">
        <v>6100</v>
      </c>
      <c r="F18" s="255">
        <v>5800</v>
      </c>
      <c r="G18" s="255">
        <v>6100</v>
      </c>
      <c r="H18" s="255">
        <v>6100</v>
      </c>
      <c r="I18" s="255">
        <v>5800</v>
      </c>
      <c r="J18" s="255">
        <v>6100</v>
      </c>
      <c r="K18" s="255">
        <v>6100</v>
      </c>
      <c r="L18" s="255">
        <v>5800</v>
      </c>
      <c r="M18" s="255">
        <v>6100</v>
      </c>
      <c r="N18" s="255">
        <v>6100</v>
      </c>
      <c r="O18" s="255">
        <v>5800</v>
      </c>
      <c r="P18" s="255">
        <v>6100</v>
      </c>
      <c r="Q18" s="255">
        <v>6100</v>
      </c>
      <c r="R18" s="255">
        <v>5800</v>
      </c>
      <c r="S18" s="255">
        <v>6100</v>
      </c>
      <c r="T18" s="255">
        <v>6100</v>
      </c>
      <c r="U18" s="255">
        <v>5800</v>
      </c>
      <c r="V18" s="255">
        <v>6100</v>
      </c>
      <c r="W18" s="255">
        <v>6100</v>
      </c>
      <c r="X18" s="255">
        <v>5800</v>
      </c>
      <c r="Y18" s="255">
        <v>6100</v>
      </c>
      <c r="Z18" s="255">
        <v>6100</v>
      </c>
      <c r="AA18" s="255">
        <v>5800</v>
      </c>
      <c r="AB18" s="255">
        <v>6100</v>
      </c>
      <c r="AC18" s="255">
        <v>6100</v>
      </c>
      <c r="AD18" s="255">
        <v>5800</v>
      </c>
      <c r="AE18" s="255">
        <v>6100</v>
      </c>
      <c r="AF18" s="255">
        <v>6100</v>
      </c>
      <c r="AG18" s="255">
        <v>5600</v>
      </c>
      <c r="AH18" s="255">
        <v>5900</v>
      </c>
      <c r="AI18" s="255">
        <v>5900</v>
      </c>
      <c r="AJ18" s="255">
        <v>6025</v>
      </c>
      <c r="AK18" s="255">
        <v>6450</v>
      </c>
      <c r="AL18" s="255">
        <v>6450</v>
      </c>
      <c r="AM18" s="256">
        <v>900</v>
      </c>
      <c r="AN18" s="256">
        <v>1100</v>
      </c>
      <c r="AO18" s="256">
        <v>1100</v>
      </c>
      <c r="AP18" s="255">
        <v>6290</v>
      </c>
      <c r="AQ18" s="255">
        <v>6790</v>
      </c>
      <c r="AR18" s="255">
        <v>6790</v>
      </c>
      <c r="AS18" s="255">
        <v>6050</v>
      </c>
      <c r="AT18" s="255">
        <v>6500</v>
      </c>
      <c r="AU18" s="255">
        <v>6550</v>
      </c>
      <c r="AV18" s="255">
        <v>6050</v>
      </c>
      <c r="AW18" s="255">
        <v>6500</v>
      </c>
      <c r="AX18" s="255">
        <v>6550</v>
      </c>
      <c r="AY18" s="255">
        <v>6050</v>
      </c>
      <c r="AZ18" s="255">
        <v>6700</v>
      </c>
      <c r="BA18" s="255">
        <v>6700</v>
      </c>
      <c r="BB18" s="255">
        <v>6200</v>
      </c>
      <c r="BC18" s="255">
        <v>6750</v>
      </c>
      <c r="BD18" s="255">
        <v>6750</v>
      </c>
      <c r="BE18" s="255">
        <v>6400</v>
      </c>
      <c r="BF18" s="255">
        <v>6850</v>
      </c>
      <c r="BG18" s="255">
        <v>6850</v>
      </c>
      <c r="BH18" s="287">
        <v>6800</v>
      </c>
      <c r="BI18" s="287">
        <v>7100</v>
      </c>
      <c r="BJ18" s="288">
        <v>7100</v>
      </c>
      <c r="BK18" s="287">
        <v>6800</v>
      </c>
      <c r="BL18" s="287">
        <v>7100</v>
      </c>
      <c r="BM18" s="288">
        <v>7100</v>
      </c>
      <c r="BN18" s="287">
        <v>6800</v>
      </c>
      <c r="BO18" s="287">
        <v>7100</v>
      </c>
      <c r="BP18" s="288">
        <v>7100</v>
      </c>
      <c r="BQ18" s="228">
        <f t="shared" si="0"/>
        <v>9591</v>
      </c>
      <c r="BR18" s="229">
        <f t="shared" si="1"/>
        <v>9891</v>
      </c>
      <c r="BS18" s="230">
        <f t="shared" si="2"/>
        <v>9891</v>
      </c>
    </row>
    <row r="19" spans="1:71" ht="14.5" x14ac:dyDescent="0.35">
      <c r="A19" s="127" t="s">
        <v>234</v>
      </c>
      <c r="B19" s="129" t="s">
        <v>235</v>
      </c>
      <c r="C19" s="255">
        <v>5800</v>
      </c>
      <c r="D19" s="255">
        <v>6100</v>
      </c>
      <c r="E19" s="255">
        <v>6100</v>
      </c>
      <c r="F19" s="255">
        <v>5800</v>
      </c>
      <c r="G19" s="255">
        <v>6100</v>
      </c>
      <c r="H19" s="255">
        <v>6100</v>
      </c>
      <c r="I19" s="255">
        <v>5800</v>
      </c>
      <c r="J19" s="255">
        <v>6100</v>
      </c>
      <c r="K19" s="255">
        <v>6100</v>
      </c>
      <c r="L19" s="255">
        <v>5800</v>
      </c>
      <c r="M19" s="255">
        <v>6100</v>
      </c>
      <c r="N19" s="255">
        <v>6100</v>
      </c>
      <c r="O19" s="255">
        <v>5800</v>
      </c>
      <c r="P19" s="255">
        <v>6100</v>
      </c>
      <c r="Q19" s="255">
        <v>6100</v>
      </c>
      <c r="R19" s="255">
        <v>5800</v>
      </c>
      <c r="S19" s="255">
        <v>6100</v>
      </c>
      <c r="T19" s="255">
        <v>6100</v>
      </c>
      <c r="U19" s="255">
        <v>5800</v>
      </c>
      <c r="V19" s="255">
        <v>6100</v>
      </c>
      <c r="W19" s="255">
        <v>6100</v>
      </c>
      <c r="X19" s="255">
        <v>5800</v>
      </c>
      <c r="Y19" s="255">
        <v>6100</v>
      </c>
      <c r="Z19" s="255">
        <v>6100</v>
      </c>
      <c r="AA19" s="255">
        <v>5800</v>
      </c>
      <c r="AB19" s="255">
        <v>6100</v>
      </c>
      <c r="AC19" s="255">
        <v>6100</v>
      </c>
      <c r="AD19" s="255">
        <v>5800</v>
      </c>
      <c r="AE19" s="255">
        <v>6100</v>
      </c>
      <c r="AF19" s="255">
        <v>6100</v>
      </c>
      <c r="AG19" s="255">
        <v>5600</v>
      </c>
      <c r="AH19" s="255">
        <v>5900</v>
      </c>
      <c r="AI19" s="255">
        <v>5900</v>
      </c>
      <c r="AJ19" s="255">
        <v>6025</v>
      </c>
      <c r="AK19" s="255">
        <v>6450</v>
      </c>
      <c r="AL19" s="255">
        <v>6450</v>
      </c>
      <c r="AM19" s="256">
        <v>900</v>
      </c>
      <c r="AN19" s="256">
        <v>1100</v>
      </c>
      <c r="AO19" s="256">
        <v>1100</v>
      </c>
      <c r="AP19" s="255">
        <v>6290</v>
      </c>
      <c r="AQ19" s="255">
        <v>6790</v>
      </c>
      <c r="AR19" s="255">
        <v>6790</v>
      </c>
      <c r="AS19" s="255">
        <v>6050</v>
      </c>
      <c r="AT19" s="255">
        <v>6500</v>
      </c>
      <c r="AU19" s="255">
        <v>6550</v>
      </c>
      <c r="AV19" s="255">
        <v>6050</v>
      </c>
      <c r="AW19" s="255">
        <v>6500</v>
      </c>
      <c r="AX19" s="255">
        <v>6550</v>
      </c>
      <c r="AY19" s="255">
        <v>6050</v>
      </c>
      <c r="AZ19" s="255">
        <v>6700</v>
      </c>
      <c r="BA19" s="255">
        <v>6700</v>
      </c>
      <c r="BB19" s="255">
        <v>6200</v>
      </c>
      <c r="BC19" s="255">
        <v>6750</v>
      </c>
      <c r="BD19" s="255">
        <v>6750</v>
      </c>
      <c r="BE19" s="255">
        <v>6400</v>
      </c>
      <c r="BF19" s="255">
        <v>6850</v>
      </c>
      <c r="BG19" s="255">
        <v>6850</v>
      </c>
      <c r="BH19" s="287">
        <v>6800</v>
      </c>
      <c r="BI19" s="287">
        <v>7100</v>
      </c>
      <c r="BJ19" s="288">
        <v>7100</v>
      </c>
      <c r="BK19" s="287">
        <v>6800</v>
      </c>
      <c r="BL19" s="287">
        <v>7100</v>
      </c>
      <c r="BM19" s="288">
        <v>7100</v>
      </c>
      <c r="BN19" s="287">
        <v>6800</v>
      </c>
      <c r="BO19" s="287">
        <v>7100</v>
      </c>
      <c r="BP19" s="288">
        <v>7100</v>
      </c>
      <c r="BQ19" s="228">
        <f t="shared" si="0"/>
        <v>9591</v>
      </c>
      <c r="BR19" s="229">
        <f t="shared" si="1"/>
        <v>9891</v>
      </c>
      <c r="BS19" s="230">
        <f t="shared" si="2"/>
        <v>9891</v>
      </c>
    </row>
    <row r="20" spans="1:71" ht="14.5" x14ac:dyDescent="0.35">
      <c r="A20" s="127" t="s">
        <v>236</v>
      </c>
      <c r="B20" s="129" t="s">
        <v>237</v>
      </c>
      <c r="C20" s="255">
        <v>6300</v>
      </c>
      <c r="D20" s="255">
        <v>7150</v>
      </c>
      <c r="E20" s="255">
        <v>7150</v>
      </c>
      <c r="F20" s="255">
        <v>6300</v>
      </c>
      <c r="G20" s="255">
        <v>7150</v>
      </c>
      <c r="H20" s="255">
        <v>7150</v>
      </c>
      <c r="I20" s="255">
        <v>6300</v>
      </c>
      <c r="J20" s="255">
        <v>7150</v>
      </c>
      <c r="K20" s="255">
        <v>7150</v>
      </c>
      <c r="L20" s="255">
        <v>6300</v>
      </c>
      <c r="M20" s="255">
        <v>7150</v>
      </c>
      <c r="N20" s="255">
        <v>7150</v>
      </c>
      <c r="O20" s="255">
        <v>6300</v>
      </c>
      <c r="P20" s="255">
        <v>7150</v>
      </c>
      <c r="Q20" s="255">
        <v>7150</v>
      </c>
      <c r="R20" s="255">
        <v>6300</v>
      </c>
      <c r="S20" s="255">
        <v>7150</v>
      </c>
      <c r="T20" s="255">
        <v>7150</v>
      </c>
      <c r="U20" s="255">
        <v>6300</v>
      </c>
      <c r="V20" s="255">
        <v>7150</v>
      </c>
      <c r="W20" s="255">
        <v>7150</v>
      </c>
      <c r="X20" s="255">
        <v>6300</v>
      </c>
      <c r="Y20" s="255">
        <v>7150</v>
      </c>
      <c r="Z20" s="255">
        <v>7150</v>
      </c>
      <c r="AA20" s="255">
        <v>6300</v>
      </c>
      <c r="AB20" s="255">
        <v>7150</v>
      </c>
      <c r="AC20" s="255">
        <v>7150</v>
      </c>
      <c r="AD20" s="255">
        <v>6300</v>
      </c>
      <c r="AE20" s="255">
        <v>7150</v>
      </c>
      <c r="AF20" s="255">
        <v>7150</v>
      </c>
      <c r="AG20" s="255">
        <v>6100</v>
      </c>
      <c r="AH20" s="255">
        <v>6950</v>
      </c>
      <c r="AI20" s="255">
        <v>6950</v>
      </c>
      <c r="AJ20" s="255">
        <v>6525</v>
      </c>
      <c r="AK20" s="255">
        <v>7500</v>
      </c>
      <c r="AL20" s="255">
        <v>7500</v>
      </c>
      <c r="AM20" s="256">
        <v>900</v>
      </c>
      <c r="AN20" s="256">
        <v>1100</v>
      </c>
      <c r="AO20" s="256">
        <v>1100</v>
      </c>
      <c r="AP20" s="255">
        <v>6790</v>
      </c>
      <c r="AQ20" s="255">
        <v>7840</v>
      </c>
      <c r="AR20" s="255">
        <v>7840</v>
      </c>
      <c r="AS20" s="255">
        <v>6550</v>
      </c>
      <c r="AT20" s="255">
        <v>7550</v>
      </c>
      <c r="AU20" s="255">
        <v>7600</v>
      </c>
      <c r="AV20" s="255">
        <v>6550</v>
      </c>
      <c r="AW20" s="255">
        <v>7550</v>
      </c>
      <c r="AX20" s="255">
        <v>7600</v>
      </c>
      <c r="AY20" s="255">
        <v>6550</v>
      </c>
      <c r="AZ20" s="255">
        <v>7750</v>
      </c>
      <c r="BA20" s="255">
        <v>7750</v>
      </c>
      <c r="BB20" s="255">
        <v>6700</v>
      </c>
      <c r="BC20" s="255">
        <v>7800</v>
      </c>
      <c r="BD20" s="255">
        <v>7800</v>
      </c>
      <c r="BE20" s="255">
        <v>6900</v>
      </c>
      <c r="BF20" s="255">
        <v>7900</v>
      </c>
      <c r="BG20" s="255">
        <v>7900</v>
      </c>
      <c r="BH20" s="287">
        <v>7300</v>
      </c>
      <c r="BI20" s="287">
        <v>8150</v>
      </c>
      <c r="BJ20" s="288">
        <v>8150</v>
      </c>
      <c r="BK20" s="287">
        <v>7300</v>
      </c>
      <c r="BL20" s="287">
        <v>8150</v>
      </c>
      <c r="BM20" s="288">
        <v>8150</v>
      </c>
      <c r="BN20" s="287">
        <v>7300</v>
      </c>
      <c r="BO20" s="287">
        <v>8150</v>
      </c>
      <c r="BP20" s="288">
        <v>8150</v>
      </c>
      <c r="BQ20" s="228">
        <f t="shared" si="0"/>
        <v>10091</v>
      </c>
      <c r="BR20" s="229">
        <f t="shared" si="1"/>
        <v>10941</v>
      </c>
      <c r="BS20" s="230">
        <f t="shared" si="2"/>
        <v>10941</v>
      </c>
    </row>
    <row r="21" spans="1:71" ht="14.5" x14ac:dyDescent="0.35">
      <c r="A21" s="127" t="s">
        <v>238</v>
      </c>
      <c r="B21" s="129" t="s">
        <v>239</v>
      </c>
      <c r="C21" s="255">
        <v>5800</v>
      </c>
      <c r="D21" s="255">
        <v>6100</v>
      </c>
      <c r="E21" s="255">
        <v>6100</v>
      </c>
      <c r="F21" s="255">
        <v>5800</v>
      </c>
      <c r="G21" s="255">
        <v>6100</v>
      </c>
      <c r="H21" s="255">
        <v>6100</v>
      </c>
      <c r="I21" s="255">
        <v>5800</v>
      </c>
      <c r="J21" s="255">
        <v>6100</v>
      </c>
      <c r="K21" s="255">
        <v>6100</v>
      </c>
      <c r="L21" s="255">
        <v>5800</v>
      </c>
      <c r="M21" s="255">
        <v>6100</v>
      </c>
      <c r="N21" s="255">
        <v>6100</v>
      </c>
      <c r="O21" s="255">
        <v>5800</v>
      </c>
      <c r="P21" s="255">
        <v>6100</v>
      </c>
      <c r="Q21" s="255">
        <v>6100</v>
      </c>
      <c r="R21" s="255">
        <v>5800</v>
      </c>
      <c r="S21" s="255">
        <v>6100</v>
      </c>
      <c r="T21" s="255">
        <v>6100</v>
      </c>
      <c r="U21" s="255">
        <v>5800</v>
      </c>
      <c r="V21" s="255">
        <v>6100</v>
      </c>
      <c r="W21" s="255">
        <v>6100</v>
      </c>
      <c r="X21" s="255">
        <v>5800</v>
      </c>
      <c r="Y21" s="255">
        <v>6100</v>
      </c>
      <c r="Z21" s="255">
        <v>6100</v>
      </c>
      <c r="AA21" s="255">
        <v>5800</v>
      </c>
      <c r="AB21" s="255">
        <v>6100</v>
      </c>
      <c r="AC21" s="255">
        <v>6100</v>
      </c>
      <c r="AD21" s="255">
        <v>5800</v>
      </c>
      <c r="AE21" s="255">
        <v>6100</v>
      </c>
      <c r="AF21" s="255">
        <v>6100</v>
      </c>
      <c r="AG21" s="255">
        <v>5600</v>
      </c>
      <c r="AH21" s="255">
        <v>5900</v>
      </c>
      <c r="AI21" s="255">
        <v>5900</v>
      </c>
      <c r="AJ21" s="255">
        <v>6025</v>
      </c>
      <c r="AK21" s="255">
        <v>6450</v>
      </c>
      <c r="AL21" s="255">
        <v>6450</v>
      </c>
      <c r="AM21" s="256">
        <v>900</v>
      </c>
      <c r="AN21" s="256">
        <v>1100</v>
      </c>
      <c r="AO21" s="256">
        <v>1100</v>
      </c>
      <c r="AP21" s="255">
        <v>6290</v>
      </c>
      <c r="AQ21" s="255">
        <v>6790</v>
      </c>
      <c r="AR21" s="255">
        <v>6790</v>
      </c>
      <c r="AS21" s="255">
        <v>6050</v>
      </c>
      <c r="AT21" s="255">
        <v>6500</v>
      </c>
      <c r="AU21" s="255">
        <v>6550</v>
      </c>
      <c r="AV21" s="255">
        <v>6050</v>
      </c>
      <c r="AW21" s="255">
        <v>6500</v>
      </c>
      <c r="AX21" s="255">
        <v>6550</v>
      </c>
      <c r="AY21" s="255">
        <v>6050</v>
      </c>
      <c r="AZ21" s="255">
        <v>6700</v>
      </c>
      <c r="BA21" s="255">
        <v>6700</v>
      </c>
      <c r="BB21" s="255">
        <v>6200</v>
      </c>
      <c r="BC21" s="255">
        <v>6750</v>
      </c>
      <c r="BD21" s="255">
        <v>6750</v>
      </c>
      <c r="BE21" s="255">
        <v>6400</v>
      </c>
      <c r="BF21" s="255">
        <v>6850</v>
      </c>
      <c r="BG21" s="255">
        <v>6850</v>
      </c>
      <c r="BH21" s="287">
        <v>6800</v>
      </c>
      <c r="BI21" s="287">
        <v>7100</v>
      </c>
      <c r="BJ21" s="288">
        <v>7100</v>
      </c>
      <c r="BK21" s="287">
        <v>6800</v>
      </c>
      <c r="BL21" s="287">
        <v>7100</v>
      </c>
      <c r="BM21" s="288">
        <v>7100</v>
      </c>
      <c r="BN21" s="287">
        <v>6800</v>
      </c>
      <c r="BO21" s="287">
        <v>7100</v>
      </c>
      <c r="BP21" s="288">
        <v>7100</v>
      </c>
      <c r="BQ21" s="228">
        <f t="shared" si="0"/>
        <v>9591</v>
      </c>
      <c r="BR21" s="229">
        <f t="shared" si="1"/>
        <v>9891</v>
      </c>
      <c r="BS21" s="230">
        <f t="shared" si="2"/>
        <v>9891</v>
      </c>
    </row>
    <row r="22" spans="1:71" ht="14.5" x14ac:dyDescent="0.35">
      <c r="A22" s="127" t="s">
        <v>240</v>
      </c>
      <c r="B22" s="129" t="s">
        <v>241</v>
      </c>
      <c r="C22" s="255">
        <v>5800</v>
      </c>
      <c r="D22" s="255">
        <v>6100</v>
      </c>
      <c r="E22" s="255">
        <v>6100</v>
      </c>
      <c r="F22" s="255">
        <v>5800</v>
      </c>
      <c r="G22" s="255">
        <v>6100</v>
      </c>
      <c r="H22" s="255">
        <v>6100</v>
      </c>
      <c r="I22" s="255">
        <v>5800</v>
      </c>
      <c r="J22" s="255">
        <v>6100</v>
      </c>
      <c r="K22" s="255">
        <v>6100</v>
      </c>
      <c r="L22" s="255">
        <v>5800</v>
      </c>
      <c r="M22" s="255">
        <v>6100</v>
      </c>
      <c r="N22" s="255">
        <v>6100</v>
      </c>
      <c r="O22" s="255">
        <v>5800</v>
      </c>
      <c r="P22" s="255">
        <v>6100</v>
      </c>
      <c r="Q22" s="255">
        <v>6100</v>
      </c>
      <c r="R22" s="255">
        <v>5800</v>
      </c>
      <c r="S22" s="255">
        <v>6100</v>
      </c>
      <c r="T22" s="255">
        <v>6100</v>
      </c>
      <c r="U22" s="255">
        <v>5800</v>
      </c>
      <c r="V22" s="255">
        <v>6100</v>
      </c>
      <c r="W22" s="255">
        <v>6100</v>
      </c>
      <c r="X22" s="255">
        <v>5800</v>
      </c>
      <c r="Y22" s="255">
        <v>6100</v>
      </c>
      <c r="Z22" s="255">
        <v>6100</v>
      </c>
      <c r="AA22" s="255">
        <v>5800</v>
      </c>
      <c r="AB22" s="255">
        <v>6100</v>
      </c>
      <c r="AC22" s="255">
        <v>6100</v>
      </c>
      <c r="AD22" s="255">
        <v>5800</v>
      </c>
      <c r="AE22" s="255">
        <v>6100</v>
      </c>
      <c r="AF22" s="255">
        <v>6100</v>
      </c>
      <c r="AG22" s="255">
        <v>5600</v>
      </c>
      <c r="AH22" s="255">
        <v>5900</v>
      </c>
      <c r="AI22" s="255">
        <v>5900</v>
      </c>
      <c r="AJ22" s="255">
        <v>6100</v>
      </c>
      <c r="AK22" s="255">
        <v>6450</v>
      </c>
      <c r="AL22" s="255">
        <v>6450</v>
      </c>
      <c r="AM22" s="256">
        <v>900</v>
      </c>
      <c r="AN22" s="256">
        <v>900</v>
      </c>
      <c r="AO22" s="256">
        <v>900</v>
      </c>
      <c r="AP22" s="255">
        <v>6140</v>
      </c>
      <c r="AQ22" s="255">
        <v>6490</v>
      </c>
      <c r="AR22" s="255">
        <v>6490</v>
      </c>
      <c r="AS22" s="255">
        <v>5950</v>
      </c>
      <c r="AT22" s="255">
        <v>6300</v>
      </c>
      <c r="AU22" s="255">
        <v>6350</v>
      </c>
      <c r="AV22" s="255">
        <v>5950</v>
      </c>
      <c r="AW22" s="255">
        <v>6300</v>
      </c>
      <c r="AX22" s="255">
        <v>6350</v>
      </c>
      <c r="AY22" s="255">
        <v>6200</v>
      </c>
      <c r="AZ22" s="255">
        <v>6550</v>
      </c>
      <c r="BA22" s="255">
        <v>6550</v>
      </c>
      <c r="BB22" s="255">
        <v>6250</v>
      </c>
      <c r="BC22" s="255">
        <v>6600</v>
      </c>
      <c r="BD22" s="255">
        <v>6600</v>
      </c>
      <c r="BE22" s="255">
        <v>6525</v>
      </c>
      <c r="BF22" s="255">
        <v>6875</v>
      </c>
      <c r="BG22" s="255">
        <v>6875</v>
      </c>
      <c r="BH22" s="287">
        <v>6800</v>
      </c>
      <c r="BI22" s="287">
        <v>7100</v>
      </c>
      <c r="BJ22" s="288">
        <v>7100</v>
      </c>
      <c r="BK22" s="287">
        <v>6800</v>
      </c>
      <c r="BL22" s="287">
        <v>7100</v>
      </c>
      <c r="BM22" s="288">
        <v>7100</v>
      </c>
      <c r="BN22" s="287">
        <v>6800</v>
      </c>
      <c r="BO22" s="287">
        <v>7100</v>
      </c>
      <c r="BP22" s="288">
        <v>7100</v>
      </c>
      <c r="BQ22" s="228">
        <f t="shared" si="0"/>
        <v>9591</v>
      </c>
      <c r="BR22" s="229">
        <f t="shared" si="1"/>
        <v>9891</v>
      </c>
      <c r="BS22" s="230">
        <f t="shared" si="2"/>
        <v>9891</v>
      </c>
    </row>
    <row r="23" spans="1:71" ht="14.5" x14ac:dyDescent="0.35">
      <c r="A23" s="127" t="s">
        <v>242</v>
      </c>
      <c r="B23" s="129" t="s">
        <v>243</v>
      </c>
      <c r="C23" s="255">
        <v>5900</v>
      </c>
      <c r="D23" s="255">
        <v>6200</v>
      </c>
      <c r="E23" s="255">
        <v>6200</v>
      </c>
      <c r="F23" s="255">
        <v>5900</v>
      </c>
      <c r="G23" s="255">
        <v>6200</v>
      </c>
      <c r="H23" s="255">
        <v>6200</v>
      </c>
      <c r="I23" s="255">
        <v>5900</v>
      </c>
      <c r="J23" s="255">
        <v>6200</v>
      </c>
      <c r="K23" s="255">
        <v>6200</v>
      </c>
      <c r="L23" s="255">
        <v>5900</v>
      </c>
      <c r="M23" s="255">
        <v>6200</v>
      </c>
      <c r="N23" s="255">
        <v>6200</v>
      </c>
      <c r="O23" s="255">
        <v>5900</v>
      </c>
      <c r="P23" s="255">
        <v>6200</v>
      </c>
      <c r="Q23" s="255">
        <v>6200</v>
      </c>
      <c r="R23" s="255">
        <v>5900</v>
      </c>
      <c r="S23" s="255">
        <v>6200</v>
      </c>
      <c r="T23" s="255">
        <v>6200</v>
      </c>
      <c r="U23" s="255">
        <v>5900</v>
      </c>
      <c r="V23" s="255">
        <v>6200</v>
      </c>
      <c r="W23" s="255">
        <v>6200</v>
      </c>
      <c r="X23" s="255">
        <v>5900</v>
      </c>
      <c r="Y23" s="255">
        <v>6200</v>
      </c>
      <c r="Z23" s="255">
        <v>6200</v>
      </c>
      <c r="AA23" s="255">
        <v>5900</v>
      </c>
      <c r="AB23" s="255">
        <v>6200</v>
      </c>
      <c r="AC23" s="255">
        <v>6200</v>
      </c>
      <c r="AD23" s="255">
        <v>5900</v>
      </c>
      <c r="AE23" s="255">
        <v>6200</v>
      </c>
      <c r="AF23" s="255">
        <v>6200</v>
      </c>
      <c r="AG23" s="255">
        <v>5700</v>
      </c>
      <c r="AH23" s="255">
        <v>6000</v>
      </c>
      <c r="AI23" s="255">
        <v>6000</v>
      </c>
      <c r="AJ23" s="255">
        <v>6200</v>
      </c>
      <c r="AK23" s="255">
        <v>6550</v>
      </c>
      <c r="AL23" s="255">
        <v>6550</v>
      </c>
      <c r="AM23" s="256">
        <v>900</v>
      </c>
      <c r="AN23" s="256">
        <v>900</v>
      </c>
      <c r="AO23" s="256">
        <v>900</v>
      </c>
      <c r="AP23" s="255">
        <v>6240</v>
      </c>
      <c r="AQ23" s="255">
        <v>6590</v>
      </c>
      <c r="AR23" s="255">
        <v>6590</v>
      </c>
      <c r="AS23" s="255">
        <v>6050</v>
      </c>
      <c r="AT23" s="255">
        <v>6400</v>
      </c>
      <c r="AU23" s="255">
        <v>6450</v>
      </c>
      <c r="AV23" s="255">
        <v>6050</v>
      </c>
      <c r="AW23" s="255">
        <v>6400</v>
      </c>
      <c r="AX23" s="255">
        <v>6450</v>
      </c>
      <c r="AY23" s="255">
        <v>6300</v>
      </c>
      <c r="AZ23" s="255">
        <v>6650</v>
      </c>
      <c r="BA23" s="255">
        <v>6650</v>
      </c>
      <c r="BB23" s="255">
        <v>6350</v>
      </c>
      <c r="BC23" s="255">
        <v>6700</v>
      </c>
      <c r="BD23" s="255">
        <v>6700</v>
      </c>
      <c r="BE23" s="255">
        <v>6625</v>
      </c>
      <c r="BF23" s="255">
        <v>6975</v>
      </c>
      <c r="BG23" s="255">
        <v>6975</v>
      </c>
      <c r="BH23" s="287">
        <v>6900</v>
      </c>
      <c r="BI23" s="287">
        <v>7200</v>
      </c>
      <c r="BJ23" s="288">
        <v>7200</v>
      </c>
      <c r="BK23" s="287">
        <v>6900</v>
      </c>
      <c r="BL23" s="287">
        <v>7200</v>
      </c>
      <c r="BM23" s="288">
        <v>7200</v>
      </c>
      <c r="BN23" s="287">
        <v>6900</v>
      </c>
      <c r="BO23" s="287">
        <v>7200</v>
      </c>
      <c r="BP23" s="288">
        <v>7200</v>
      </c>
      <c r="BQ23" s="228">
        <f t="shared" si="0"/>
        <v>9691</v>
      </c>
      <c r="BR23" s="229">
        <f t="shared" si="1"/>
        <v>9991</v>
      </c>
      <c r="BS23" s="230">
        <f t="shared" si="2"/>
        <v>9991</v>
      </c>
    </row>
    <row r="24" spans="1:71" ht="14.5" x14ac:dyDescent="0.35">
      <c r="A24" s="127" t="s">
        <v>244</v>
      </c>
      <c r="B24" s="129" t="s">
        <v>245</v>
      </c>
      <c r="C24" s="255">
        <v>5900</v>
      </c>
      <c r="D24" s="255">
        <v>6200</v>
      </c>
      <c r="E24" s="255">
        <v>6200</v>
      </c>
      <c r="F24" s="255">
        <v>5900</v>
      </c>
      <c r="G24" s="255">
        <v>6200</v>
      </c>
      <c r="H24" s="255">
        <v>6200</v>
      </c>
      <c r="I24" s="255">
        <v>5900</v>
      </c>
      <c r="J24" s="255">
        <v>6200</v>
      </c>
      <c r="K24" s="255">
        <v>6200</v>
      </c>
      <c r="L24" s="255">
        <v>5900</v>
      </c>
      <c r="M24" s="255">
        <v>6200</v>
      </c>
      <c r="N24" s="255">
        <v>6200</v>
      </c>
      <c r="O24" s="255">
        <v>5900</v>
      </c>
      <c r="P24" s="255">
        <v>6200</v>
      </c>
      <c r="Q24" s="255">
        <v>6200</v>
      </c>
      <c r="R24" s="255">
        <v>5900</v>
      </c>
      <c r="S24" s="255">
        <v>6200</v>
      </c>
      <c r="T24" s="255">
        <v>6200</v>
      </c>
      <c r="U24" s="255">
        <v>5900</v>
      </c>
      <c r="V24" s="255">
        <v>6200</v>
      </c>
      <c r="W24" s="255">
        <v>6200</v>
      </c>
      <c r="X24" s="255">
        <v>5900</v>
      </c>
      <c r="Y24" s="255">
        <v>6200</v>
      </c>
      <c r="Z24" s="255">
        <v>6200</v>
      </c>
      <c r="AA24" s="255">
        <v>5900</v>
      </c>
      <c r="AB24" s="255">
        <v>6200</v>
      </c>
      <c r="AC24" s="255">
        <v>6200</v>
      </c>
      <c r="AD24" s="255">
        <v>5900</v>
      </c>
      <c r="AE24" s="255">
        <v>6200</v>
      </c>
      <c r="AF24" s="255">
        <v>6200</v>
      </c>
      <c r="AG24" s="255">
        <v>5700</v>
      </c>
      <c r="AH24" s="255">
        <v>6000</v>
      </c>
      <c r="AI24" s="255">
        <v>6000</v>
      </c>
      <c r="AJ24" s="255">
        <v>6200</v>
      </c>
      <c r="AK24" s="255">
        <v>6550</v>
      </c>
      <c r="AL24" s="255">
        <v>6550</v>
      </c>
      <c r="AM24" s="256">
        <v>900</v>
      </c>
      <c r="AN24" s="256">
        <v>900</v>
      </c>
      <c r="AO24" s="256">
        <v>900</v>
      </c>
      <c r="AP24" s="255">
        <v>6240</v>
      </c>
      <c r="AQ24" s="255">
        <v>6590</v>
      </c>
      <c r="AR24" s="255">
        <v>6590</v>
      </c>
      <c r="AS24" s="255">
        <v>6050</v>
      </c>
      <c r="AT24" s="255">
        <v>6400</v>
      </c>
      <c r="AU24" s="255">
        <v>6450</v>
      </c>
      <c r="AV24" s="255">
        <v>6050</v>
      </c>
      <c r="AW24" s="255">
        <v>6400</v>
      </c>
      <c r="AX24" s="255">
        <v>6450</v>
      </c>
      <c r="AY24" s="255">
        <v>6300</v>
      </c>
      <c r="AZ24" s="255">
        <v>6650</v>
      </c>
      <c r="BA24" s="255">
        <v>6650</v>
      </c>
      <c r="BB24" s="255">
        <v>6350</v>
      </c>
      <c r="BC24" s="255">
        <v>6700</v>
      </c>
      <c r="BD24" s="255">
        <v>6700</v>
      </c>
      <c r="BE24" s="255">
        <v>6625</v>
      </c>
      <c r="BF24" s="255">
        <v>6975</v>
      </c>
      <c r="BG24" s="255">
        <v>6975</v>
      </c>
      <c r="BH24" s="287">
        <v>6900</v>
      </c>
      <c r="BI24" s="287">
        <v>7200</v>
      </c>
      <c r="BJ24" s="288">
        <v>7200</v>
      </c>
      <c r="BK24" s="287">
        <v>6900</v>
      </c>
      <c r="BL24" s="287">
        <v>7200</v>
      </c>
      <c r="BM24" s="288">
        <v>7200</v>
      </c>
      <c r="BN24" s="287">
        <v>6900</v>
      </c>
      <c r="BO24" s="287">
        <v>7200</v>
      </c>
      <c r="BP24" s="288">
        <v>7200</v>
      </c>
      <c r="BQ24" s="228">
        <f t="shared" si="0"/>
        <v>9691</v>
      </c>
      <c r="BR24" s="229">
        <f t="shared" si="1"/>
        <v>9991</v>
      </c>
      <c r="BS24" s="230">
        <f t="shared" si="2"/>
        <v>9991</v>
      </c>
    </row>
    <row r="25" spans="1:71" ht="14.5" x14ac:dyDescent="0.35">
      <c r="A25" s="127" t="s">
        <v>246</v>
      </c>
      <c r="B25" s="129" t="s">
        <v>247</v>
      </c>
      <c r="C25" s="255">
        <v>5900</v>
      </c>
      <c r="D25" s="255">
        <v>6200</v>
      </c>
      <c r="E25" s="255">
        <v>6200</v>
      </c>
      <c r="F25" s="255">
        <v>5900</v>
      </c>
      <c r="G25" s="255">
        <v>6200</v>
      </c>
      <c r="H25" s="255">
        <v>6200</v>
      </c>
      <c r="I25" s="255">
        <v>5900</v>
      </c>
      <c r="J25" s="255">
        <v>6200</v>
      </c>
      <c r="K25" s="255">
        <v>6200</v>
      </c>
      <c r="L25" s="255">
        <v>5900</v>
      </c>
      <c r="M25" s="255">
        <v>6200</v>
      </c>
      <c r="N25" s="255">
        <v>6200</v>
      </c>
      <c r="O25" s="255">
        <v>5900</v>
      </c>
      <c r="P25" s="255">
        <v>6200</v>
      </c>
      <c r="Q25" s="255">
        <v>6200</v>
      </c>
      <c r="R25" s="255">
        <v>5900</v>
      </c>
      <c r="S25" s="255">
        <v>6200</v>
      </c>
      <c r="T25" s="255">
        <v>6200</v>
      </c>
      <c r="U25" s="255">
        <v>5900</v>
      </c>
      <c r="V25" s="255">
        <v>6200</v>
      </c>
      <c r="W25" s="255">
        <v>6200</v>
      </c>
      <c r="X25" s="255">
        <v>5900</v>
      </c>
      <c r="Y25" s="255">
        <v>6200</v>
      </c>
      <c r="Z25" s="255">
        <v>6200</v>
      </c>
      <c r="AA25" s="255">
        <v>5900</v>
      </c>
      <c r="AB25" s="255">
        <v>6200</v>
      </c>
      <c r="AC25" s="255">
        <v>6200</v>
      </c>
      <c r="AD25" s="255">
        <v>5900</v>
      </c>
      <c r="AE25" s="255">
        <v>6200</v>
      </c>
      <c r="AF25" s="255">
        <v>6200</v>
      </c>
      <c r="AG25" s="255">
        <v>5700</v>
      </c>
      <c r="AH25" s="255">
        <v>6000</v>
      </c>
      <c r="AI25" s="255">
        <v>6000</v>
      </c>
      <c r="AJ25" s="255">
        <v>6200</v>
      </c>
      <c r="AK25" s="255">
        <v>6550</v>
      </c>
      <c r="AL25" s="255">
        <v>6550</v>
      </c>
      <c r="AM25" s="256">
        <v>900</v>
      </c>
      <c r="AN25" s="256">
        <v>900</v>
      </c>
      <c r="AO25" s="256">
        <v>900</v>
      </c>
      <c r="AP25" s="255">
        <v>6240</v>
      </c>
      <c r="AQ25" s="255">
        <v>6590</v>
      </c>
      <c r="AR25" s="255">
        <v>6590</v>
      </c>
      <c r="AS25" s="255">
        <v>6050</v>
      </c>
      <c r="AT25" s="255">
        <v>6400</v>
      </c>
      <c r="AU25" s="255">
        <v>6450</v>
      </c>
      <c r="AV25" s="255">
        <v>6050</v>
      </c>
      <c r="AW25" s="255">
        <v>6400</v>
      </c>
      <c r="AX25" s="255">
        <v>6450</v>
      </c>
      <c r="AY25" s="255">
        <v>6300</v>
      </c>
      <c r="AZ25" s="255">
        <v>6650</v>
      </c>
      <c r="BA25" s="255">
        <v>6650</v>
      </c>
      <c r="BB25" s="255">
        <v>6350</v>
      </c>
      <c r="BC25" s="255">
        <v>6700</v>
      </c>
      <c r="BD25" s="255">
        <v>6700</v>
      </c>
      <c r="BE25" s="255">
        <v>6625</v>
      </c>
      <c r="BF25" s="255">
        <v>6975</v>
      </c>
      <c r="BG25" s="255">
        <v>6975</v>
      </c>
      <c r="BH25" s="287">
        <v>6900</v>
      </c>
      <c r="BI25" s="287">
        <v>7200</v>
      </c>
      <c r="BJ25" s="288">
        <v>7200</v>
      </c>
      <c r="BK25" s="287">
        <v>6900</v>
      </c>
      <c r="BL25" s="287">
        <v>7200</v>
      </c>
      <c r="BM25" s="288">
        <v>7200</v>
      </c>
      <c r="BN25" s="287">
        <v>6900</v>
      </c>
      <c r="BO25" s="287">
        <v>7200</v>
      </c>
      <c r="BP25" s="288">
        <v>7200</v>
      </c>
      <c r="BQ25" s="228">
        <f t="shared" si="0"/>
        <v>9691</v>
      </c>
      <c r="BR25" s="229">
        <f t="shared" si="1"/>
        <v>9991</v>
      </c>
      <c r="BS25" s="230">
        <f t="shared" si="2"/>
        <v>9991</v>
      </c>
    </row>
    <row r="26" spans="1:71" ht="42.5" x14ac:dyDescent="0.35">
      <c r="A26" s="127" t="s">
        <v>248</v>
      </c>
      <c r="B26" s="149" t="s">
        <v>249</v>
      </c>
      <c r="C26" s="259">
        <v>5800</v>
      </c>
      <c r="D26" s="259">
        <v>6100</v>
      </c>
      <c r="E26" s="259">
        <v>6100</v>
      </c>
      <c r="F26" s="259">
        <v>5800</v>
      </c>
      <c r="G26" s="259">
        <v>6100</v>
      </c>
      <c r="H26" s="259">
        <v>6100</v>
      </c>
      <c r="I26" s="259">
        <v>5800</v>
      </c>
      <c r="J26" s="259">
        <v>6100</v>
      </c>
      <c r="K26" s="259">
        <v>6100</v>
      </c>
      <c r="L26" s="259">
        <v>5800</v>
      </c>
      <c r="M26" s="259">
        <v>6100</v>
      </c>
      <c r="N26" s="259">
        <v>6100</v>
      </c>
      <c r="O26" s="259">
        <v>5800</v>
      </c>
      <c r="P26" s="259">
        <v>6100</v>
      </c>
      <c r="Q26" s="259">
        <v>6100</v>
      </c>
      <c r="R26" s="259">
        <v>5800</v>
      </c>
      <c r="S26" s="259">
        <v>6100</v>
      </c>
      <c r="T26" s="259">
        <v>6100</v>
      </c>
      <c r="U26" s="259">
        <v>5800</v>
      </c>
      <c r="V26" s="259">
        <v>6100</v>
      </c>
      <c r="W26" s="259">
        <v>6100</v>
      </c>
      <c r="X26" s="259">
        <v>5800</v>
      </c>
      <c r="Y26" s="259">
        <v>6100</v>
      </c>
      <c r="Z26" s="259">
        <v>6100</v>
      </c>
      <c r="AA26" s="259">
        <v>5800</v>
      </c>
      <c r="AB26" s="259">
        <v>6100</v>
      </c>
      <c r="AC26" s="259">
        <v>6100</v>
      </c>
      <c r="AD26" s="259">
        <v>5800</v>
      </c>
      <c r="AE26" s="259">
        <v>6100</v>
      </c>
      <c r="AF26" s="259">
        <v>6100</v>
      </c>
      <c r="AG26" s="259">
        <v>5600</v>
      </c>
      <c r="AH26" s="259">
        <v>5900</v>
      </c>
      <c r="AI26" s="259">
        <v>5900</v>
      </c>
      <c r="AJ26" s="259">
        <v>6000</v>
      </c>
      <c r="AK26" s="259">
        <v>6450</v>
      </c>
      <c r="AL26" s="259">
        <v>6450</v>
      </c>
      <c r="AM26" s="260">
        <v>900</v>
      </c>
      <c r="AN26" s="260">
        <v>1100</v>
      </c>
      <c r="AO26" s="260">
        <v>1100</v>
      </c>
      <c r="AP26" s="259">
        <v>6385</v>
      </c>
      <c r="AQ26" s="259">
        <v>6890</v>
      </c>
      <c r="AR26" s="259">
        <v>6890</v>
      </c>
      <c r="AS26" s="259">
        <v>5950</v>
      </c>
      <c r="AT26" s="259">
        <v>6250</v>
      </c>
      <c r="AU26" s="259">
        <v>6300</v>
      </c>
      <c r="AV26" s="259">
        <v>5950</v>
      </c>
      <c r="AW26" s="259">
        <v>6250</v>
      </c>
      <c r="AX26" s="259">
        <v>6300</v>
      </c>
      <c r="AY26" s="259">
        <v>5950</v>
      </c>
      <c r="AZ26" s="259">
        <v>6450</v>
      </c>
      <c r="BA26" s="259">
        <v>6450</v>
      </c>
      <c r="BB26" s="255">
        <v>6800</v>
      </c>
      <c r="BC26" s="255">
        <v>7200</v>
      </c>
      <c r="BD26" s="255">
        <v>7200</v>
      </c>
      <c r="BE26" s="255">
        <v>6375</v>
      </c>
      <c r="BF26" s="255">
        <v>6875</v>
      </c>
      <c r="BG26" s="255">
        <v>6875</v>
      </c>
      <c r="BH26" s="293">
        <v>6800</v>
      </c>
      <c r="BI26" s="293">
        <v>7100</v>
      </c>
      <c r="BJ26" s="294">
        <v>7100</v>
      </c>
      <c r="BK26" s="293">
        <v>6800</v>
      </c>
      <c r="BL26" s="293">
        <v>7100</v>
      </c>
      <c r="BM26" s="294">
        <v>7100</v>
      </c>
      <c r="BN26" s="295">
        <v>6800</v>
      </c>
      <c r="BO26" s="293">
        <v>7100</v>
      </c>
      <c r="BP26" s="294">
        <v>7100</v>
      </c>
      <c r="BQ26" s="228">
        <f t="shared" si="0"/>
        <v>9591</v>
      </c>
      <c r="BR26" s="229">
        <f t="shared" si="1"/>
        <v>9891</v>
      </c>
      <c r="BS26" s="230">
        <f t="shared" si="2"/>
        <v>9891</v>
      </c>
    </row>
    <row r="27" spans="1:71" ht="14.5" x14ac:dyDescent="0.35">
      <c r="A27" s="127" t="s">
        <v>250</v>
      </c>
      <c r="B27" s="127" t="s">
        <v>251</v>
      </c>
      <c r="C27" s="255">
        <v>5850</v>
      </c>
      <c r="D27" s="255">
        <v>6400</v>
      </c>
      <c r="E27" s="255">
        <v>6400</v>
      </c>
      <c r="F27" s="255">
        <v>5850</v>
      </c>
      <c r="G27" s="255">
        <v>6400</v>
      </c>
      <c r="H27" s="255">
        <v>6400</v>
      </c>
      <c r="I27" s="255">
        <v>5850</v>
      </c>
      <c r="J27" s="255">
        <v>6400</v>
      </c>
      <c r="K27" s="255">
        <v>6400</v>
      </c>
      <c r="L27" s="255">
        <v>5850</v>
      </c>
      <c r="M27" s="255">
        <v>6400</v>
      </c>
      <c r="N27" s="255">
        <v>6400</v>
      </c>
      <c r="O27" s="255">
        <v>5850</v>
      </c>
      <c r="P27" s="255">
        <v>6400</v>
      </c>
      <c r="Q27" s="255">
        <v>6400</v>
      </c>
      <c r="R27" s="255">
        <v>5850</v>
      </c>
      <c r="S27" s="255">
        <v>6400</v>
      </c>
      <c r="T27" s="255">
        <v>6400</v>
      </c>
      <c r="U27" s="255">
        <v>5850</v>
      </c>
      <c r="V27" s="255">
        <v>6400</v>
      </c>
      <c r="W27" s="255">
        <v>6400</v>
      </c>
      <c r="X27" s="255">
        <v>5850</v>
      </c>
      <c r="Y27" s="255">
        <v>6400</v>
      </c>
      <c r="Z27" s="255">
        <v>6400</v>
      </c>
      <c r="AA27" s="255">
        <v>5850</v>
      </c>
      <c r="AB27" s="255">
        <v>6400</v>
      </c>
      <c r="AC27" s="255">
        <v>6400</v>
      </c>
      <c r="AD27" s="255">
        <v>5850</v>
      </c>
      <c r="AE27" s="255">
        <v>6400</v>
      </c>
      <c r="AF27" s="255">
        <v>6400</v>
      </c>
      <c r="AG27" s="255">
        <v>5650</v>
      </c>
      <c r="AH27" s="255">
        <v>6200</v>
      </c>
      <c r="AI27" s="255">
        <v>6200</v>
      </c>
      <c r="AJ27" s="255">
        <v>6050</v>
      </c>
      <c r="AK27" s="255">
        <v>6750</v>
      </c>
      <c r="AL27" s="255">
        <v>6750</v>
      </c>
      <c r="AM27" s="256">
        <v>900</v>
      </c>
      <c r="AN27" s="256">
        <v>1100</v>
      </c>
      <c r="AO27" s="256">
        <v>1100</v>
      </c>
      <c r="AP27" s="255">
        <v>6435</v>
      </c>
      <c r="AQ27" s="255">
        <v>7190</v>
      </c>
      <c r="AR27" s="255">
        <v>7190</v>
      </c>
      <c r="AS27" s="255">
        <v>6000</v>
      </c>
      <c r="AT27" s="255">
        <v>6550</v>
      </c>
      <c r="AU27" s="255">
        <v>6600</v>
      </c>
      <c r="AV27" s="255">
        <v>6000</v>
      </c>
      <c r="AW27" s="255">
        <v>6550</v>
      </c>
      <c r="AX27" s="255">
        <v>6600</v>
      </c>
      <c r="AY27" s="255">
        <v>6000</v>
      </c>
      <c r="AZ27" s="255">
        <v>6750</v>
      </c>
      <c r="BA27" s="255">
        <v>6750</v>
      </c>
      <c r="BB27" s="255">
        <v>6850</v>
      </c>
      <c r="BC27" s="255">
        <v>7500</v>
      </c>
      <c r="BD27" s="255">
        <v>7500</v>
      </c>
      <c r="BE27" s="255">
        <v>6425</v>
      </c>
      <c r="BF27" s="255">
        <v>7175</v>
      </c>
      <c r="BG27" s="255">
        <v>7175</v>
      </c>
      <c r="BH27" s="287">
        <v>6850</v>
      </c>
      <c r="BI27" s="287">
        <v>7400</v>
      </c>
      <c r="BJ27" s="288">
        <v>7400</v>
      </c>
      <c r="BK27" s="287">
        <v>6850</v>
      </c>
      <c r="BL27" s="287">
        <v>7400</v>
      </c>
      <c r="BM27" s="288">
        <v>7400</v>
      </c>
      <c r="BN27" s="289">
        <v>6850</v>
      </c>
      <c r="BO27" s="287">
        <v>7400</v>
      </c>
      <c r="BP27" s="288">
        <v>7400</v>
      </c>
      <c r="BQ27" s="228">
        <f t="shared" si="0"/>
        <v>9641</v>
      </c>
      <c r="BR27" s="229">
        <f t="shared" si="1"/>
        <v>10191</v>
      </c>
      <c r="BS27" s="230">
        <f t="shared" si="2"/>
        <v>10191</v>
      </c>
    </row>
    <row r="28" spans="1:71" ht="14.5" x14ac:dyDescent="0.35">
      <c r="A28" s="127" t="s">
        <v>252</v>
      </c>
      <c r="B28" s="127" t="s">
        <v>253</v>
      </c>
      <c r="C28" s="255">
        <v>5800</v>
      </c>
      <c r="D28" s="255">
        <v>6100</v>
      </c>
      <c r="E28" s="255">
        <v>6100</v>
      </c>
      <c r="F28" s="255">
        <v>5800</v>
      </c>
      <c r="G28" s="255">
        <v>6100</v>
      </c>
      <c r="H28" s="255">
        <v>6100</v>
      </c>
      <c r="I28" s="255">
        <v>5800</v>
      </c>
      <c r="J28" s="255">
        <v>6100</v>
      </c>
      <c r="K28" s="255">
        <v>6100</v>
      </c>
      <c r="L28" s="255">
        <v>5800</v>
      </c>
      <c r="M28" s="255">
        <v>6100</v>
      </c>
      <c r="N28" s="255">
        <v>6100</v>
      </c>
      <c r="O28" s="255">
        <v>5800</v>
      </c>
      <c r="P28" s="255">
        <v>6100</v>
      </c>
      <c r="Q28" s="255">
        <v>6100</v>
      </c>
      <c r="R28" s="255">
        <v>5800</v>
      </c>
      <c r="S28" s="255">
        <v>6100</v>
      </c>
      <c r="T28" s="255">
        <v>6100</v>
      </c>
      <c r="U28" s="255">
        <v>5800</v>
      </c>
      <c r="V28" s="255">
        <v>6100</v>
      </c>
      <c r="W28" s="255">
        <v>6100</v>
      </c>
      <c r="X28" s="255">
        <v>5800</v>
      </c>
      <c r="Y28" s="255">
        <v>6100</v>
      </c>
      <c r="Z28" s="255">
        <v>6100</v>
      </c>
      <c r="AA28" s="255">
        <v>5800</v>
      </c>
      <c r="AB28" s="255">
        <v>6100</v>
      </c>
      <c r="AC28" s="255">
        <v>6100</v>
      </c>
      <c r="AD28" s="255">
        <v>5800</v>
      </c>
      <c r="AE28" s="255">
        <v>6100</v>
      </c>
      <c r="AF28" s="255">
        <v>6100</v>
      </c>
      <c r="AG28" s="255">
        <v>5600</v>
      </c>
      <c r="AH28" s="255">
        <v>5900</v>
      </c>
      <c r="AI28" s="255">
        <v>5900</v>
      </c>
      <c r="AJ28" s="255">
        <v>6000</v>
      </c>
      <c r="AK28" s="255">
        <v>6450</v>
      </c>
      <c r="AL28" s="255">
        <v>6450</v>
      </c>
      <c r="AM28" s="256">
        <v>900</v>
      </c>
      <c r="AN28" s="256">
        <v>1100</v>
      </c>
      <c r="AO28" s="256">
        <v>1100</v>
      </c>
      <c r="AP28" s="255">
        <v>6385</v>
      </c>
      <c r="AQ28" s="255">
        <v>6890</v>
      </c>
      <c r="AR28" s="255">
        <v>6890</v>
      </c>
      <c r="AS28" s="255">
        <v>5950</v>
      </c>
      <c r="AT28" s="255">
        <v>6250</v>
      </c>
      <c r="AU28" s="255">
        <v>6300</v>
      </c>
      <c r="AV28" s="255">
        <v>5950</v>
      </c>
      <c r="AW28" s="255">
        <v>6250</v>
      </c>
      <c r="AX28" s="255">
        <v>6300</v>
      </c>
      <c r="AY28" s="255">
        <v>5950</v>
      </c>
      <c r="AZ28" s="255">
        <v>6450</v>
      </c>
      <c r="BA28" s="255">
        <v>6450</v>
      </c>
      <c r="BB28" s="255">
        <v>6800</v>
      </c>
      <c r="BC28" s="255">
        <v>7200</v>
      </c>
      <c r="BD28" s="255">
        <v>7200</v>
      </c>
      <c r="BE28" s="255">
        <v>6375</v>
      </c>
      <c r="BF28" s="255">
        <v>6875</v>
      </c>
      <c r="BG28" s="255">
        <v>6875</v>
      </c>
      <c r="BH28" s="287">
        <v>6800</v>
      </c>
      <c r="BI28" s="287">
        <v>7100</v>
      </c>
      <c r="BJ28" s="288">
        <v>7100</v>
      </c>
      <c r="BK28" s="287">
        <v>6800</v>
      </c>
      <c r="BL28" s="287">
        <v>7100</v>
      </c>
      <c r="BM28" s="288">
        <v>7100</v>
      </c>
      <c r="BN28" s="296">
        <v>6800</v>
      </c>
      <c r="BO28" s="297">
        <v>7100</v>
      </c>
      <c r="BP28" s="298">
        <v>7100</v>
      </c>
      <c r="BQ28" s="228">
        <f t="shared" si="0"/>
        <v>9591</v>
      </c>
      <c r="BR28" s="229">
        <f t="shared" si="1"/>
        <v>9891</v>
      </c>
      <c r="BS28" s="230">
        <f t="shared" si="2"/>
        <v>9891</v>
      </c>
    </row>
    <row r="29" spans="1:71" s="208" customFormat="1" ht="14.5" x14ac:dyDescent="0.35">
      <c r="A29" s="155" t="s">
        <v>254</v>
      </c>
      <c r="B29" s="155" t="s">
        <v>255</v>
      </c>
      <c r="C29" s="238">
        <v>0</v>
      </c>
      <c r="D29" s="238">
        <v>0</v>
      </c>
      <c r="E29" s="238">
        <v>0</v>
      </c>
      <c r="F29" s="238">
        <v>0</v>
      </c>
      <c r="G29" s="238">
        <v>0</v>
      </c>
      <c r="H29" s="238">
        <v>0</v>
      </c>
      <c r="I29" s="238">
        <v>0</v>
      </c>
      <c r="J29" s="238">
        <v>0</v>
      </c>
      <c r="K29" s="238">
        <v>0</v>
      </c>
      <c r="L29" s="238">
        <v>0</v>
      </c>
      <c r="M29" s="238">
        <v>0</v>
      </c>
      <c r="N29" s="238">
        <v>0</v>
      </c>
      <c r="O29" s="238">
        <v>0</v>
      </c>
      <c r="P29" s="238">
        <v>0</v>
      </c>
      <c r="Q29" s="238">
        <v>0</v>
      </c>
      <c r="R29" s="238">
        <v>0</v>
      </c>
      <c r="S29" s="238">
        <v>0</v>
      </c>
      <c r="T29" s="238">
        <v>0</v>
      </c>
      <c r="U29" s="238">
        <v>0</v>
      </c>
      <c r="V29" s="238">
        <v>0</v>
      </c>
      <c r="W29" s="238">
        <v>0</v>
      </c>
      <c r="X29" s="238">
        <v>0</v>
      </c>
      <c r="Y29" s="238">
        <v>0</v>
      </c>
      <c r="Z29" s="238">
        <v>0</v>
      </c>
      <c r="AA29" s="238">
        <v>0</v>
      </c>
      <c r="AB29" s="238">
        <v>0</v>
      </c>
      <c r="AC29" s="238">
        <v>0</v>
      </c>
      <c r="AD29" s="238">
        <v>0</v>
      </c>
      <c r="AE29" s="238">
        <v>0</v>
      </c>
      <c r="AF29" s="238">
        <v>0</v>
      </c>
      <c r="AG29" s="238">
        <v>0</v>
      </c>
      <c r="AH29" s="238">
        <v>0</v>
      </c>
      <c r="AI29" s="238">
        <v>0</v>
      </c>
      <c r="AJ29" s="238">
        <v>0</v>
      </c>
      <c r="AK29" s="238">
        <v>0</v>
      </c>
      <c r="AL29" s="238">
        <v>0</v>
      </c>
      <c r="AM29" s="256">
        <v>0</v>
      </c>
      <c r="AN29" s="256">
        <v>0</v>
      </c>
      <c r="AO29" s="256">
        <v>0</v>
      </c>
      <c r="AP29" s="238">
        <v>0</v>
      </c>
      <c r="AQ29" s="238">
        <v>0</v>
      </c>
      <c r="AR29" s="238">
        <v>0</v>
      </c>
      <c r="AS29" s="238">
        <v>0</v>
      </c>
      <c r="AT29" s="238">
        <v>0</v>
      </c>
      <c r="AU29" s="238">
        <v>0</v>
      </c>
      <c r="AV29" s="238">
        <v>0</v>
      </c>
      <c r="AW29" s="238">
        <v>0</v>
      </c>
      <c r="AX29" s="238">
        <v>0</v>
      </c>
      <c r="AY29" s="238">
        <v>0</v>
      </c>
      <c r="AZ29" s="238">
        <v>0</v>
      </c>
      <c r="BA29" s="238">
        <v>0</v>
      </c>
      <c r="BB29" s="238">
        <v>0</v>
      </c>
      <c r="BC29" s="238">
        <v>0</v>
      </c>
      <c r="BD29" s="238">
        <v>0</v>
      </c>
      <c r="BE29" s="238">
        <v>0</v>
      </c>
      <c r="BF29" s="238">
        <v>0</v>
      </c>
      <c r="BG29" s="238">
        <v>0</v>
      </c>
      <c r="BH29" s="238">
        <v>0</v>
      </c>
      <c r="BI29" s="238">
        <v>0</v>
      </c>
      <c r="BJ29" s="261">
        <v>0</v>
      </c>
      <c r="BK29" s="238">
        <v>0</v>
      </c>
      <c r="BL29" s="238">
        <v>0</v>
      </c>
      <c r="BM29" s="238">
        <v>0</v>
      </c>
      <c r="BN29" s="262">
        <v>0</v>
      </c>
      <c r="BO29" s="263">
        <v>0</v>
      </c>
      <c r="BP29" s="263">
        <v>0</v>
      </c>
      <c r="BQ29" s="231"/>
      <c r="BR29" s="232"/>
      <c r="BS29" s="233"/>
    </row>
    <row r="30" spans="1:71" ht="14.5" x14ac:dyDescent="0.35">
      <c r="A30" s="199" t="s">
        <v>256</v>
      </c>
      <c r="B30" s="199" t="s">
        <v>257</v>
      </c>
      <c r="C30" s="264">
        <v>7675</v>
      </c>
      <c r="D30" s="264">
        <v>8600</v>
      </c>
      <c r="E30" s="264">
        <v>8600</v>
      </c>
      <c r="F30" s="264">
        <v>7575</v>
      </c>
      <c r="G30" s="264">
        <v>8500</v>
      </c>
      <c r="H30" s="264">
        <v>8500</v>
      </c>
      <c r="I30" s="264">
        <v>7675</v>
      </c>
      <c r="J30" s="264">
        <v>8600</v>
      </c>
      <c r="K30" s="264">
        <v>8600</v>
      </c>
      <c r="L30" s="264">
        <v>7675</v>
      </c>
      <c r="M30" s="264">
        <v>8600</v>
      </c>
      <c r="N30" s="264">
        <v>8600</v>
      </c>
      <c r="O30" s="264">
        <v>7675</v>
      </c>
      <c r="P30" s="264">
        <v>8600</v>
      </c>
      <c r="Q30" s="264">
        <v>8600</v>
      </c>
      <c r="R30" s="264">
        <v>7675</v>
      </c>
      <c r="S30" s="264">
        <v>8600</v>
      </c>
      <c r="T30" s="264">
        <v>8600</v>
      </c>
      <c r="U30" s="264">
        <v>7675</v>
      </c>
      <c r="V30" s="264">
        <v>8600</v>
      </c>
      <c r="W30" s="264">
        <v>8600</v>
      </c>
      <c r="X30" s="264">
        <v>7675</v>
      </c>
      <c r="Y30" s="264">
        <v>8600</v>
      </c>
      <c r="Z30" s="264">
        <v>8600</v>
      </c>
      <c r="AA30" s="264">
        <v>7675</v>
      </c>
      <c r="AB30" s="264">
        <v>8600</v>
      </c>
      <c r="AC30" s="264">
        <v>8600</v>
      </c>
      <c r="AD30" s="264">
        <v>7675</v>
      </c>
      <c r="AE30" s="264">
        <v>8600</v>
      </c>
      <c r="AF30" s="264">
        <v>8600</v>
      </c>
      <c r="AG30" s="264">
        <v>7475</v>
      </c>
      <c r="AH30" s="264">
        <v>8400</v>
      </c>
      <c r="AI30" s="264">
        <v>8400</v>
      </c>
      <c r="AJ30" s="264">
        <v>7975</v>
      </c>
      <c r="AK30" s="264">
        <v>8950</v>
      </c>
      <c r="AL30" s="264">
        <v>8950</v>
      </c>
      <c r="AM30" s="265">
        <v>1600</v>
      </c>
      <c r="AN30" s="265">
        <v>1800</v>
      </c>
      <c r="AO30" s="265">
        <v>1800</v>
      </c>
      <c r="AP30" s="264">
        <v>7990</v>
      </c>
      <c r="AQ30" s="264">
        <v>9165</v>
      </c>
      <c r="AR30" s="264">
        <v>9165</v>
      </c>
      <c r="AS30" s="264">
        <v>7700</v>
      </c>
      <c r="AT30" s="264">
        <v>8775</v>
      </c>
      <c r="AU30" s="264">
        <v>8775</v>
      </c>
      <c r="AV30" s="264">
        <v>7700</v>
      </c>
      <c r="AW30" s="264">
        <v>8775</v>
      </c>
      <c r="AX30" s="264">
        <v>8775</v>
      </c>
      <c r="AY30" s="264">
        <v>7750</v>
      </c>
      <c r="AZ30" s="264">
        <v>8825</v>
      </c>
      <c r="BA30" s="264">
        <v>8825</v>
      </c>
      <c r="BB30" s="266">
        <v>8000</v>
      </c>
      <c r="BC30" s="266">
        <v>9075</v>
      </c>
      <c r="BD30" s="266">
        <v>9075</v>
      </c>
      <c r="BE30" s="266">
        <v>8325</v>
      </c>
      <c r="BF30" s="266">
        <v>9400</v>
      </c>
      <c r="BG30" s="266">
        <v>9400</v>
      </c>
      <c r="BH30" s="264">
        <v>8675</v>
      </c>
      <c r="BI30" s="264">
        <v>10100</v>
      </c>
      <c r="BJ30" s="264">
        <v>10100</v>
      </c>
      <c r="BK30" s="267">
        <v>8675</v>
      </c>
      <c r="BL30" s="267">
        <v>10100</v>
      </c>
      <c r="BM30" s="267">
        <v>10100</v>
      </c>
      <c r="BN30" s="264">
        <v>8675</v>
      </c>
      <c r="BO30" s="264">
        <v>10100</v>
      </c>
      <c r="BP30" s="264">
        <v>10100</v>
      </c>
      <c r="BQ30" s="234">
        <f t="shared" si="0"/>
        <v>11466</v>
      </c>
      <c r="BR30" s="235">
        <f t="shared" si="1"/>
        <v>12891</v>
      </c>
      <c r="BS30" s="236">
        <f t="shared" si="2"/>
        <v>12891</v>
      </c>
    </row>
    <row r="31" spans="1:71" ht="14.5" x14ac:dyDescent="0.35">
      <c r="A31" s="199" t="s">
        <v>258</v>
      </c>
      <c r="B31" s="199" t="s">
        <v>259</v>
      </c>
      <c r="C31" s="264">
        <v>8275</v>
      </c>
      <c r="D31" s="264">
        <v>9200</v>
      </c>
      <c r="E31" s="264">
        <v>9200</v>
      </c>
      <c r="F31" s="264">
        <v>8175</v>
      </c>
      <c r="G31" s="264">
        <v>9100</v>
      </c>
      <c r="H31" s="264">
        <v>9100</v>
      </c>
      <c r="I31" s="264">
        <v>8275</v>
      </c>
      <c r="J31" s="264">
        <v>9200</v>
      </c>
      <c r="K31" s="264">
        <v>9200</v>
      </c>
      <c r="L31" s="264">
        <v>8275</v>
      </c>
      <c r="M31" s="264">
        <v>9200</v>
      </c>
      <c r="N31" s="264">
        <v>9200</v>
      </c>
      <c r="O31" s="264">
        <v>8275</v>
      </c>
      <c r="P31" s="264">
        <v>9200</v>
      </c>
      <c r="Q31" s="264">
        <v>9200</v>
      </c>
      <c r="R31" s="264">
        <v>8275</v>
      </c>
      <c r="S31" s="264">
        <v>9200</v>
      </c>
      <c r="T31" s="264">
        <v>9200</v>
      </c>
      <c r="U31" s="264">
        <v>8275</v>
      </c>
      <c r="V31" s="264">
        <v>9200</v>
      </c>
      <c r="W31" s="264">
        <v>9200</v>
      </c>
      <c r="X31" s="264">
        <v>8275</v>
      </c>
      <c r="Y31" s="264">
        <v>9200</v>
      </c>
      <c r="Z31" s="264">
        <v>9200</v>
      </c>
      <c r="AA31" s="264">
        <v>8275</v>
      </c>
      <c r="AB31" s="264">
        <v>9200</v>
      </c>
      <c r="AC31" s="264">
        <v>9200</v>
      </c>
      <c r="AD31" s="264">
        <v>8275</v>
      </c>
      <c r="AE31" s="264">
        <v>9200</v>
      </c>
      <c r="AF31" s="264">
        <v>9200</v>
      </c>
      <c r="AG31" s="264">
        <v>8075</v>
      </c>
      <c r="AH31" s="264">
        <v>9000</v>
      </c>
      <c r="AI31" s="264">
        <v>9000</v>
      </c>
      <c r="AJ31" s="264">
        <v>8575</v>
      </c>
      <c r="AK31" s="264">
        <v>9550</v>
      </c>
      <c r="AL31" s="264">
        <v>9550</v>
      </c>
      <c r="AM31" s="265">
        <v>1600</v>
      </c>
      <c r="AN31" s="265">
        <v>1800</v>
      </c>
      <c r="AO31" s="265">
        <v>1800</v>
      </c>
      <c r="AP31" s="264">
        <v>8590</v>
      </c>
      <c r="AQ31" s="264">
        <v>9765</v>
      </c>
      <c r="AR31" s="264">
        <v>9765</v>
      </c>
      <c r="AS31" s="264">
        <v>8300</v>
      </c>
      <c r="AT31" s="264">
        <v>9375</v>
      </c>
      <c r="AU31" s="264">
        <v>9375</v>
      </c>
      <c r="AV31" s="264">
        <v>8300</v>
      </c>
      <c r="AW31" s="264">
        <v>9375</v>
      </c>
      <c r="AX31" s="264">
        <v>9375</v>
      </c>
      <c r="AY31" s="264">
        <v>8350</v>
      </c>
      <c r="AZ31" s="264">
        <v>9425</v>
      </c>
      <c r="BA31" s="264">
        <v>9425</v>
      </c>
      <c r="BB31" s="266">
        <v>8600</v>
      </c>
      <c r="BC31" s="266">
        <v>9675</v>
      </c>
      <c r="BD31" s="266">
        <v>9675</v>
      </c>
      <c r="BE31" s="266">
        <v>8925</v>
      </c>
      <c r="BF31" s="266">
        <v>10000</v>
      </c>
      <c r="BG31" s="266">
        <v>10000</v>
      </c>
      <c r="BH31" s="264">
        <v>9275</v>
      </c>
      <c r="BI31" s="264">
        <v>10700</v>
      </c>
      <c r="BJ31" s="264">
        <v>10700</v>
      </c>
      <c r="BK31" s="264">
        <v>9275</v>
      </c>
      <c r="BL31" s="264">
        <v>10700</v>
      </c>
      <c r="BM31" s="264">
        <v>10700</v>
      </c>
      <c r="BN31" s="264">
        <v>9275</v>
      </c>
      <c r="BO31" s="264">
        <v>10700</v>
      </c>
      <c r="BP31" s="264">
        <v>10700</v>
      </c>
      <c r="BQ31" s="234">
        <f t="shared" si="0"/>
        <v>12066</v>
      </c>
      <c r="BR31" s="235">
        <f t="shared" si="1"/>
        <v>13491</v>
      </c>
      <c r="BS31" s="236">
        <f t="shared" si="2"/>
        <v>13491</v>
      </c>
    </row>
    <row r="32" spans="1:71" ht="14.5" x14ac:dyDescent="0.35">
      <c r="A32" s="199" t="s">
        <v>260</v>
      </c>
      <c r="B32" s="199" t="s">
        <v>261</v>
      </c>
      <c r="C32" s="264">
        <v>7675</v>
      </c>
      <c r="D32" s="264">
        <v>8600</v>
      </c>
      <c r="E32" s="264">
        <v>8600</v>
      </c>
      <c r="F32" s="264">
        <v>7575</v>
      </c>
      <c r="G32" s="264">
        <v>8500</v>
      </c>
      <c r="H32" s="264">
        <v>8500</v>
      </c>
      <c r="I32" s="264">
        <v>7675</v>
      </c>
      <c r="J32" s="264">
        <v>8600</v>
      </c>
      <c r="K32" s="264">
        <v>8600</v>
      </c>
      <c r="L32" s="264">
        <v>7675</v>
      </c>
      <c r="M32" s="264">
        <v>8600</v>
      </c>
      <c r="N32" s="264">
        <v>8600</v>
      </c>
      <c r="O32" s="264">
        <v>7675</v>
      </c>
      <c r="P32" s="264">
        <v>8600</v>
      </c>
      <c r="Q32" s="264">
        <v>8600</v>
      </c>
      <c r="R32" s="264">
        <v>7675</v>
      </c>
      <c r="S32" s="264">
        <v>8600</v>
      </c>
      <c r="T32" s="264">
        <v>8600</v>
      </c>
      <c r="U32" s="264">
        <v>7675</v>
      </c>
      <c r="V32" s="264">
        <v>8600</v>
      </c>
      <c r="W32" s="264">
        <v>8600</v>
      </c>
      <c r="X32" s="264">
        <v>7675</v>
      </c>
      <c r="Y32" s="264">
        <v>8600</v>
      </c>
      <c r="Z32" s="264">
        <v>8600</v>
      </c>
      <c r="AA32" s="264">
        <v>7675</v>
      </c>
      <c r="AB32" s="264">
        <v>8600</v>
      </c>
      <c r="AC32" s="264">
        <v>8600</v>
      </c>
      <c r="AD32" s="264">
        <v>7675</v>
      </c>
      <c r="AE32" s="264">
        <v>8600</v>
      </c>
      <c r="AF32" s="264">
        <v>8600</v>
      </c>
      <c r="AG32" s="264">
        <v>7475</v>
      </c>
      <c r="AH32" s="264">
        <v>8400</v>
      </c>
      <c r="AI32" s="264">
        <v>8400</v>
      </c>
      <c r="AJ32" s="264">
        <v>7975</v>
      </c>
      <c r="AK32" s="264">
        <v>8950</v>
      </c>
      <c r="AL32" s="264">
        <v>8950</v>
      </c>
      <c r="AM32" s="265">
        <v>1600</v>
      </c>
      <c r="AN32" s="265">
        <v>1800</v>
      </c>
      <c r="AO32" s="265">
        <v>1800</v>
      </c>
      <c r="AP32" s="264">
        <v>7990</v>
      </c>
      <c r="AQ32" s="264">
        <v>9165</v>
      </c>
      <c r="AR32" s="264">
        <v>9165</v>
      </c>
      <c r="AS32" s="264">
        <v>7700</v>
      </c>
      <c r="AT32" s="264">
        <v>8775</v>
      </c>
      <c r="AU32" s="264">
        <v>8775</v>
      </c>
      <c r="AV32" s="264">
        <v>7700</v>
      </c>
      <c r="AW32" s="264">
        <v>8775</v>
      </c>
      <c r="AX32" s="264">
        <v>8775</v>
      </c>
      <c r="AY32" s="264">
        <v>7750</v>
      </c>
      <c r="AZ32" s="264">
        <v>8825</v>
      </c>
      <c r="BA32" s="264">
        <v>8825</v>
      </c>
      <c r="BB32" s="266">
        <v>8000</v>
      </c>
      <c r="BC32" s="266">
        <v>9075</v>
      </c>
      <c r="BD32" s="266">
        <v>9075</v>
      </c>
      <c r="BE32" s="266">
        <v>8325</v>
      </c>
      <c r="BF32" s="266">
        <v>9400</v>
      </c>
      <c r="BG32" s="266">
        <v>9400</v>
      </c>
      <c r="BH32" s="264">
        <v>8675</v>
      </c>
      <c r="BI32" s="264">
        <v>10100</v>
      </c>
      <c r="BJ32" s="264">
        <v>10100</v>
      </c>
      <c r="BK32" s="264">
        <v>8675</v>
      </c>
      <c r="BL32" s="264">
        <v>10100</v>
      </c>
      <c r="BM32" s="264">
        <v>10100</v>
      </c>
      <c r="BN32" s="264">
        <v>8675</v>
      </c>
      <c r="BO32" s="264">
        <v>10100</v>
      </c>
      <c r="BP32" s="264">
        <v>10100</v>
      </c>
      <c r="BQ32" s="234">
        <f t="shared" si="0"/>
        <v>11466</v>
      </c>
      <c r="BR32" s="235">
        <f t="shared" si="1"/>
        <v>12891</v>
      </c>
      <c r="BS32" s="236">
        <f t="shared" si="2"/>
        <v>12891</v>
      </c>
    </row>
    <row r="33" spans="1:71" ht="14.5" x14ac:dyDescent="0.35">
      <c r="A33" s="199" t="s">
        <v>262</v>
      </c>
      <c r="B33" s="199" t="s">
        <v>263</v>
      </c>
      <c r="C33" s="264">
        <v>7675</v>
      </c>
      <c r="D33" s="264">
        <v>8600</v>
      </c>
      <c r="E33" s="264">
        <v>8600</v>
      </c>
      <c r="F33" s="264">
        <v>7575</v>
      </c>
      <c r="G33" s="264">
        <v>8500</v>
      </c>
      <c r="H33" s="264">
        <v>8500</v>
      </c>
      <c r="I33" s="264">
        <v>7675</v>
      </c>
      <c r="J33" s="264">
        <v>8600</v>
      </c>
      <c r="K33" s="264">
        <v>8600</v>
      </c>
      <c r="L33" s="264">
        <v>7675</v>
      </c>
      <c r="M33" s="264">
        <v>8600</v>
      </c>
      <c r="N33" s="264">
        <v>8600</v>
      </c>
      <c r="O33" s="264">
        <v>7675</v>
      </c>
      <c r="P33" s="264">
        <v>8600</v>
      </c>
      <c r="Q33" s="264">
        <v>8600</v>
      </c>
      <c r="R33" s="264">
        <v>7675</v>
      </c>
      <c r="S33" s="264">
        <v>8600</v>
      </c>
      <c r="T33" s="264">
        <v>8600</v>
      </c>
      <c r="U33" s="264">
        <v>7675</v>
      </c>
      <c r="V33" s="264">
        <v>8600</v>
      </c>
      <c r="W33" s="264">
        <v>8600</v>
      </c>
      <c r="X33" s="264">
        <v>7675</v>
      </c>
      <c r="Y33" s="264">
        <v>8600</v>
      </c>
      <c r="Z33" s="264">
        <v>8600</v>
      </c>
      <c r="AA33" s="264">
        <v>7675</v>
      </c>
      <c r="AB33" s="264">
        <v>8600</v>
      </c>
      <c r="AC33" s="264">
        <v>8600</v>
      </c>
      <c r="AD33" s="264">
        <v>7675</v>
      </c>
      <c r="AE33" s="264">
        <v>8600</v>
      </c>
      <c r="AF33" s="264">
        <v>8600</v>
      </c>
      <c r="AG33" s="264">
        <v>7475</v>
      </c>
      <c r="AH33" s="264">
        <v>8400</v>
      </c>
      <c r="AI33" s="264">
        <v>8400</v>
      </c>
      <c r="AJ33" s="264">
        <v>7975</v>
      </c>
      <c r="AK33" s="264">
        <v>8950</v>
      </c>
      <c r="AL33" s="264">
        <v>8950</v>
      </c>
      <c r="AM33" s="265">
        <v>1600</v>
      </c>
      <c r="AN33" s="265">
        <v>1800</v>
      </c>
      <c r="AO33" s="265">
        <v>1800</v>
      </c>
      <c r="AP33" s="264">
        <v>7990</v>
      </c>
      <c r="AQ33" s="264">
        <v>9165</v>
      </c>
      <c r="AR33" s="264">
        <v>9165</v>
      </c>
      <c r="AS33" s="264">
        <v>7700</v>
      </c>
      <c r="AT33" s="264">
        <v>8775</v>
      </c>
      <c r="AU33" s="264">
        <v>8775</v>
      </c>
      <c r="AV33" s="264">
        <v>7700</v>
      </c>
      <c r="AW33" s="264">
        <v>8775</v>
      </c>
      <c r="AX33" s="264">
        <v>8775</v>
      </c>
      <c r="AY33" s="264">
        <v>7750</v>
      </c>
      <c r="AZ33" s="264">
        <v>8825</v>
      </c>
      <c r="BA33" s="264">
        <v>8825</v>
      </c>
      <c r="BB33" s="266">
        <v>8000</v>
      </c>
      <c r="BC33" s="266">
        <v>9075</v>
      </c>
      <c r="BD33" s="266">
        <v>9075</v>
      </c>
      <c r="BE33" s="266">
        <v>8325</v>
      </c>
      <c r="BF33" s="266">
        <v>9400</v>
      </c>
      <c r="BG33" s="266">
        <v>9400</v>
      </c>
      <c r="BH33" s="264">
        <v>8675</v>
      </c>
      <c r="BI33" s="264">
        <v>10100</v>
      </c>
      <c r="BJ33" s="264">
        <v>10100</v>
      </c>
      <c r="BK33" s="264">
        <v>8675</v>
      </c>
      <c r="BL33" s="264">
        <v>10100</v>
      </c>
      <c r="BM33" s="264">
        <v>10100</v>
      </c>
      <c r="BN33" s="264">
        <v>8675</v>
      </c>
      <c r="BO33" s="264">
        <v>10100</v>
      </c>
      <c r="BP33" s="264">
        <v>10100</v>
      </c>
      <c r="BQ33" s="234">
        <f t="shared" si="0"/>
        <v>11466</v>
      </c>
      <c r="BR33" s="235">
        <f t="shared" si="1"/>
        <v>12891</v>
      </c>
      <c r="BS33" s="236">
        <f t="shared" si="2"/>
        <v>12891</v>
      </c>
    </row>
    <row r="34" spans="1:71" ht="14.5" x14ac:dyDescent="0.35">
      <c r="A34" s="199" t="s">
        <v>264</v>
      </c>
      <c r="B34" s="199" t="s">
        <v>265</v>
      </c>
      <c r="C34" s="264">
        <v>7675</v>
      </c>
      <c r="D34" s="264">
        <v>8600</v>
      </c>
      <c r="E34" s="264">
        <v>8600</v>
      </c>
      <c r="F34" s="264">
        <v>7575</v>
      </c>
      <c r="G34" s="264">
        <v>8500</v>
      </c>
      <c r="H34" s="264">
        <v>8500</v>
      </c>
      <c r="I34" s="264">
        <v>7675</v>
      </c>
      <c r="J34" s="264">
        <v>8600</v>
      </c>
      <c r="K34" s="264">
        <v>8600</v>
      </c>
      <c r="L34" s="264">
        <v>7675</v>
      </c>
      <c r="M34" s="264">
        <v>8600</v>
      </c>
      <c r="N34" s="264">
        <v>8600</v>
      </c>
      <c r="O34" s="264">
        <v>7675</v>
      </c>
      <c r="P34" s="264">
        <v>8600</v>
      </c>
      <c r="Q34" s="264">
        <v>8600</v>
      </c>
      <c r="R34" s="264">
        <v>7675</v>
      </c>
      <c r="S34" s="264">
        <v>8600</v>
      </c>
      <c r="T34" s="264">
        <v>8600</v>
      </c>
      <c r="U34" s="264">
        <v>7675</v>
      </c>
      <c r="V34" s="264">
        <v>8600</v>
      </c>
      <c r="W34" s="264">
        <v>8600</v>
      </c>
      <c r="X34" s="264">
        <v>7675</v>
      </c>
      <c r="Y34" s="264">
        <v>8600</v>
      </c>
      <c r="Z34" s="264">
        <v>8600</v>
      </c>
      <c r="AA34" s="264">
        <v>7675</v>
      </c>
      <c r="AB34" s="264">
        <v>8600</v>
      </c>
      <c r="AC34" s="264">
        <v>8600</v>
      </c>
      <c r="AD34" s="264">
        <v>7675</v>
      </c>
      <c r="AE34" s="264">
        <v>8600</v>
      </c>
      <c r="AF34" s="264">
        <v>8600</v>
      </c>
      <c r="AG34" s="264">
        <v>7475</v>
      </c>
      <c r="AH34" s="264">
        <v>8400</v>
      </c>
      <c r="AI34" s="264">
        <v>8400</v>
      </c>
      <c r="AJ34" s="264">
        <v>7975</v>
      </c>
      <c r="AK34" s="264">
        <v>8950</v>
      </c>
      <c r="AL34" s="264">
        <v>8950</v>
      </c>
      <c r="AM34" s="265">
        <v>1600</v>
      </c>
      <c r="AN34" s="265">
        <v>1800</v>
      </c>
      <c r="AO34" s="265">
        <v>1800</v>
      </c>
      <c r="AP34" s="264">
        <v>7990</v>
      </c>
      <c r="AQ34" s="264">
        <v>9165</v>
      </c>
      <c r="AR34" s="264">
        <v>9165</v>
      </c>
      <c r="AS34" s="264">
        <v>7700</v>
      </c>
      <c r="AT34" s="264">
        <v>8775</v>
      </c>
      <c r="AU34" s="264">
        <v>8775</v>
      </c>
      <c r="AV34" s="264">
        <v>7700</v>
      </c>
      <c r="AW34" s="264">
        <v>8775</v>
      </c>
      <c r="AX34" s="264">
        <v>8775</v>
      </c>
      <c r="AY34" s="264">
        <v>7750</v>
      </c>
      <c r="AZ34" s="264">
        <v>8825</v>
      </c>
      <c r="BA34" s="264">
        <v>8825</v>
      </c>
      <c r="BB34" s="266">
        <v>8000</v>
      </c>
      <c r="BC34" s="266">
        <v>9075</v>
      </c>
      <c r="BD34" s="266">
        <v>9075</v>
      </c>
      <c r="BE34" s="266">
        <v>8325</v>
      </c>
      <c r="BF34" s="266">
        <v>9400</v>
      </c>
      <c r="BG34" s="266">
        <v>9400</v>
      </c>
      <c r="BH34" s="264">
        <v>8675</v>
      </c>
      <c r="BI34" s="264">
        <v>10100</v>
      </c>
      <c r="BJ34" s="264">
        <v>10100</v>
      </c>
      <c r="BK34" s="264">
        <v>8675</v>
      </c>
      <c r="BL34" s="264">
        <v>10100</v>
      </c>
      <c r="BM34" s="264">
        <v>10100</v>
      </c>
      <c r="BN34" s="264">
        <v>8675</v>
      </c>
      <c r="BO34" s="264">
        <v>10100</v>
      </c>
      <c r="BP34" s="264">
        <v>10100</v>
      </c>
      <c r="BQ34" s="234">
        <f t="shared" si="0"/>
        <v>11466</v>
      </c>
      <c r="BR34" s="235">
        <f t="shared" si="1"/>
        <v>12891</v>
      </c>
      <c r="BS34" s="236">
        <f t="shared" si="2"/>
        <v>12891</v>
      </c>
    </row>
    <row r="35" spans="1:71" ht="14.5" x14ac:dyDescent="0.35">
      <c r="A35" s="199" t="s">
        <v>266</v>
      </c>
      <c r="B35" s="199" t="s">
        <v>267</v>
      </c>
      <c r="C35" s="264">
        <v>7675</v>
      </c>
      <c r="D35" s="264">
        <v>8600</v>
      </c>
      <c r="E35" s="264">
        <v>8600</v>
      </c>
      <c r="F35" s="264">
        <v>7575</v>
      </c>
      <c r="G35" s="264">
        <v>8500</v>
      </c>
      <c r="H35" s="264">
        <v>8500</v>
      </c>
      <c r="I35" s="264">
        <v>7675</v>
      </c>
      <c r="J35" s="264">
        <v>8600</v>
      </c>
      <c r="K35" s="264">
        <v>8600</v>
      </c>
      <c r="L35" s="264">
        <v>7675</v>
      </c>
      <c r="M35" s="264">
        <v>8600</v>
      </c>
      <c r="N35" s="264">
        <v>8600</v>
      </c>
      <c r="O35" s="264">
        <v>7675</v>
      </c>
      <c r="P35" s="264">
        <v>8600</v>
      </c>
      <c r="Q35" s="264">
        <v>8600</v>
      </c>
      <c r="R35" s="264">
        <v>7675</v>
      </c>
      <c r="S35" s="264">
        <v>8600</v>
      </c>
      <c r="T35" s="264">
        <v>8600</v>
      </c>
      <c r="U35" s="264">
        <v>7675</v>
      </c>
      <c r="V35" s="264">
        <v>8600</v>
      </c>
      <c r="W35" s="264">
        <v>8600</v>
      </c>
      <c r="X35" s="264">
        <v>7675</v>
      </c>
      <c r="Y35" s="264">
        <v>8600</v>
      </c>
      <c r="Z35" s="264">
        <v>8600</v>
      </c>
      <c r="AA35" s="264">
        <v>7675</v>
      </c>
      <c r="AB35" s="264">
        <v>8600</v>
      </c>
      <c r="AC35" s="264">
        <v>8600</v>
      </c>
      <c r="AD35" s="264">
        <v>7675</v>
      </c>
      <c r="AE35" s="264">
        <v>8600</v>
      </c>
      <c r="AF35" s="264">
        <v>8600</v>
      </c>
      <c r="AG35" s="264">
        <v>7475</v>
      </c>
      <c r="AH35" s="264">
        <v>8400</v>
      </c>
      <c r="AI35" s="264">
        <v>8400</v>
      </c>
      <c r="AJ35" s="264">
        <v>7975</v>
      </c>
      <c r="AK35" s="264">
        <v>8950</v>
      </c>
      <c r="AL35" s="264">
        <v>8950</v>
      </c>
      <c r="AM35" s="265">
        <v>1600</v>
      </c>
      <c r="AN35" s="265">
        <v>1800</v>
      </c>
      <c r="AO35" s="265">
        <v>1800</v>
      </c>
      <c r="AP35" s="264">
        <v>7990</v>
      </c>
      <c r="AQ35" s="264">
        <v>9165</v>
      </c>
      <c r="AR35" s="264">
        <v>9165</v>
      </c>
      <c r="AS35" s="264">
        <v>7700</v>
      </c>
      <c r="AT35" s="264">
        <v>8775</v>
      </c>
      <c r="AU35" s="264">
        <v>8775</v>
      </c>
      <c r="AV35" s="264">
        <v>7700</v>
      </c>
      <c r="AW35" s="264">
        <v>8775</v>
      </c>
      <c r="AX35" s="264">
        <v>8775</v>
      </c>
      <c r="AY35" s="264">
        <v>7750</v>
      </c>
      <c r="AZ35" s="264">
        <v>8825</v>
      </c>
      <c r="BA35" s="264">
        <v>8825</v>
      </c>
      <c r="BB35" s="266">
        <v>8000</v>
      </c>
      <c r="BC35" s="266">
        <v>9075</v>
      </c>
      <c r="BD35" s="266">
        <v>9075</v>
      </c>
      <c r="BE35" s="266">
        <v>8325</v>
      </c>
      <c r="BF35" s="266">
        <v>9400</v>
      </c>
      <c r="BG35" s="266">
        <v>9400</v>
      </c>
      <c r="BH35" s="264">
        <v>8675</v>
      </c>
      <c r="BI35" s="264">
        <v>10100</v>
      </c>
      <c r="BJ35" s="264">
        <v>10100</v>
      </c>
      <c r="BK35" s="264">
        <v>8675</v>
      </c>
      <c r="BL35" s="264">
        <v>10100</v>
      </c>
      <c r="BM35" s="264">
        <v>10100</v>
      </c>
      <c r="BN35" s="264">
        <v>8675</v>
      </c>
      <c r="BO35" s="264">
        <v>10100</v>
      </c>
      <c r="BP35" s="264">
        <v>10100</v>
      </c>
      <c r="BQ35" s="234">
        <f t="shared" si="0"/>
        <v>11466</v>
      </c>
      <c r="BR35" s="235">
        <f t="shared" si="1"/>
        <v>12891</v>
      </c>
      <c r="BS35" s="236">
        <f t="shared" si="2"/>
        <v>12891</v>
      </c>
    </row>
    <row r="36" spans="1:71" ht="14.5" x14ac:dyDescent="0.35">
      <c r="A36" s="199" t="s">
        <v>268</v>
      </c>
      <c r="B36" s="199" t="s">
        <v>269</v>
      </c>
      <c r="C36" s="264">
        <v>7875</v>
      </c>
      <c r="D36" s="264">
        <v>9000</v>
      </c>
      <c r="E36" s="264">
        <v>9000</v>
      </c>
      <c r="F36" s="264">
        <v>7775</v>
      </c>
      <c r="G36" s="264">
        <v>8900</v>
      </c>
      <c r="H36" s="264">
        <v>8900</v>
      </c>
      <c r="I36" s="264">
        <v>7875</v>
      </c>
      <c r="J36" s="264">
        <v>9000</v>
      </c>
      <c r="K36" s="264">
        <v>9000</v>
      </c>
      <c r="L36" s="264">
        <v>7875</v>
      </c>
      <c r="M36" s="264">
        <v>9000</v>
      </c>
      <c r="N36" s="264">
        <v>9000</v>
      </c>
      <c r="O36" s="264">
        <v>7875</v>
      </c>
      <c r="P36" s="264">
        <v>9000</v>
      </c>
      <c r="Q36" s="264">
        <v>9000</v>
      </c>
      <c r="R36" s="264">
        <v>7875</v>
      </c>
      <c r="S36" s="264">
        <v>9000</v>
      </c>
      <c r="T36" s="264">
        <v>9000</v>
      </c>
      <c r="U36" s="264">
        <v>7875</v>
      </c>
      <c r="V36" s="264">
        <v>9000</v>
      </c>
      <c r="W36" s="264">
        <v>9000</v>
      </c>
      <c r="X36" s="264">
        <v>7875</v>
      </c>
      <c r="Y36" s="264">
        <v>9000</v>
      </c>
      <c r="Z36" s="264">
        <v>9000</v>
      </c>
      <c r="AA36" s="264">
        <v>7875</v>
      </c>
      <c r="AB36" s="264">
        <v>9000</v>
      </c>
      <c r="AC36" s="264">
        <v>9000</v>
      </c>
      <c r="AD36" s="264">
        <v>7875</v>
      </c>
      <c r="AE36" s="264">
        <v>9000</v>
      </c>
      <c r="AF36" s="264">
        <v>9000</v>
      </c>
      <c r="AG36" s="264">
        <v>7675</v>
      </c>
      <c r="AH36" s="264">
        <v>8800</v>
      </c>
      <c r="AI36" s="264">
        <v>8800</v>
      </c>
      <c r="AJ36" s="264">
        <v>8175</v>
      </c>
      <c r="AK36" s="264">
        <v>9350</v>
      </c>
      <c r="AL36" s="264">
        <v>9350</v>
      </c>
      <c r="AM36" s="265">
        <v>1600</v>
      </c>
      <c r="AN36" s="265">
        <v>1800</v>
      </c>
      <c r="AO36" s="265">
        <v>1800</v>
      </c>
      <c r="AP36" s="264">
        <v>8190</v>
      </c>
      <c r="AQ36" s="264">
        <v>9565</v>
      </c>
      <c r="AR36" s="264">
        <v>9565</v>
      </c>
      <c r="AS36" s="264">
        <v>7900</v>
      </c>
      <c r="AT36" s="264">
        <v>9175</v>
      </c>
      <c r="AU36" s="264">
        <v>9175</v>
      </c>
      <c r="AV36" s="264">
        <v>7900</v>
      </c>
      <c r="AW36" s="264">
        <v>9175</v>
      </c>
      <c r="AX36" s="264">
        <v>9175</v>
      </c>
      <c r="AY36" s="264">
        <v>7950</v>
      </c>
      <c r="AZ36" s="264">
        <v>9225</v>
      </c>
      <c r="BA36" s="264">
        <v>9225</v>
      </c>
      <c r="BB36" s="266">
        <v>8200</v>
      </c>
      <c r="BC36" s="266">
        <v>9475</v>
      </c>
      <c r="BD36" s="266">
        <v>9475</v>
      </c>
      <c r="BE36" s="266">
        <v>8525</v>
      </c>
      <c r="BF36" s="266">
        <v>9800</v>
      </c>
      <c r="BG36" s="266">
        <v>9800</v>
      </c>
      <c r="BH36" s="264">
        <v>8875</v>
      </c>
      <c r="BI36" s="264">
        <v>10500</v>
      </c>
      <c r="BJ36" s="264">
        <v>10500</v>
      </c>
      <c r="BK36" s="264">
        <v>8875</v>
      </c>
      <c r="BL36" s="264">
        <v>10500</v>
      </c>
      <c r="BM36" s="264">
        <v>10500</v>
      </c>
      <c r="BN36" s="264">
        <v>8875</v>
      </c>
      <c r="BO36" s="264">
        <v>10500</v>
      </c>
      <c r="BP36" s="264">
        <v>10500</v>
      </c>
      <c r="BQ36" s="234">
        <f t="shared" si="0"/>
        <v>11666</v>
      </c>
      <c r="BR36" s="235">
        <f t="shared" si="1"/>
        <v>13291</v>
      </c>
      <c r="BS36" s="236">
        <f t="shared" si="2"/>
        <v>13291</v>
      </c>
    </row>
    <row r="37" spans="1:71" ht="14.5" x14ac:dyDescent="0.35">
      <c r="A37" s="199" t="s">
        <v>270</v>
      </c>
      <c r="B37" s="199" t="s">
        <v>271</v>
      </c>
      <c r="C37" s="264">
        <v>7675</v>
      </c>
      <c r="D37" s="264">
        <v>8600</v>
      </c>
      <c r="E37" s="264">
        <v>8600</v>
      </c>
      <c r="F37" s="264">
        <v>7575</v>
      </c>
      <c r="G37" s="264">
        <v>8500</v>
      </c>
      <c r="H37" s="264">
        <v>8500</v>
      </c>
      <c r="I37" s="264">
        <v>7675</v>
      </c>
      <c r="J37" s="264">
        <v>8600</v>
      </c>
      <c r="K37" s="264">
        <v>8600</v>
      </c>
      <c r="L37" s="264">
        <v>7675</v>
      </c>
      <c r="M37" s="264">
        <v>8600</v>
      </c>
      <c r="N37" s="264">
        <v>8600</v>
      </c>
      <c r="O37" s="264">
        <v>7675</v>
      </c>
      <c r="P37" s="264">
        <v>8600</v>
      </c>
      <c r="Q37" s="264">
        <v>8600</v>
      </c>
      <c r="R37" s="264">
        <v>7675</v>
      </c>
      <c r="S37" s="264">
        <v>8600</v>
      </c>
      <c r="T37" s="264">
        <v>8600</v>
      </c>
      <c r="U37" s="264">
        <v>7675</v>
      </c>
      <c r="V37" s="264">
        <v>8600</v>
      </c>
      <c r="W37" s="264">
        <v>8600</v>
      </c>
      <c r="X37" s="264">
        <v>7675</v>
      </c>
      <c r="Y37" s="264">
        <v>8600</v>
      </c>
      <c r="Z37" s="264">
        <v>8600</v>
      </c>
      <c r="AA37" s="264">
        <v>7675</v>
      </c>
      <c r="AB37" s="264">
        <v>8600</v>
      </c>
      <c r="AC37" s="264">
        <v>8600</v>
      </c>
      <c r="AD37" s="264">
        <v>7675</v>
      </c>
      <c r="AE37" s="264">
        <v>8600</v>
      </c>
      <c r="AF37" s="264">
        <v>8600</v>
      </c>
      <c r="AG37" s="264">
        <v>7475</v>
      </c>
      <c r="AH37" s="264">
        <v>8400</v>
      </c>
      <c r="AI37" s="264">
        <v>8400</v>
      </c>
      <c r="AJ37" s="264">
        <v>7975</v>
      </c>
      <c r="AK37" s="264">
        <v>8950</v>
      </c>
      <c r="AL37" s="264">
        <v>8950</v>
      </c>
      <c r="AM37" s="265">
        <v>1600</v>
      </c>
      <c r="AN37" s="265">
        <v>1800</v>
      </c>
      <c r="AO37" s="265">
        <v>1800</v>
      </c>
      <c r="AP37" s="264">
        <v>7990</v>
      </c>
      <c r="AQ37" s="264">
        <v>9165</v>
      </c>
      <c r="AR37" s="264">
        <v>9165</v>
      </c>
      <c r="AS37" s="264">
        <v>7700</v>
      </c>
      <c r="AT37" s="264">
        <v>8775</v>
      </c>
      <c r="AU37" s="264">
        <v>8775</v>
      </c>
      <c r="AV37" s="264">
        <v>7700</v>
      </c>
      <c r="AW37" s="264">
        <v>8775</v>
      </c>
      <c r="AX37" s="264">
        <v>8775</v>
      </c>
      <c r="AY37" s="264">
        <v>7750</v>
      </c>
      <c r="AZ37" s="264">
        <v>8825</v>
      </c>
      <c r="BA37" s="264">
        <v>8825</v>
      </c>
      <c r="BB37" s="266">
        <v>8000</v>
      </c>
      <c r="BC37" s="266">
        <v>9075</v>
      </c>
      <c r="BD37" s="266">
        <v>9075</v>
      </c>
      <c r="BE37" s="266">
        <v>8325</v>
      </c>
      <c r="BF37" s="266">
        <v>9400</v>
      </c>
      <c r="BG37" s="266">
        <v>9400</v>
      </c>
      <c r="BH37" s="264">
        <v>8675</v>
      </c>
      <c r="BI37" s="264">
        <v>10100</v>
      </c>
      <c r="BJ37" s="264">
        <v>10100</v>
      </c>
      <c r="BK37" s="264">
        <v>8675</v>
      </c>
      <c r="BL37" s="264">
        <v>10100</v>
      </c>
      <c r="BM37" s="264">
        <v>10100</v>
      </c>
      <c r="BN37" s="264">
        <v>8675</v>
      </c>
      <c r="BO37" s="264">
        <v>10100</v>
      </c>
      <c r="BP37" s="264">
        <v>10100</v>
      </c>
      <c r="BQ37" s="234">
        <f t="shared" si="0"/>
        <v>11466</v>
      </c>
      <c r="BR37" s="235">
        <f t="shared" si="1"/>
        <v>12891</v>
      </c>
      <c r="BS37" s="236">
        <f t="shared" si="2"/>
        <v>12891</v>
      </c>
    </row>
    <row r="38" spans="1:71" ht="14.5" x14ac:dyDescent="0.35">
      <c r="A38" s="199" t="s">
        <v>272</v>
      </c>
      <c r="B38" s="199" t="s">
        <v>273</v>
      </c>
      <c r="C38" s="264">
        <v>8085</v>
      </c>
      <c r="D38" s="264">
        <v>9225</v>
      </c>
      <c r="E38" s="264">
        <v>9225</v>
      </c>
      <c r="F38" s="264">
        <v>7985</v>
      </c>
      <c r="G38" s="264">
        <v>9125</v>
      </c>
      <c r="H38" s="264">
        <v>9125</v>
      </c>
      <c r="I38" s="264">
        <v>8085</v>
      </c>
      <c r="J38" s="264">
        <v>9225</v>
      </c>
      <c r="K38" s="264">
        <v>9225</v>
      </c>
      <c r="L38" s="264">
        <v>8085</v>
      </c>
      <c r="M38" s="264">
        <v>9225</v>
      </c>
      <c r="N38" s="264">
        <v>9225</v>
      </c>
      <c r="O38" s="264">
        <v>8085</v>
      </c>
      <c r="P38" s="264">
        <v>9225</v>
      </c>
      <c r="Q38" s="264">
        <v>9225</v>
      </c>
      <c r="R38" s="264">
        <v>8085</v>
      </c>
      <c r="S38" s="264">
        <v>9225</v>
      </c>
      <c r="T38" s="264">
        <v>9225</v>
      </c>
      <c r="U38" s="264">
        <v>8085</v>
      </c>
      <c r="V38" s="264">
        <v>9225</v>
      </c>
      <c r="W38" s="264">
        <v>9225</v>
      </c>
      <c r="X38" s="264">
        <v>8085</v>
      </c>
      <c r="Y38" s="264">
        <v>9225</v>
      </c>
      <c r="Z38" s="264">
        <v>9225</v>
      </c>
      <c r="AA38" s="264">
        <v>8085</v>
      </c>
      <c r="AB38" s="264">
        <v>9225</v>
      </c>
      <c r="AC38" s="264">
        <v>9225</v>
      </c>
      <c r="AD38" s="264">
        <v>8085</v>
      </c>
      <c r="AE38" s="264">
        <v>9225</v>
      </c>
      <c r="AF38" s="264">
        <v>9225</v>
      </c>
      <c r="AG38" s="264">
        <v>7885</v>
      </c>
      <c r="AH38" s="264">
        <v>9025</v>
      </c>
      <c r="AI38" s="264">
        <v>9025</v>
      </c>
      <c r="AJ38" s="264">
        <v>8385</v>
      </c>
      <c r="AK38" s="264">
        <v>9575</v>
      </c>
      <c r="AL38" s="264">
        <v>9575</v>
      </c>
      <c r="AM38" s="265">
        <v>1600</v>
      </c>
      <c r="AN38" s="265">
        <v>1800</v>
      </c>
      <c r="AO38" s="265">
        <v>1800</v>
      </c>
      <c r="AP38" s="264">
        <v>8400</v>
      </c>
      <c r="AQ38" s="264">
        <v>9790</v>
      </c>
      <c r="AR38" s="264">
        <v>9790</v>
      </c>
      <c r="AS38" s="264">
        <v>8110</v>
      </c>
      <c r="AT38" s="264">
        <v>9400</v>
      </c>
      <c r="AU38" s="264">
        <v>9400</v>
      </c>
      <c r="AV38" s="264">
        <v>8110</v>
      </c>
      <c r="AW38" s="264">
        <v>9400</v>
      </c>
      <c r="AX38" s="264">
        <v>9400</v>
      </c>
      <c r="AY38" s="264">
        <v>8160</v>
      </c>
      <c r="AZ38" s="264">
        <v>9450</v>
      </c>
      <c r="BA38" s="264">
        <v>9450</v>
      </c>
      <c r="BB38" s="266">
        <v>8410</v>
      </c>
      <c r="BC38" s="266">
        <v>9700</v>
      </c>
      <c r="BD38" s="266">
        <v>9700</v>
      </c>
      <c r="BE38" s="266">
        <v>8735</v>
      </c>
      <c r="BF38" s="266">
        <v>10025</v>
      </c>
      <c r="BG38" s="266">
        <v>10025</v>
      </c>
      <c r="BH38" s="264">
        <v>9085</v>
      </c>
      <c r="BI38" s="264">
        <v>10725</v>
      </c>
      <c r="BJ38" s="264">
        <v>10725</v>
      </c>
      <c r="BK38" s="264">
        <v>9085</v>
      </c>
      <c r="BL38" s="264">
        <v>10725</v>
      </c>
      <c r="BM38" s="264">
        <v>10725</v>
      </c>
      <c r="BN38" s="264">
        <v>9085</v>
      </c>
      <c r="BO38" s="264">
        <v>10725</v>
      </c>
      <c r="BP38" s="264">
        <v>10725</v>
      </c>
      <c r="BQ38" s="234">
        <f t="shared" si="0"/>
        <v>11876</v>
      </c>
      <c r="BR38" s="235">
        <f t="shared" si="1"/>
        <v>13516</v>
      </c>
      <c r="BS38" s="236">
        <f t="shared" si="2"/>
        <v>13516</v>
      </c>
    </row>
    <row r="39" spans="1:71" ht="14.5" x14ac:dyDescent="0.35">
      <c r="A39" s="153" t="s">
        <v>274</v>
      </c>
      <c r="B39" s="153" t="s">
        <v>275</v>
      </c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8"/>
      <c r="BF39" s="238"/>
      <c r="BG39" s="238"/>
      <c r="BH39" s="237"/>
      <c r="BI39" s="237"/>
      <c r="BJ39" s="237"/>
      <c r="BK39" s="237"/>
      <c r="BL39" s="237"/>
      <c r="BM39" s="237"/>
      <c r="BN39" s="237"/>
      <c r="BO39" s="237"/>
      <c r="BP39" s="237"/>
      <c r="BQ39" s="239"/>
      <c r="BR39" s="239"/>
      <c r="BS39" s="239"/>
    </row>
    <row r="40" spans="1:71" ht="14.5" x14ac:dyDescent="0.35">
      <c r="A40" s="153" t="s">
        <v>276</v>
      </c>
      <c r="B40" s="153" t="s">
        <v>277</v>
      </c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  <c r="BC40" s="237"/>
      <c r="BD40" s="237"/>
      <c r="BE40" s="238"/>
      <c r="BF40" s="238"/>
      <c r="BG40" s="238"/>
      <c r="BH40" s="237"/>
      <c r="BI40" s="237"/>
      <c r="BJ40" s="237"/>
      <c r="BK40" s="237"/>
      <c r="BL40" s="237"/>
      <c r="BM40" s="237"/>
      <c r="BN40" s="237"/>
      <c r="BO40" s="237"/>
      <c r="BP40" s="237"/>
      <c r="BQ40" s="239"/>
      <c r="BR40" s="239"/>
      <c r="BS40" s="239"/>
    </row>
    <row r="41" spans="1:71" ht="14.5" x14ac:dyDescent="0.35">
      <c r="A41" s="153" t="s">
        <v>278</v>
      </c>
      <c r="B41" s="153" t="s">
        <v>279</v>
      </c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7"/>
      <c r="BB41" s="237"/>
      <c r="BC41" s="240"/>
      <c r="BD41" s="240"/>
      <c r="BE41" s="238"/>
      <c r="BF41" s="238"/>
      <c r="BG41" s="238"/>
      <c r="BH41" s="237"/>
      <c r="BI41" s="237"/>
      <c r="BJ41" s="237"/>
      <c r="BK41" s="237"/>
      <c r="BL41" s="237"/>
      <c r="BM41" s="237"/>
      <c r="BN41" s="237"/>
      <c r="BO41" s="237"/>
      <c r="BP41" s="237"/>
      <c r="BQ41" s="239"/>
      <c r="BR41" s="239"/>
      <c r="BS41" s="239"/>
    </row>
    <row r="42" spans="1:71" ht="14.5" x14ac:dyDescent="0.35">
      <c r="A42" s="153" t="s">
        <v>280</v>
      </c>
      <c r="B42" s="153" t="s">
        <v>281</v>
      </c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7"/>
      <c r="BB42" s="237"/>
      <c r="BC42" s="240"/>
      <c r="BD42" s="240"/>
      <c r="BE42" s="238"/>
      <c r="BF42" s="238"/>
      <c r="BG42" s="238"/>
      <c r="BH42" s="237"/>
      <c r="BI42" s="237"/>
      <c r="BJ42" s="237"/>
      <c r="BK42" s="237"/>
      <c r="BL42" s="237"/>
      <c r="BM42" s="237"/>
      <c r="BN42" s="237"/>
      <c r="BO42" s="237"/>
      <c r="BP42" s="237"/>
      <c r="BQ42" s="239"/>
      <c r="BR42" s="239"/>
      <c r="BS42" s="239"/>
    </row>
    <row r="43" spans="1:71" ht="14.5" x14ac:dyDescent="0.35">
      <c r="A43" s="153" t="s">
        <v>282</v>
      </c>
      <c r="B43" s="153" t="s">
        <v>283</v>
      </c>
      <c r="C43" s="237"/>
      <c r="D43" s="237"/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7"/>
      <c r="BB43" s="237"/>
      <c r="BC43" s="240"/>
      <c r="BD43" s="240"/>
      <c r="BE43" s="238"/>
      <c r="BF43" s="238"/>
      <c r="BG43" s="238"/>
      <c r="BH43" s="237"/>
      <c r="BI43" s="237"/>
      <c r="BJ43" s="237"/>
      <c r="BK43" s="237"/>
      <c r="BL43" s="237"/>
      <c r="BM43" s="237"/>
      <c r="BN43" s="237"/>
      <c r="BO43" s="237"/>
      <c r="BP43" s="237"/>
      <c r="BQ43" s="239"/>
      <c r="BR43" s="239"/>
      <c r="BS43" s="239"/>
    </row>
    <row r="44" spans="1:71" ht="14.5" x14ac:dyDescent="0.35">
      <c r="A44" s="153" t="s">
        <v>284</v>
      </c>
      <c r="B44" s="153" t="s">
        <v>285</v>
      </c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7"/>
      <c r="AU44" s="237"/>
      <c r="AV44" s="237"/>
      <c r="AW44" s="237"/>
      <c r="AX44" s="237"/>
      <c r="AY44" s="237"/>
      <c r="AZ44" s="237"/>
      <c r="BA44" s="237"/>
      <c r="BB44" s="237"/>
      <c r="BC44" s="240"/>
      <c r="BD44" s="240"/>
      <c r="BE44" s="238"/>
      <c r="BF44" s="238"/>
      <c r="BG44" s="238"/>
      <c r="BH44" s="237"/>
      <c r="BI44" s="237"/>
      <c r="BJ44" s="237"/>
      <c r="BK44" s="237"/>
      <c r="BL44" s="237"/>
      <c r="BM44" s="237"/>
      <c r="BN44" s="237"/>
      <c r="BO44" s="237"/>
      <c r="BP44" s="237"/>
      <c r="BQ44" s="239"/>
      <c r="BR44" s="239"/>
      <c r="BS44" s="239"/>
    </row>
    <row r="45" spans="1:71" ht="15.75" customHeight="1" x14ac:dyDescent="0.35">
      <c r="A45" s="130" t="s">
        <v>286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</row>
    <row r="46" spans="1:71" ht="14.25" customHeight="1" x14ac:dyDescent="0.35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</row>
    <row r="47" spans="1:71" s="126" customFormat="1" ht="72.75" customHeight="1" x14ac:dyDescent="0.85">
      <c r="A47" s="164"/>
      <c r="B47" s="164"/>
      <c r="C47" s="165"/>
      <c r="D47" s="165"/>
      <c r="E47" s="165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6"/>
      <c r="BS47" s="166"/>
    </row>
    <row r="48" spans="1:71" ht="14.5" x14ac:dyDescent="0.35">
      <c r="A48" s="167" t="s">
        <v>477</v>
      </c>
      <c r="B48" s="130"/>
      <c r="C48" s="136"/>
      <c r="D48" s="136"/>
      <c r="E48" s="136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1"/>
      <c r="BS48" s="131"/>
    </row>
    <row r="49" spans="1:71" ht="14.25" customHeight="1" x14ac:dyDescent="0.35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</row>
    <row r="50" spans="1:71" ht="14.25" customHeight="1" x14ac:dyDescent="0.35">
      <c r="A50" s="146" t="s">
        <v>493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</row>
    <row r="51" spans="1:71" ht="14.25" customHeight="1" x14ac:dyDescent="0.35">
      <c r="A51" s="147" t="s">
        <v>287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</row>
    <row r="52" spans="1:71" ht="14.25" customHeight="1" x14ac:dyDescent="0.35">
      <c r="A52" s="168" t="s">
        <v>487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</row>
    <row r="53" spans="1:71" ht="14.25" customHeight="1" x14ac:dyDescent="0.35">
      <c r="A53" s="148" t="s">
        <v>190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</row>
    <row r="54" spans="1:71" ht="14.25" customHeight="1" x14ac:dyDescent="0.35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</row>
    <row r="55" spans="1:71" ht="14.25" customHeight="1" x14ac:dyDescent="0.35">
      <c r="A55" s="130"/>
      <c r="B55" s="130"/>
      <c r="C55" s="136"/>
      <c r="D55" s="136"/>
      <c r="E55" s="136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</row>
    <row r="56" spans="1:71" ht="14.25" customHeight="1" x14ac:dyDescent="0.35">
      <c r="A56" s="130" t="s">
        <v>191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</row>
    <row r="57" spans="1:71" ht="14.25" customHeight="1" x14ac:dyDescent="0.35">
      <c r="A57" s="130" t="s">
        <v>192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</row>
    <row r="58" spans="1:71" ht="14.25" customHeight="1" x14ac:dyDescent="0.35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</row>
    <row r="59" spans="1:71" ht="14.25" customHeight="1" x14ac:dyDescent="0.35">
      <c r="A59" s="128" t="s">
        <v>288</v>
      </c>
      <c r="B59" s="148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</row>
    <row r="60" spans="1:71" ht="15.75" customHeight="1" x14ac:dyDescent="0.35">
      <c r="A60" s="128" t="s">
        <v>289</v>
      </c>
      <c r="B60" s="14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  <c r="BQ60" s="128"/>
      <c r="BR60" s="128"/>
      <c r="BS60" s="128"/>
    </row>
    <row r="61" spans="1:71" ht="15.75" customHeight="1" x14ac:dyDescent="0.35">
      <c r="A61" s="128" t="s">
        <v>290</v>
      </c>
      <c r="B61" s="14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  <c r="BS61" s="128"/>
    </row>
    <row r="62" spans="1:71" ht="15.75" customHeight="1" x14ac:dyDescent="0.35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</row>
    <row r="63" spans="1:71" ht="15.75" customHeight="1" x14ac:dyDescent="0.35">
      <c r="A63" s="130" t="s">
        <v>204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</row>
    <row r="64" spans="1:71" ht="15.75" customHeight="1" x14ac:dyDescent="0.35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</row>
    <row r="65" spans="1:71" ht="15.75" customHeight="1" x14ac:dyDescent="0.3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</row>
    <row r="66" spans="1:71" ht="15.75" customHeight="1" x14ac:dyDescent="0.35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</row>
    <row r="67" spans="1:71" ht="15.75" customHeight="1" x14ac:dyDescent="0.35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</row>
    <row r="68" spans="1:71" ht="15.75" customHeight="1" x14ac:dyDescent="0.35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</row>
    <row r="69" spans="1:71" ht="15.75" customHeight="1" x14ac:dyDescent="0.35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</row>
    <row r="70" spans="1:71" ht="15.75" customHeight="1" x14ac:dyDescent="0.35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</row>
    <row r="71" spans="1:71" ht="15.75" customHeight="1" x14ac:dyDescent="0.35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</row>
    <row r="72" spans="1:71" ht="15.75" customHeight="1" x14ac:dyDescent="0.35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</row>
    <row r="73" spans="1:71" ht="15.75" customHeight="1" x14ac:dyDescent="0.35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</row>
    <row r="74" spans="1:71" ht="15.75" customHeight="1" x14ac:dyDescent="0.3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</row>
    <row r="75" spans="1:71" ht="15.75" customHeight="1" x14ac:dyDescent="0.3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  <c r="BQ75" s="128"/>
      <c r="BR75" s="128"/>
      <c r="BS75" s="128"/>
    </row>
    <row r="76" spans="1:71" ht="15.75" customHeight="1" x14ac:dyDescent="0.35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</row>
    <row r="77" spans="1:71" ht="15.75" customHeight="1" x14ac:dyDescent="0.35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  <c r="BQ77" s="128"/>
      <c r="BR77" s="128"/>
      <c r="BS77" s="128"/>
    </row>
    <row r="78" spans="1:71" ht="15.75" customHeight="1" x14ac:dyDescent="0.35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  <c r="BS78" s="128"/>
    </row>
    <row r="79" spans="1:71" ht="15.75" customHeight="1" x14ac:dyDescent="0.35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  <c r="BS79" s="128"/>
    </row>
    <row r="80" spans="1:71" ht="15.75" customHeight="1" x14ac:dyDescent="0.35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  <c r="BS80" s="128"/>
    </row>
    <row r="81" spans="1:71" ht="15.75" customHeight="1" x14ac:dyDescent="0.35">
      <c r="A81" s="128" t="s">
        <v>449</v>
      </c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128"/>
      <c r="BQ81" s="128"/>
      <c r="BR81" s="128"/>
      <c r="BS81" s="128"/>
    </row>
    <row r="82" spans="1:71" ht="15.75" customHeight="1" x14ac:dyDescent="0.35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  <c r="BQ82" s="128"/>
      <c r="BR82" s="128"/>
      <c r="BS82" s="128"/>
    </row>
    <row r="83" spans="1:71" ht="15.75" customHeight="1" x14ac:dyDescent="0.3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  <c r="BQ83" s="128"/>
      <c r="BR83" s="128"/>
      <c r="BS83" s="128"/>
    </row>
    <row r="84" spans="1:71" ht="15.75" customHeight="1" x14ac:dyDescent="0.35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  <c r="BQ84" s="128"/>
      <c r="BR84" s="128"/>
      <c r="BS84" s="128"/>
    </row>
    <row r="85" spans="1:71" ht="15.75" customHeight="1" x14ac:dyDescent="0.3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  <c r="BQ85" s="128"/>
      <c r="BR85" s="128"/>
      <c r="BS85" s="128"/>
    </row>
    <row r="86" spans="1:71" ht="15.75" customHeight="1" x14ac:dyDescent="0.35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  <c r="BS86" s="128"/>
    </row>
    <row r="87" spans="1:71" ht="15.75" customHeight="1" x14ac:dyDescent="0.35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128"/>
      <c r="BQ87" s="128"/>
      <c r="BR87" s="128"/>
      <c r="BS87" s="128"/>
    </row>
    <row r="88" spans="1:71" ht="15.75" customHeight="1" x14ac:dyDescent="0.35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  <c r="BS88" s="128"/>
    </row>
    <row r="89" spans="1:71" ht="15.75" customHeight="1" x14ac:dyDescent="0.35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</row>
    <row r="90" spans="1:71" ht="15.75" customHeight="1" x14ac:dyDescent="0.35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  <c r="BR90" s="128"/>
      <c r="BS90" s="128"/>
    </row>
    <row r="91" spans="1:71" ht="15.75" customHeight="1" x14ac:dyDescent="0.35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</row>
    <row r="92" spans="1:71" ht="15.75" customHeight="1" x14ac:dyDescent="0.35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</row>
    <row r="93" spans="1:71" ht="15.75" customHeight="1" x14ac:dyDescent="0.35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</row>
    <row r="94" spans="1:71" ht="15.75" customHeight="1" x14ac:dyDescent="0.35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</row>
    <row r="95" spans="1:71" ht="15.75" customHeight="1" x14ac:dyDescent="0.3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</row>
    <row r="96" spans="1:71" ht="15.75" customHeight="1" x14ac:dyDescent="0.35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</row>
    <row r="97" spans="1:71" ht="15.75" customHeight="1" x14ac:dyDescent="0.35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</row>
    <row r="98" spans="1:71" ht="15.75" customHeight="1" x14ac:dyDescent="0.35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</row>
    <row r="99" spans="1:71" ht="15.75" customHeight="1" x14ac:dyDescent="0.35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</row>
    <row r="100" spans="1:71" ht="15.75" customHeight="1" x14ac:dyDescent="0.35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</row>
    <row r="101" spans="1:71" ht="15.75" customHeight="1" x14ac:dyDescent="0.35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</row>
    <row r="102" spans="1:71" ht="15.75" customHeight="1" x14ac:dyDescent="0.35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</row>
    <row r="103" spans="1:71" ht="15.75" customHeight="1" x14ac:dyDescent="0.35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</row>
    <row r="104" spans="1:71" ht="15.75" customHeight="1" x14ac:dyDescent="0.35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</row>
    <row r="105" spans="1:71" ht="15.75" customHeight="1" x14ac:dyDescent="0.3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</row>
    <row r="106" spans="1:71" ht="15.75" customHeight="1" x14ac:dyDescent="0.35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</row>
    <row r="107" spans="1:71" ht="15.75" customHeight="1" x14ac:dyDescent="0.35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</row>
    <row r="108" spans="1:71" ht="15.75" customHeight="1" x14ac:dyDescent="0.35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</row>
    <row r="109" spans="1:71" ht="15.75" customHeight="1" x14ac:dyDescent="0.3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</row>
    <row r="110" spans="1:71" ht="15.75" customHeight="1" x14ac:dyDescent="0.35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</row>
    <row r="111" spans="1:71" ht="15.75" customHeight="1" x14ac:dyDescent="0.35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</row>
    <row r="112" spans="1:71" ht="15.75" customHeight="1" x14ac:dyDescent="0.35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</row>
    <row r="113" spans="1:71" ht="15.75" customHeight="1" x14ac:dyDescent="0.35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</row>
    <row r="114" spans="1:71" ht="15.75" customHeight="1" x14ac:dyDescent="0.35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</row>
    <row r="115" spans="1:71" ht="15.75" customHeight="1" x14ac:dyDescent="0.3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</row>
    <row r="116" spans="1:71" ht="15.75" customHeight="1" x14ac:dyDescent="0.35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  <c r="BP116" s="128"/>
      <c r="BQ116" s="128"/>
      <c r="BR116" s="128"/>
      <c r="BS116" s="128"/>
    </row>
    <row r="117" spans="1:71" ht="15.75" customHeight="1" x14ac:dyDescent="0.35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  <c r="BP117" s="128"/>
      <c r="BQ117" s="128"/>
      <c r="BR117" s="128"/>
      <c r="BS117" s="128"/>
    </row>
    <row r="118" spans="1:71" ht="15.75" customHeight="1" x14ac:dyDescent="0.35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8"/>
    </row>
    <row r="119" spans="1:71" ht="15.75" customHeight="1" x14ac:dyDescent="0.35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  <c r="BP119" s="128"/>
      <c r="BQ119" s="128"/>
      <c r="BR119" s="128"/>
      <c r="BS119" s="128"/>
    </row>
    <row r="120" spans="1:71" ht="15.75" customHeight="1" x14ac:dyDescent="0.35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  <c r="BP120" s="128"/>
      <c r="BQ120" s="128"/>
      <c r="BR120" s="128"/>
      <c r="BS120" s="128"/>
    </row>
    <row r="121" spans="1:71" ht="15.75" customHeight="1" x14ac:dyDescent="0.35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  <c r="BP121" s="128"/>
      <c r="BQ121" s="128"/>
      <c r="BR121" s="128"/>
      <c r="BS121" s="128"/>
    </row>
    <row r="122" spans="1:71" ht="15.75" customHeight="1" x14ac:dyDescent="0.35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  <c r="BP122" s="128"/>
      <c r="BQ122" s="128"/>
      <c r="BR122" s="128"/>
      <c r="BS122" s="128"/>
    </row>
    <row r="123" spans="1:71" ht="15.75" customHeight="1" x14ac:dyDescent="0.35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  <c r="BP123" s="128"/>
      <c r="BQ123" s="128"/>
      <c r="BR123" s="128"/>
      <c r="BS123" s="128"/>
    </row>
    <row r="124" spans="1:71" ht="15.75" customHeight="1" x14ac:dyDescent="0.35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  <c r="BP124" s="128"/>
      <c r="BQ124" s="128"/>
      <c r="BR124" s="128"/>
      <c r="BS124" s="128"/>
    </row>
    <row r="125" spans="1:71" ht="15.75" customHeight="1" x14ac:dyDescent="0.3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  <c r="BP125" s="128"/>
      <c r="BQ125" s="128"/>
      <c r="BR125" s="128"/>
      <c r="BS125" s="128"/>
    </row>
    <row r="126" spans="1:71" ht="15.75" customHeight="1" x14ac:dyDescent="0.35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  <c r="BP126" s="128"/>
      <c r="BQ126" s="128"/>
      <c r="BR126" s="128"/>
      <c r="BS126" s="128"/>
    </row>
    <row r="127" spans="1:71" ht="15.75" customHeight="1" x14ac:dyDescent="0.35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  <c r="BP127" s="128"/>
      <c r="BQ127" s="128"/>
      <c r="BR127" s="128"/>
      <c r="BS127" s="128"/>
    </row>
    <row r="128" spans="1:71" ht="15.75" customHeight="1" x14ac:dyDescent="0.35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  <c r="BP128" s="128"/>
      <c r="BQ128" s="128"/>
      <c r="BR128" s="128"/>
      <c r="BS128" s="128"/>
    </row>
    <row r="129" spans="1:71" ht="15.75" customHeight="1" x14ac:dyDescent="0.35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  <c r="BP129" s="128"/>
      <c r="BQ129" s="128"/>
      <c r="BR129" s="128"/>
      <c r="BS129" s="128"/>
    </row>
    <row r="130" spans="1:71" ht="15.75" customHeight="1" x14ac:dyDescent="0.35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  <c r="BP130" s="128"/>
      <c r="BQ130" s="128"/>
      <c r="BR130" s="128"/>
      <c r="BS130" s="128"/>
    </row>
    <row r="131" spans="1:71" ht="15.75" customHeight="1" x14ac:dyDescent="0.35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  <c r="BP131" s="128"/>
      <c r="BQ131" s="128"/>
      <c r="BR131" s="128"/>
      <c r="BS131" s="128"/>
    </row>
    <row r="132" spans="1:71" ht="15.75" customHeight="1" x14ac:dyDescent="0.35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  <c r="BP132" s="128"/>
      <c r="BQ132" s="128"/>
      <c r="BR132" s="128"/>
      <c r="BS132" s="128"/>
    </row>
    <row r="133" spans="1:71" ht="15.75" customHeight="1" x14ac:dyDescent="0.35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128"/>
    </row>
    <row r="134" spans="1:71" ht="15.75" customHeight="1" x14ac:dyDescent="0.35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  <c r="BP134" s="128"/>
      <c r="BQ134" s="128"/>
      <c r="BR134" s="128"/>
      <c r="BS134" s="128"/>
    </row>
    <row r="135" spans="1:71" ht="15.75" customHeight="1" x14ac:dyDescent="0.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8"/>
    </row>
    <row r="136" spans="1:71" ht="15.75" customHeight="1" x14ac:dyDescent="0.35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8"/>
    </row>
    <row r="137" spans="1:71" ht="15.75" customHeight="1" x14ac:dyDescent="0.35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</row>
    <row r="138" spans="1:71" ht="15.75" customHeight="1" x14ac:dyDescent="0.35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</row>
    <row r="139" spans="1:71" ht="15.75" customHeight="1" x14ac:dyDescent="0.35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</row>
    <row r="140" spans="1:71" ht="15.75" customHeight="1" x14ac:dyDescent="0.35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</row>
    <row r="141" spans="1:71" ht="15.75" customHeight="1" x14ac:dyDescent="0.35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</row>
    <row r="142" spans="1:71" ht="15.75" customHeight="1" x14ac:dyDescent="0.35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</row>
    <row r="143" spans="1:71" ht="15.75" customHeight="1" x14ac:dyDescent="0.35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</row>
    <row r="144" spans="1:71" ht="15.75" customHeight="1" x14ac:dyDescent="0.35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</row>
    <row r="145" spans="1:71" ht="15.75" customHeight="1" x14ac:dyDescent="0.3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</row>
    <row r="146" spans="1:71" ht="15.75" customHeight="1" x14ac:dyDescent="0.35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</row>
    <row r="147" spans="1:71" ht="15.75" customHeight="1" x14ac:dyDescent="0.35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</row>
    <row r="148" spans="1:71" ht="15.75" customHeight="1" x14ac:dyDescent="0.35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</row>
    <row r="149" spans="1:71" ht="15.75" customHeight="1" x14ac:dyDescent="0.35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</row>
    <row r="150" spans="1:71" ht="15.75" customHeight="1" x14ac:dyDescent="0.35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</row>
    <row r="151" spans="1:71" ht="15.75" customHeight="1" x14ac:dyDescent="0.35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</row>
    <row r="152" spans="1:71" ht="15.75" customHeight="1" x14ac:dyDescent="0.35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</row>
    <row r="153" spans="1:71" ht="15.75" customHeight="1" x14ac:dyDescent="0.35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</row>
    <row r="154" spans="1:71" ht="15.75" customHeight="1" x14ac:dyDescent="0.35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</row>
    <row r="155" spans="1:71" ht="15.75" customHeight="1" x14ac:dyDescent="0.3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</row>
    <row r="156" spans="1:71" ht="15.75" customHeight="1" x14ac:dyDescent="0.35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</row>
    <row r="157" spans="1:71" ht="15.75" customHeight="1" x14ac:dyDescent="0.35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</row>
    <row r="158" spans="1:71" ht="15.75" customHeight="1" x14ac:dyDescent="0.35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</row>
    <row r="159" spans="1:71" ht="15.75" customHeight="1" x14ac:dyDescent="0.35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</row>
    <row r="160" spans="1:71" ht="15.75" customHeight="1" x14ac:dyDescent="0.35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</row>
    <row r="161" spans="1:71" ht="15.75" customHeight="1" x14ac:dyDescent="0.35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</row>
    <row r="162" spans="1:71" ht="15.75" customHeight="1" x14ac:dyDescent="0.35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</row>
    <row r="163" spans="1:71" ht="15.75" customHeight="1" x14ac:dyDescent="0.35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</row>
    <row r="164" spans="1:71" ht="15.75" customHeight="1" x14ac:dyDescent="0.35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</row>
    <row r="165" spans="1:71" ht="15.75" customHeight="1" x14ac:dyDescent="0.3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</row>
    <row r="166" spans="1:71" ht="15.75" customHeight="1" x14ac:dyDescent="0.35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</row>
    <row r="167" spans="1:71" ht="15.75" customHeight="1" x14ac:dyDescent="0.35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</row>
    <row r="168" spans="1:71" ht="15.75" customHeight="1" x14ac:dyDescent="0.35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</row>
    <row r="169" spans="1:71" ht="15.75" customHeight="1" x14ac:dyDescent="0.35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</row>
    <row r="170" spans="1:71" ht="15.75" customHeight="1" x14ac:dyDescent="0.3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</row>
    <row r="171" spans="1:71" ht="15.75" customHeight="1" x14ac:dyDescent="0.35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</row>
    <row r="172" spans="1:71" ht="15.75" customHeight="1" x14ac:dyDescent="0.35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</row>
    <row r="173" spans="1:71" ht="15.75" customHeight="1" x14ac:dyDescent="0.35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</row>
    <row r="174" spans="1:71" ht="15.75" customHeight="1" x14ac:dyDescent="0.35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</row>
    <row r="175" spans="1:71" ht="15.75" customHeight="1" x14ac:dyDescent="0.3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</row>
    <row r="176" spans="1:71" ht="15.75" customHeight="1" x14ac:dyDescent="0.35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</row>
    <row r="177" spans="1:71" ht="15.75" customHeight="1" x14ac:dyDescent="0.35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</row>
    <row r="178" spans="1:71" ht="15.75" customHeight="1" x14ac:dyDescent="0.35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</row>
    <row r="179" spans="1:71" ht="15.75" customHeight="1" x14ac:dyDescent="0.35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</row>
    <row r="180" spans="1:71" ht="15.75" customHeight="1" x14ac:dyDescent="0.35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</row>
    <row r="181" spans="1:71" ht="15.75" customHeight="1" x14ac:dyDescent="0.35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</row>
    <row r="182" spans="1:71" ht="15.75" customHeight="1" x14ac:dyDescent="0.35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</row>
    <row r="183" spans="1:71" ht="15.75" customHeight="1" x14ac:dyDescent="0.35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</row>
    <row r="184" spans="1:71" ht="15.75" customHeight="1" x14ac:dyDescent="0.35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</row>
    <row r="185" spans="1:71" ht="15.75" customHeight="1" x14ac:dyDescent="0.3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</row>
    <row r="186" spans="1:71" ht="15.75" customHeight="1" x14ac:dyDescent="0.3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</row>
    <row r="187" spans="1:71" ht="15.75" customHeight="1" x14ac:dyDescent="0.35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</row>
    <row r="188" spans="1:71" ht="15.75" customHeight="1" x14ac:dyDescent="0.35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</row>
    <row r="189" spans="1:71" ht="15.75" customHeight="1" x14ac:dyDescent="0.35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</row>
    <row r="190" spans="1:71" ht="15.75" customHeight="1" x14ac:dyDescent="0.35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</row>
    <row r="191" spans="1:71" ht="15.75" customHeight="1" x14ac:dyDescent="0.35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</row>
    <row r="192" spans="1:71" ht="15.75" customHeight="1" x14ac:dyDescent="0.35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</row>
    <row r="193" spans="1:71" ht="15.75" customHeight="1" x14ac:dyDescent="0.35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</row>
    <row r="194" spans="1:71" ht="15.75" customHeight="1" x14ac:dyDescent="0.35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</row>
    <row r="195" spans="1:71" ht="15.75" customHeight="1" x14ac:dyDescent="0.3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</row>
    <row r="196" spans="1:71" ht="15.75" customHeight="1" x14ac:dyDescent="0.35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</row>
    <row r="197" spans="1:71" ht="15.75" customHeight="1" x14ac:dyDescent="0.35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</row>
    <row r="198" spans="1:71" ht="15.75" customHeight="1" x14ac:dyDescent="0.35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</row>
    <row r="199" spans="1:71" ht="15.75" customHeight="1" x14ac:dyDescent="0.35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</row>
    <row r="200" spans="1:71" ht="15.75" customHeight="1" x14ac:dyDescent="0.35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</row>
    <row r="201" spans="1:71" ht="15.75" customHeight="1" x14ac:dyDescent="0.35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</row>
    <row r="202" spans="1:71" ht="15.75" customHeight="1" x14ac:dyDescent="0.35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</row>
    <row r="203" spans="1:71" ht="15.75" customHeight="1" x14ac:dyDescent="0.35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</row>
    <row r="204" spans="1:71" ht="15.75" customHeight="1" x14ac:dyDescent="0.35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</row>
    <row r="205" spans="1:71" ht="15.75" customHeight="1" x14ac:dyDescent="0.3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</row>
    <row r="206" spans="1:71" ht="15.75" customHeight="1" x14ac:dyDescent="0.35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</row>
    <row r="207" spans="1:71" ht="15.75" customHeight="1" x14ac:dyDescent="0.35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</row>
    <row r="208" spans="1:71" ht="15.75" customHeight="1" x14ac:dyDescent="0.35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</row>
    <row r="209" spans="1:71" ht="15.75" customHeight="1" x14ac:dyDescent="0.35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</row>
    <row r="210" spans="1:71" ht="15.75" customHeight="1" x14ac:dyDescent="0.35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</row>
    <row r="211" spans="1:71" ht="15.75" customHeight="1" x14ac:dyDescent="0.35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</row>
    <row r="212" spans="1:71" ht="15.75" customHeight="1" x14ac:dyDescent="0.35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</row>
    <row r="213" spans="1:71" ht="15.75" customHeight="1" x14ac:dyDescent="0.35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</row>
    <row r="214" spans="1:71" ht="15.75" customHeight="1" x14ac:dyDescent="0.35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</row>
    <row r="215" spans="1:71" ht="15.75" customHeight="1" x14ac:dyDescent="0.3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</row>
    <row r="216" spans="1:71" ht="15.75" customHeight="1" x14ac:dyDescent="0.35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</row>
    <row r="217" spans="1:71" ht="15.75" customHeight="1" x14ac:dyDescent="0.35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</row>
    <row r="218" spans="1:71" ht="15.75" customHeight="1" x14ac:dyDescent="0.35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</row>
    <row r="219" spans="1:71" ht="15.75" customHeight="1" x14ac:dyDescent="0.35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</row>
    <row r="220" spans="1:71" ht="15.75" customHeight="1" x14ac:dyDescent="0.35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</row>
    <row r="221" spans="1:71" ht="15.75" customHeight="1" x14ac:dyDescent="0.35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</row>
    <row r="222" spans="1:71" ht="15.75" customHeight="1" x14ac:dyDescent="0.35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</row>
    <row r="223" spans="1:71" ht="15.75" customHeight="1" x14ac:dyDescent="0.35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</row>
    <row r="224" spans="1:71" ht="15.75" customHeight="1" x14ac:dyDescent="0.35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</row>
    <row r="225" spans="1:71" ht="15.75" customHeight="1" x14ac:dyDescent="0.3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</row>
    <row r="226" spans="1:71" ht="15.75" customHeight="1" x14ac:dyDescent="0.35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</row>
    <row r="227" spans="1:71" ht="15.75" customHeight="1" x14ac:dyDescent="0.35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</row>
    <row r="228" spans="1:71" ht="15.75" customHeight="1" x14ac:dyDescent="0.35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</row>
    <row r="229" spans="1:71" ht="15.75" customHeight="1" x14ac:dyDescent="0.35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</row>
    <row r="230" spans="1:71" ht="15.75" customHeight="1" x14ac:dyDescent="0.35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</row>
    <row r="231" spans="1:71" ht="15.75" customHeight="1" x14ac:dyDescent="0.35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</row>
    <row r="232" spans="1:71" ht="15.75" customHeight="1" x14ac:dyDescent="0.3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</row>
    <row r="233" spans="1:71" ht="15.75" customHeight="1" x14ac:dyDescent="0.35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</row>
    <row r="234" spans="1:71" ht="15.75" customHeight="1" x14ac:dyDescent="0.35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</row>
    <row r="235" spans="1:71" ht="15.75" customHeight="1" x14ac:dyDescent="0.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</row>
    <row r="236" spans="1:71" ht="15.75" customHeight="1" x14ac:dyDescent="0.35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</row>
    <row r="237" spans="1:71" ht="15.75" customHeight="1" x14ac:dyDescent="0.35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</row>
    <row r="238" spans="1:71" ht="15.75" customHeight="1" x14ac:dyDescent="0.35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</row>
    <row r="239" spans="1:71" ht="15.75" customHeight="1" x14ac:dyDescent="0.35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</row>
    <row r="240" spans="1:71" ht="15.75" customHeight="1" x14ac:dyDescent="0.35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</row>
    <row r="241" spans="1:71" ht="15.75" customHeight="1" x14ac:dyDescent="0.35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</row>
    <row r="242" spans="1:71" ht="15.75" customHeight="1" x14ac:dyDescent="0.3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</row>
    <row r="243" spans="1:71" ht="15.75" customHeight="1" x14ac:dyDescent="0.35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</row>
    <row r="244" spans="1:71" ht="15.75" customHeight="1" x14ac:dyDescent="0.35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</row>
    <row r="245" spans="1:71" ht="15.75" customHeight="1" x14ac:dyDescent="0.3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</row>
    <row r="246" spans="1:71" ht="15.75" customHeight="1" x14ac:dyDescent="0.35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</row>
    <row r="247" spans="1:71" ht="15.75" customHeight="1" x14ac:dyDescent="0.35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</row>
    <row r="248" spans="1:71" ht="15.75" customHeight="1" x14ac:dyDescent="0.35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</row>
    <row r="249" spans="1:71" ht="15.75" customHeight="1" x14ac:dyDescent="0.35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</row>
    <row r="250" spans="1:71" ht="15.75" customHeight="1" x14ac:dyDescent="0.35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</row>
    <row r="251" spans="1:71" ht="15.75" customHeight="1" x14ac:dyDescent="0.35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</row>
    <row r="252" spans="1:71" ht="15.75" customHeight="1" x14ac:dyDescent="0.35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</row>
    <row r="253" spans="1:71" ht="15.75" customHeight="1" x14ac:dyDescent="0.35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</row>
    <row r="254" spans="1:71" ht="15.75" customHeight="1" x14ac:dyDescent="0.35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</row>
    <row r="255" spans="1:71" ht="15.75" customHeight="1" x14ac:dyDescent="0.3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</row>
    <row r="256" spans="1:71" ht="15.75" customHeight="1" x14ac:dyDescent="0.35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</row>
    <row r="257" spans="1:71" ht="15.75" customHeight="1" x14ac:dyDescent="0.35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</row>
    <row r="258" spans="1:71" ht="15.75" customHeight="1" x14ac:dyDescent="0.35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</row>
    <row r="259" spans="1:71" ht="15.75" customHeight="1" x14ac:dyDescent="0.35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</row>
    <row r="260" spans="1:71" ht="15.75" customHeight="1" x14ac:dyDescent="0.35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</row>
    <row r="261" spans="1:71" ht="15.75" customHeight="1" x14ac:dyDescent="0.35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</row>
    <row r="262" spans="1:71" ht="15.75" customHeight="1" x14ac:dyDescent="0.35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</row>
    <row r="263" spans="1:71" ht="15.75" customHeight="1" x14ac:dyDescent="0.35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</row>
    <row r="264" spans="1:71" ht="15.75" customHeight="1" x14ac:dyDescent="0.35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</row>
    <row r="265" spans="1:71" ht="15.75" customHeight="1" x14ac:dyDescent="0.3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</row>
    <row r="266" spans="1:71" ht="15.75" customHeight="1" x14ac:dyDescent="0.35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</row>
    <row r="267" spans="1:71" ht="15.75" customHeight="1" x14ac:dyDescent="0.35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</row>
    <row r="268" spans="1:71" ht="15.75" customHeight="1" x14ac:dyDescent="0.35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</row>
    <row r="269" spans="1:71" ht="15.75" customHeight="1" x14ac:dyDescent="0.35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</row>
    <row r="270" spans="1:71" ht="15.75" customHeight="1" x14ac:dyDescent="0.35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</row>
    <row r="271" spans="1:71" ht="15.75" customHeight="1" x14ac:dyDescent="0.35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</row>
    <row r="272" spans="1:71" ht="15.75" customHeight="1" x14ac:dyDescent="0.35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</row>
    <row r="273" spans="1:71" ht="15.75" customHeight="1" x14ac:dyDescent="0.35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</row>
    <row r="274" spans="1:71" ht="15.75" customHeight="1" x14ac:dyDescent="0.35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</row>
    <row r="275" spans="1:71" ht="15.75" customHeight="1" x14ac:dyDescent="0.3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</row>
    <row r="276" spans="1:71" ht="15.75" customHeight="1" x14ac:dyDescent="0.35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</row>
    <row r="277" spans="1:71" ht="15.75" customHeight="1" x14ac:dyDescent="0.35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</row>
    <row r="278" spans="1:71" ht="15.75" customHeight="1" x14ac:dyDescent="0.35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</row>
    <row r="279" spans="1:71" ht="15.75" customHeight="1" x14ac:dyDescent="0.35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</row>
    <row r="280" spans="1:71" ht="15.75" customHeight="1" x14ac:dyDescent="0.35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</row>
    <row r="281" spans="1:71" ht="15.75" customHeight="1" x14ac:dyDescent="0.35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</row>
    <row r="282" spans="1:71" ht="15.75" customHeight="1" x14ac:dyDescent="0.35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</row>
    <row r="283" spans="1:71" ht="15.75" customHeight="1" x14ac:dyDescent="0.35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</row>
    <row r="284" spans="1:71" ht="15.75" customHeight="1" x14ac:dyDescent="0.35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</row>
    <row r="285" spans="1:71" ht="15.75" customHeight="1" x14ac:dyDescent="0.3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</row>
    <row r="286" spans="1:71" ht="15.75" customHeight="1" x14ac:dyDescent="0.35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</row>
    <row r="287" spans="1:71" ht="15.75" customHeight="1" x14ac:dyDescent="0.35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</row>
    <row r="288" spans="1:71" ht="15.75" customHeight="1" x14ac:dyDescent="0.35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</row>
    <row r="289" spans="1:71" ht="15.75" customHeight="1" x14ac:dyDescent="0.35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</row>
    <row r="290" spans="1:71" ht="15.75" customHeight="1" x14ac:dyDescent="0.35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</row>
    <row r="291" spans="1:71" ht="15.75" customHeight="1" x14ac:dyDescent="0.35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</row>
    <row r="292" spans="1:71" ht="15.75" customHeight="1" x14ac:dyDescent="0.35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</row>
    <row r="293" spans="1:71" ht="15.75" customHeight="1" x14ac:dyDescent="0.35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</row>
    <row r="294" spans="1:71" ht="15.75" customHeight="1" x14ac:dyDescent="0.35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</row>
    <row r="295" spans="1:71" ht="15.75" customHeight="1" x14ac:dyDescent="0.3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</row>
    <row r="296" spans="1:71" ht="15.75" customHeight="1" x14ac:dyDescent="0.35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</row>
    <row r="297" spans="1:71" ht="15.75" customHeight="1" x14ac:dyDescent="0.35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</row>
    <row r="298" spans="1:71" ht="15.75" customHeight="1" x14ac:dyDescent="0.35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</row>
    <row r="299" spans="1:71" ht="15.75" customHeight="1" x14ac:dyDescent="0.35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</row>
    <row r="300" spans="1:71" ht="15.75" customHeight="1" x14ac:dyDescent="0.35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</row>
    <row r="301" spans="1:71" ht="15.75" customHeight="1" x14ac:dyDescent="0.35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</row>
    <row r="302" spans="1:71" ht="15.75" customHeight="1" x14ac:dyDescent="0.35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  <c r="BP302" s="128"/>
      <c r="BQ302" s="128"/>
      <c r="BR302" s="128"/>
      <c r="BS302" s="128"/>
    </row>
    <row r="303" spans="1:71" ht="15.75" customHeight="1" x14ac:dyDescent="0.35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  <c r="BP303" s="128"/>
      <c r="BQ303" s="128"/>
      <c r="BR303" s="128"/>
      <c r="BS303" s="128"/>
    </row>
    <row r="304" spans="1:71" ht="15.75" customHeight="1" x14ac:dyDescent="0.35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  <c r="BP304" s="128"/>
      <c r="BQ304" s="128"/>
      <c r="BR304" s="128"/>
      <c r="BS304" s="128"/>
    </row>
    <row r="305" spans="1:71" ht="15.75" customHeight="1" x14ac:dyDescent="0.3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  <c r="BP305" s="128"/>
      <c r="BQ305" s="128"/>
      <c r="BR305" s="128"/>
      <c r="BS305" s="128"/>
    </row>
    <row r="306" spans="1:71" ht="15.75" customHeight="1" x14ac:dyDescent="0.35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  <c r="BP306" s="128"/>
      <c r="BQ306" s="128"/>
      <c r="BR306" s="128"/>
      <c r="BS306" s="128"/>
    </row>
    <row r="307" spans="1:71" ht="15.75" customHeight="1" x14ac:dyDescent="0.35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  <c r="BP307" s="128"/>
      <c r="BQ307" s="128"/>
      <c r="BR307" s="128"/>
      <c r="BS307" s="128"/>
    </row>
    <row r="308" spans="1:71" ht="15.75" customHeight="1" x14ac:dyDescent="0.35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  <c r="BP308" s="128"/>
      <c r="BQ308" s="128"/>
      <c r="BR308" s="128"/>
      <c r="BS308" s="128"/>
    </row>
    <row r="309" spans="1:71" ht="15.75" customHeight="1" x14ac:dyDescent="0.35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  <c r="BP309" s="128"/>
      <c r="BQ309" s="128"/>
      <c r="BR309" s="128"/>
      <c r="BS309" s="128"/>
    </row>
    <row r="310" spans="1:71" ht="15.75" customHeight="1" x14ac:dyDescent="0.35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  <c r="BP310" s="128"/>
      <c r="BQ310" s="128"/>
      <c r="BR310" s="128"/>
      <c r="BS310" s="128"/>
    </row>
    <row r="311" spans="1:71" ht="15.75" customHeight="1" x14ac:dyDescent="0.35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  <c r="BP311" s="128"/>
      <c r="BQ311" s="128"/>
      <c r="BR311" s="128"/>
      <c r="BS311" s="128"/>
    </row>
    <row r="312" spans="1:71" ht="15.75" customHeight="1" x14ac:dyDescent="0.35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  <c r="BP312" s="128"/>
      <c r="BQ312" s="128"/>
      <c r="BR312" s="128"/>
      <c r="BS312" s="128"/>
    </row>
    <row r="313" spans="1:71" ht="15.75" customHeight="1" x14ac:dyDescent="0.35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  <c r="BP313" s="128"/>
      <c r="BQ313" s="128"/>
      <c r="BR313" s="128"/>
      <c r="BS313" s="128"/>
    </row>
    <row r="314" spans="1:71" ht="15.75" customHeight="1" x14ac:dyDescent="0.35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  <c r="BP314" s="128"/>
      <c r="BQ314" s="128"/>
      <c r="BR314" s="128"/>
      <c r="BS314" s="128"/>
    </row>
    <row r="315" spans="1:71" ht="15.75" customHeight="1" x14ac:dyDescent="0.3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  <c r="BP315" s="128"/>
      <c r="BQ315" s="128"/>
      <c r="BR315" s="128"/>
      <c r="BS315" s="128"/>
    </row>
    <row r="316" spans="1:71" ht="15.75" customHeight="1" x14ac:dyDescent="0.35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  <c r="BP316" s="128"/>
      <c r="BQ316" s="128"/>
      <c r="BR316" s="128"/>
      <c r="BS316" s="128"/>
    </row>
    <row r="317" spans="1:71" ht="15.75" customHeight="1" x14ac:dyDescent="0.35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  <c r="BP317" s="128"/>
      <c r="BQ317" s="128"/>
      <c r="BR317" s="128"/>
      <c r="BS317" s="128"/>
    </row>
    <row r="318" spans="1:71" ht="15.75" customHeight="1" x14ac:dyDescent="0.35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  <c r="BP318" s="128"/>
      <c r="BQ318" s="128"/>
      <c r="BR318" s="128"/>
      <c r="BS318" s="128"/>
    </row>
    <row r="319" spans="1:71" ht="15.75" customHeight="1" x14ac:dyDescent="0.35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  <c r="BP319" s="128"/>
      <c r="BQ319" s="128"/>
      <c r="BR319" s="128"/>
      <c r="BS319" s="128"/>
    </row>
    <row r="320" spans="1:71" ht="15.75" customHeight="1" x14ac:dyDescent="0.35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  <c r="BP320" s="128"/>
      <c r="BQ320" s="128"/>
      <c r="BR320" s="128"/>
      <c r="BS320" s="128"/>
    </row>
    <row r="321" spans="1:71" ht="15.75" customHeight="1" x14ac:dyDescent="0.35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  <c r="BP321" s="128"/>
      <c r="BQ321" s="128"/>
      <c r="BR321" s="128"/>
      <c r="BS321" s="128"/>
    </row>
    <row r="322" spans="1:71" ht="15.75" customHeight="1" x14ac:dyDescent="0.35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  <c r="BP322" s="128"/>
      <c r="BQ322" s="128"/>
      <c r="BR322" s="128"/>
      <c r="BS322" s="128"/>
    </row>
    <row r="323" spans="1:71" ht="15.75" customHeight="1" x14ac:dyDescent="0.35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  <c r="BP323" s="128"/>
      <c r="BQ323" s="128"/>
      <c r="BR323" s="128"/>
      <c r="BS323" s="128"/>
    </row>
    <row r="324" spans="1:71" ht="15.75" customHeight="1" x14ac:dyDescent="0.35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  <c r="BP324" s="128"/>
      <c r="BQ324" s="128"/>
      <c r="BR324" s="128"/>
      <c r="BS324" s="128"/>
    </row>
    <row r="325" spans="1:71" ht="15.75" customHeight="1" x14ac:dyDescent="0.3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  <c r="BP325" s="128"/>
      <c r="BQ325" s="128"/>
      <c r="BR325" s="128"/>
      <c r="BS325" s="128"/>
    </row>
    <row r="326" spans="1:71" ht="15.75" customHeight="1" x14ac:dyDescent="0.35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  <c r="BP326" s="128"/>
      <c r="BQ326" s="128"/>
      <c r="BR326" s="128"/>
      <c r="BS326" s="128"/>
    </row>
    <row r="327" spans="1:71" ht="15.75" customHeight="1" x14ac:dyDescent="0.35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  <c r="BP327" s="128"/>
      <c r="BQ327" s="128"/>
      <c r="BR327" s="128"/>
      <c r="BS327" s="128"/>
    </row>
    <row r="328" spans="1:71" ht="15.75" customHeight="1" x14ac:dyDescent="0.35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  <c r="BP328" s="128"/>
      <c r="BQ328" s="128"/>
      <c r="BR328" s="128"/>
      <c r="BS328" s="128"/>
    </row>
    <row r="329" spans="1:71" ht="15.75" customHeight="1" x14ac:dyDescent="0.35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  <c r="BP329" s="128"/>
      <c r="BQ329" s="128"/>
      <c r="BR329" s="128"/>
      <c r="BS329" s="128"/>
    </row>
    <row r="330" spans="1:71" ht="15.75" customHeight="1" x14ac:dyDescent="0.35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  <c r="BP330" s="128"/>
      <c r="BQ330" s="128"/>
      <c r="BR330" s="128"/>
      <c r="BS330" s="128"/>
    </row>
    <row r="331" spans="1:71" ht="15.75" customHeight="1" x14ac:dyDescent="0.35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  <c r="BP331" s="128"/>
      <c r="BQ331" s="128"/>
      <c r="BR331" s="128"/>
      <c r="BS331" s="128"/>
    </row>
    <row r="332" spans="1:71" ht="15.75" customHeight="1" x14ac:dyDescent="0.35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  <c r="BP332" s="128"/>
      <c r="BQ332" s="128"/>
      <c r="BR332" s="128"/>
      <c r="BS332" s="128"/>
    </row>
    <row r="333" spans="1:71" ht="15.75" customHeight="1" x14ac:dyDescent="0.35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  <c r="BP333" s="128"/>
      <c r="BQ333" s="128"/>
      <c r="BR333" s="128"/>
      <c r="BS333" s="128"/>
    </row>
    <row r="334" spans="1:71" ht="15.75" customHeight="1" x14ac:dyDescent="0.35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  <c r="BP334" s="128"/>
      <c r="BQ334" s="128"/>
      <c r="BR334" s="128"/>
      <c r="BS334" s="128"/>
    </row>
    <row r="335" spans="1:71" ht="15.75" customHeight="1" x14ac:dyDescent="0.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  <c r="BP335" s="128"/>
      <c r="BQ335" s="128"/>
      <c r="BR335" s="128"/>
      <c r="BS335" s="128"/>
    </row>
    <row r="336" spans="1:71" ht="15.75" customHeight="1" x14ac:dyDescent="0.35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  <c r="BP336" s="128"/>
      <c r="BQ336" s="128"/>
      <c r="BR336" s="128"/>
      <c r="BS336" s="128"/>
    </row>
    <row r="337" spans="1:71" ht="15.75" customHeight="1" x14ac:dyDescent="0.35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  <c r="BP337" s="128"/>
      <c r="BQ337" s="128"/>
      <c r="BR337" s="128"/>
      <c r="BS337" s="128"/>
    </row>
    <row r="338" spans="1:71" ht="15.75" customHeight="1" x14ac:dyDescent="0.35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  <c r="BP338" s="128"/>
      <c r="BQ338" s="128"/>
      <c r="BR338" s="128"/>
      <c r="BS338" s="128"/>
    </row>
    <row r="339" spans="1:71" ht="15.75" customHeight="1" x14ac:dyDescent="0.35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  <c r="BP339" s="128"/>
      <c r="BQ339" s="128"/>
      <c r="BR339" s="128"/>
      <c r="BS339" s="128"/>
    </row>
    <row r="340" spans="1:71" ht="15.75" customHeight="1" x14ac:dyDescent="0.35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  <c r="BP340" s="128"/>
      <c r="BQ340" s="128"/>
      <c r="BR340" s="128"/>
      <c r="BS340" s="128"/>
    </row>
    <row r="341" spans="1:71" ht="15.75" customHeight="1" x14ac:dyDescent="0.35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  <c r="BP341" s="128"/>
      <c r="BQ341" s="128"/>
      <c r="BR341" s="128"/>
      <c r="BS341" s="128"/>
    </row>
    <row r="342" spans="1:71" ht="15.75" customHeight="1" x14ac:dyDescent="0.35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  <c r="BP342" s="128"/>
      <c r="BQ342" s="128"/>
      <c r="BR342" s="128"/>
      <c r="BS342" s="128"/>
    </row>
    <row r="343" spans="1:71" ht="15.75" customHeight="1" x14ac:dyDescent="0.35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  <c r="BP343" s="128"/>
      <c r="BQ343" s="128"/>
      <c r="BR343" s="128"/>
      <c r="BS343" s="128"/>
    </row>
    <row r="344" spans="1:71" ht="15.75" customHeight="1" x14ac:dyDescent="0.35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  <c r="BP344" s="128"/>
      <c r="BQ344" s="128"/>
      <c r="BR344" s="128"/>
      <c r="BS344" s="128"/>
    </row>
    <row r="345" spans="1:71" ht="15.75" customHeight="1" x14ac:dyDescent="0.3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  <c r="BP345" s="128"/>
      <c r="BQ345" s="128"/>
      <c r="BR345" s="128"/>
      <c r="BS345" s="128"/>
    </row>
    <row r="346" spans="1:71" ht="15.75" customHeight="1" x14ac:dyDescent="0.35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  <c r="BP346" s="128"/>
      <c r="BQ346" s="128"/>
      <c r="BR346" s="128"/>
      <c r="BS346" s="128"/>
    </row>
    <row r="347" spans="1:71" ht="15.75" customHeight="1" x14ac:dyDescent="0.35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  <c r="BP347" s="128"/>
      <c r="BQ347" s="128"/>
      <c r="BR347" s="128"/>
      <c r="BS347" s="128"/>
    </row>
    <row r="348" spans="1:71" ht="15.75" customHeight="1" x14ac:dyDescent="0.35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  <c r="BP348" s="128"/>
      <c r="BQ348" s="128"/>
      <c r="BR348" s="128"/>
      <c r="BS348" s="128"/>
    </row>
    <row r="349" spans="1:71" ht="15.75" customHeight="1" x14ac:dyDescent="0.35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  <c r="BP349" s="128"/>
      <c r="BQ349" s="128"/>
      <c r="BR349" s="128"/>
      <c r="BS349" s="128"/>
    </row>
    <row r="350" spans="1:71" ht="15.75" customHeight="1" x14ac:dyDescent="0.35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  <c r="BP350" s="128"/>
      <c r="BQ350" s="128"/>
      <c r="BR350" s="128"/>
      <c r="BS350" s="128"/>
    </row>
    <row r="351" spans="1:71" ht="15.75" customHeight="1" x14ac:dyDescent="0.35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  <c r="BP351" s="128"/>
      <c r="BQ351" s="128"/>
      <c r="BR351" s="128"/>
      <c r="BS351" s="128"/>
    </row>
    <row r="352" spans="1:71" ht="15.75" customHeight="1" x14ac:dyDescent="0.35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  <c r="BP352" s="128"/>
      <c r="BQ352" s="128"/>
      <c r="BR352" s="128"/>
      <c r="BS352" s="128"/>
    </row>
    <row r="353" spans="1:71" ht="15.75" customHeight="1" x14ac:dyDescent="0.35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  <c r="BP353" s="128"/>
      <c r="BQ353" s="128"/>
      <c r="BR353" s="128"/>
      <c r="BS353" s="128"/>
    </row>
    <row r="354" spans="1:71" ht="15.75" customHeight="1" x14ac:dyDescent="0.35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  <c r="BP354" s="128"/>
      <c r="BQ354" s="128"/>
      <c r="BR354" s="128"/>
      <c r="BS354" s="128"/>
    </row>
    <row r="355" spans="1:71" ht="15.75" customHeight="1" x14ac:dyDescent="0.3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  <c r="BP355" s="128"/>
      <c r="BQ355" s="128"/>
      <c r="BR355" s="128"/>
      <c r="BS355" s="128"/>
    </row>
    <row r="356" spans="1:71" ht="15.75" customHeight="1" x14ac:dyDescent="0.35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  <c r="BP356" s="128"/>
      <c r="BQ356" s="128"/>
      <c r="BR356" s="128"/>
      <c r="BS356" s="128"/>
    </row>
    <row r="357" spans="1:71" ht="15.75" customHeight="1" x14ac:dyDescent="0.35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  <c r="BP357" s="128"/>
      <c r="BQ357" s="128"/>
      <c r="BR357" s="128"/>
      <c r="BS357" s="128"/>
    </row>
    <row r="358" spans="1:71" ht="15.75" customHeight="1" x14ac:dyDescent="0.35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  <c r="BP358" s="128"/>
      <c r="BQ358" s="128"/>
      <c r="BR358" s="128"/>
      <c r="BS358" s="128"/>
    </row>
    <row r="359" spans="1:71" ht="15.75" customHeight="1" x14ac:dyDescent="0.35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  <c r="BP359" s="128"/>
      <c r="BQ359" s="128"/>
      <c r="BR359" s="128"/>
      <c r="BS359" s="128"/>
    </row>
    <row r="360" spans="1:71" ht="15.75" customHeight="1" x14ac:dyDescent="0.35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  <c r="BP360" s="128"/>
      <c r="BQ360" s="128"/>
      <c r="BR360" s="128"/>
      <c r="BS360" s="128"/>
    </row>
    <row r="361" spans="1:71" ht="15.75" customHeight="1" x14ac:dyDescent="0.35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  <c r="BP361" s="128"/>
      <c r="BQ361" s="128"/>
      <c r="BR361" s="128"/>
      <c r="BS361" s="128"/>
    </row>
    <row r="362" spans="1:71" ht="15.75" customHeight="1" x14ac:dyDescent="0.35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  <c r="BP362" s="128"/>
      <c r="BQ362" s="128"/>
      <c r="BR362" s="128"/>
      <c r="BS362" s="128"/>
    </row>
    <row r="363" spans="1:71" ht="15.75" customHeight="1" x14ac:dyDescent="0.35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  <c r="BP363" s="128"/>
      <c r="BQ363" s="128"/>
      <c r="BR363" s="128"/>
      <c r="BS363" s="128"/>
    </row>
    <row r="364" spans="1:71" ht="15.75" customHeight="1" x14ac:dyDescent="0.35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  <c r="BP364" s="128"/>
      <c r="BQ364" s="128"/>
      <c r="BR364" s="128"/>
      <c r="BS364" s="128"/>
    </row>
    <row r="365" spans="1:71" ht="15.75" customHeight="1" x14ac:dyDescent="0.3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  <c r="BP365" s="128"/>
      <c r="BQ365" s="128"/>
      <c r="BR365" s="128"/>
      <c r="BS365" s="128"/>
    </row>
    <row r="366" spans="1:71" ht="15.75" customHeight="1" x14ac:dyDescent="0.35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  <c r="BP366" s="128"/>
      <c r="BQ366" s="128"/>
      <c r="BR366" s="128"/>
      <c r="BS366" s="128"/>
    </row>
    <row r="367" spans="1:71" ht="15.75" customHeight="1" x14ac:dyDescent="0.35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  <c r="BP367" s="128"/>
      <c r="BQ367" s="128"/>
      <c r="BR367" s="128"/>
      <c r="BS367" s="128"/>
    </row>
    <row r="368" spans="1:71" ht="15.75" customHeight="1" x14ac:dyDescent="0.35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  <c r="BP368" s="128"/>
      <c r="BQ368" s="128"/>
      <c r="BR368" s="128"/>
      <c r="BS368" s="128"/>
    </row>
    <row r="369" spans="1:71" ht="15.75" customHeight="1" x14ac:dyDescent="0.35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  <c r="BP369" s="128"/>
      <c r="BQ369" s="128"/>
      <c r="BR369" s="128"/>
      <c r="BS369" s="128"/>
    </row>
    <row r="370" spans="1:71" ht="15.75" customHeight="1" x14ac:dyDescent="0.35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  <c r="BP370" s="128"/>
      <c r="BQ370" s="128"/>
      <c r="BR370" s="128"/>
      <c r="BS370" s="128"/>
    </row>
    <row r="371" spans="1:71" ht="15.75" customHeight="1" x14ac:dyDescent="0.35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  <c r="BP371" s="128"/>
      <c r="BQ371" s="128"/>
      <c r="BR371" s="128"/>
      <c r="BS371" s="128"/>
    </row>
    <row r="372" spans="1:71" ht="15.75" customHeight="1" x14ac:dyDescent="0.35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  <c r="BP372" s="128"/>
      <c r="BQ372" s="128"/>
      <c r="BR372" s="128"/>
      <c r="BS372" s="128"/>
    </row>
    <row r="373" spans="1:71" ht="15.75" customHeight="1" x14ac:dyDescent="0.35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  <c r="BP373" s="128"/>
      <c r="BQ373" s="128"/>
      <c r="BR373" s="128"/>
      <c r="BS373" s="128"/>
    </row>
    <row r="374" spans="1:71" ht="15.75" customHeight="1" x14ac:dyDescent="0.35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  <c r="BP374" s="128"/>
      <c r="BQ374" s="128"/>
      <c r="BR374" s="128"/>
      <c r="BS374" s="128"/>
    </row>
    <row r="375" spans="1:71" ht="15.75" customHeight="1" x14ac:dyDescent="0.3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  <c r="BP375" s="128"/>
      <c r="BQ375" s="128"/>
      <c r="BR375" s="128"/>
      <c r="BS375" s="128"/>
    </row>
    <row r="376" spans="1:71" ht="15.75" customHeight="1" x14ac:dyDescent="0.35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  <c r="BP376" s="128"/>
      <c r="BQ376" s="128"/>
      <c r="BR376" s="128"/>
      <c r="BS376" s="128"/>
    </row>
    <row r="377" spans="1:71" ht="15.75" customHeight="1" x14ac:dyDescent="0.35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  <c r="BP377" s="128"/>
      <c r="BQ377" s="128"/>
      <c r="BR377" s="128"/>
      <c r="BS377" s="128"/>
    </row>
    <row r="378" spans="1:71" ht="15.75" customHeight="1" x14ac:dyDescent="0.35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  <c r="BP378" s="128"/>
      <c r="BQ378" s="128"/>
      <c r="BR378" s="128"/>
      <c r="BS378" s="128"/>
    </row>
    <row r="379" spans="1:71" ht="15.75" customHeight="1" x14ac:dyDescent="0.35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  <c r="BP379" s="128"/>
      <c r="BQ379" s="128"/>
      <c r="BR379" s="128"/>
      <c r="BS379" s="128"/>
    </row>
    <row r="380" spans="1:71" ht="15.75" customHeight="1" x14ac:dyDescent="0.35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  <c r="BP380" s="128"/>
      <c r="BQ380" s="128"/>
      <c r="BR380" s="128"/>
      <c r="BS380" s="128"/>
    </row>
    <row r="381" spans="1:71" ht="15.75" customHeight="1" x14ac:dyDescent="0.35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  <c r="BP381" s="128"/>
      <c r="BQ381" s="128"/>
      <c r="BR381" s="128"/>
      <c r="BS381" s="128"/>
    </row>
    <row r="382" spans="1:71" ht="15.75" customHeight="1" x14ac:dyDescent="0.35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  <c r="BP382" s="128"/>
      <c r="BQ382" s="128"/>
      <c r="BR382" s="128"/>
      <c r="BS382" s="128"/>
    </row>
    <row r="383" spans="1:71" ht="15.75" customHeight="1" x14ac:dyDescent="0.35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  <c r="BP383" s="128"/>
      <c r="BQ383" s="128"/>
      <c r="BR383" s="128"/>
      <c r="BS383" s="128"/>
    </row>
    <row r="384" spans="1:71" ht="15.75" customHeight="1" x14ac:dyDescent="0.35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  <c r="BP384" s="128"/>
      <c r="BQ384" s="128"/>
      <c r="BR384" s="128"/>
      <c r="BS384" s="128"/>
    </row>
    <row r="385" spans="1:71" ht="15.75" customHeight="1" x14ac:dyDescent="0.3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  <c r="BP385" s="128"/>
      <c r="BQ385" s="128"/>
      <c r="BR385" s="128"/>
      <c r="BS385" s="128"/>
    </row>
    <row r="386" spans="1:71" ht="15.75" customHeight="1" x14ac:dyDescent="0.35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  <c r="BP386" s="128"/>
      <c r="BQ386" s="128"/>
      <c r="BR386" s="128"/>
      <c r="BS386" s="128"/>
    </row>
    <row r="387" spans="1:71" ht="15.75" customHeight="1" x14ac:dyDescent="0.35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  <c r="BP387" s="128"/>
      <c r="BQ387" s="128"/>
      <c r="BR387" s="128"/>
      <c r="BS387" s="128"/>
    </row>
    <row r="388" spans="1:71" ht="15.75" customHeight="1" x14ac:dyDescent="0.35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  <c r="BP388" s="128"/>
      <c r="BQ388" s="128"/>
      <c r="BR388" s="128"/>
      <c r="BS388" s="128"/>
    </row>
    <row r="389" spans="1:71" ht="15.75" customHeight="1" x14ac:dyDescent="0.35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  <c r="BP389" s="128"/>
      <c r="BQ389" s="128"/>
      <c r="BR389" s="128"/>
      <c r="BS389" s="128"/>
    </row>
    <row r="390" spans="1:71" ht="15.75" customHeight="1" x14ac:dyDescent="0.35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  <c r="BP390" s="128"/>
      <c r="BQ390" s="128"/>
      <c r="BR390" s="128"/>
      <c r="BS390" s="128"/>
    </row>
    <row r="391" spans="1:71" ht="15.75" customHeight="1" x14ac:dyDescent="0.35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  <c r="BP391" s="128"/>
      <c r="BQ391" s="128"/>
      <c r="BR391" s="128"/>
      <c r="BS391" s="128"/>
    </row>
    <row r="392" spans="1:71" ht="15.75" customHeight="1" x14ac:dyDescent="0.35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  <c r="BP392" s="128"/>
      <c r="BQ392" s="128"/>
      <c r="BR392" s="128"/>
      <c r="BS392" s="128"/>
    </row>
    <row r="393" spans="1:71" ht="15.75" customHeight="1" x14ac:dyDescent="0.35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  <c r="BP393" s="128"/>
      <c r="BQ393" s="128"/>
      <c r="BR393" s="128"/>
      <c r="BS393" s="128"/>
    </row>
    <row r="394" spans="1:71" ht="15.75" customHeight="1" x14ac:dyDescent="0.35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  <c r="BP394" s="128"/>
      <c r="BQ394" s="128"/>
      <c r="BR394" s="128"/>
      <c r="BS394" s="128"/>
    </row>
    <row r="395" spans="1:71" ht="15.75" customHeight="1" x14ac:dyDescent="0.3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  <c r="BP395" s="128"/>
      <c r="BQ395" s="128"/>
      <c r="BR395" s="128"/>
      <c r="BS395" s="128"/>
    </row>
    <row r="396" spans="1:71" ht="15.75" customHeight="1" x14ac:dyDescent="0.35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  <c r="BP396" s="128"/>
      <c r="BQ396" s="128"/>
      <c r="BR396" s="128"/>
      <c r="BS396" s="128"/>
    </row>
    <row r="397" spans="1:71" ht="15.75" customHeight="1" x14ac:dyDescent="0.35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  <c r="BP397" s="128"/>
      <c r="BQ397" s="128"/>
      <c r="BR397" s="128"/>
      <c r="BS397" s="128"/>
    </row>
    <row r="398" spans="1:71" ht="15.75" customHeight="1" x14ac:dyDescent="0.35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  <c r="BP398" s="128"/>
      <c r="BQ398" s="128"/>
      <c r="BR398" s="128"/>
      <c r="BS398" s="128"/>
    </row>
    <row r="399" spans="1:71" ht="15.75" customHeight="1" x14ac:dyDescent="0.35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  <c r="BP399" s="128"/>
      <c r="BQ399" s="128"/>
      <c r="BR399" s="128"/>
      <c r="BS399" s="128"/>
    </row>
    <row r="400" spans="1:71" ht="15.75" customHeight="1" x14ac:dyDescent="0.35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  <c r="BP400" s="128"/>
      <c r="BQ400" s="128"/>
      <c r="BR400" s="128"/>
      <c r="BS400" s="128"/>
    </row>
    <row r="401" spans="1:71" ht="15.75" customHeight="1" x14ac:dyDescent="0.35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  <c r="BP401" s="128"/>
      <c r="BQ401" s="128"/>
      <c r="BR401" s="128"/>
      <c r="BS401" s="128"/>
    </row>
    <row r="402" spans="1:71" ht="15.75" customHeight="1" x14ac:dyDescent="0.35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  <c r="BP402" s="128"/>
      <c r="BQ402" s="128"/>
      <c r="BR402" s="128"/>
      <c r="BS402" s="128"/>
    </row>
    <row r="403" spans="1:71" ht="15.75" customHeight="1" x14ac:dyDescent="0.35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  <c r="BP403" s="128"/>
      <c r="BQ403" s="128"/>
      <c r="BR403" s="128"/>
      <c r="BS403" s="128"/>
    </row>
    <row r="404" spans="1:71" ht="15.75" customHeight="1" x14ac:dyDescent="0.35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  <c r="BP404" s="128"/>
      <c r="BQ404" s="128"/>
      <c r="BR404" s="128"/>
      <c r="BS404" s="128"/>
    </row>
    <row r="405" spans="1:71" ht="15.75" customHeight="1" x14ac:dyDescent="0.3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  <c r="BP405" s="128"/>
      <c r="BQ405" s="128"/>
      <c r="BR405" s="128"/>
      <c r="BS405" s="128"/>
    </row>
    <row r="406" spans="1:71" ht="15.75" customHeight="1" x14ac:dyDescent="0.35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  <c r="BP406" s="128"/>
      <c r="BQ406" s="128"/>
      <c r="BR406" s="128"/>
      <c r="BS406" s="128"/>
    </row>
    <row r="407" spans="1:71" ht="15.75" customHeight="1" x14ac:dyDescent="0.35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  <c r="BP407" s="128"/>
      <c r="BQ407" s="128"/>
      <c r="BR407" s="128"/>
      <c r="BS407" s="128"/>
    </row>
    <row r="408" spans="1:71" ht="15.75" customHeight="1" x14ac:dyDescent="0.35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  <c r="BP408" s="128"/>
      <c r="BQ408" s="128"/>
      <c r="BR408" s="128"/>
      <c r="BS408" s="128"/>
    </row>
    <row r="409" spans="1:71" ht="15.75" customHeight="1" x14ac:dyDescent="0.35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  <c r="BP409" s="128"/>
      <c r="BQ409" s="128"/>
      <c r="BR409" s="128"/>
      <c r="BS409" s="128"/>
    </row>
    <row r="410" spans="1:71" ht="15.75" customHeight="1" x14ac:dyDescent="0.35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  <c r="BP410" s="128"/>
      <c r="BQ410" s="128"/>
      <c r="BR410" s="128"/>
      <c r="BS410" s="128"/>
    </row>
    <row r="411" spans="1:71" ht="15.75" customHeight="1" x14ac:dyDescent="0.35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  <c r="BP411" s="128"/>
      <c r="BQ411" s="128"/>
      <c r="BR411" s="128"/>
      <c r="BS411" s="128"/>
    </row>
    <row r="412" spans="1:71" ht="15.75" customHeight="1" x14ac:dyDescent="0.35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  <c r="BP412" s="128"/>
      <c r="BQ412" s="128"/>
      <c r="BR412" s="128"/>
      <c r="BS412" s="128"/>
    </row>
    <row r="413" spans="1:71" ht="15.75" customHeight="1" x14ac:dyDescent="0.35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  <c r="BP413" s="128"/>
      <c r="BQ413" s="128"/>
      <c r="BR413" s="128"/>
      <c r="BS413" s="128"/>
    </row>
    <row r="414" spans="1:71" ht="15.75" customHeight="1" x14ac:dyDescent="0.35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  <c r="BP414" s="128"/>
      <c r="BQ414" s="128"/>
      <c r="BR414" s="128"/>
      <c r="BS414" s="128"/>
    </row>
    <row r="415" spans="1:71" ht="15.75" customHeight="1" x14ac:dyDescent="0.3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  <c r="BP415" s="128"/>
      <c r="BQ415" s="128"/>
      <c r="BR415" s="128"/>
      <c r="BS415" s="128"/>
    </row>
    <row r="416" spans="1:71" ht="15.75" customHeight="1" x14ac:dyDescent="0.35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  <c r="BP416" s="128"/>
      <c r="BQ416" s="128"/>
      <c r="BR416" s="128"/>
      <c r="BS416" s="128"/>
    </row>
    <row r="417" spans="1:71" ht="15.75" customHeight="1" x14ac:dyDescent="0.35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  <c r="BP417" s="128"/>
      <c r="BQ417" s="128"/>
      <c r="BR417" s="128"/>
      <c r="BS417" s="128"/>
    </row>
    <row r="418" spans="1:71" ht="15.75" customHeight="1" x14ac:dyDescent="0.35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  <c r="BP418" s="128"/>
      <c r="BQ418" s="128"/>
      <c r="BR418" s="128"/>
      <c r="BS418" s="128"/>
    </row>
    <row r="419" spans="1:71" ht="15.75" customHeight="1" x14ac:dyDescent="0.35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  <c r="BP419" s="128"/>
      <c r="BQ419" s="128"/>
      <c r="BR419" s="128"/>
      <c r="BS419" s="128"/>
    </row>
    <row r="420" spans="1:71" ht="15.75" customHeight="1" x14ac:dyDescent="0.35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  <c r="BP420" s="128"/>
      <c r="BQ420" s="128"/>
      <c r="BR420" s="128"/>
      <c r="BS420" s="128"/>
    </row>
    <row r="421" spans="1:71" ht="15.75" customHeight="1" x14ac:dyDescent="0.35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  <c r="BP421" s="128"/>
      <c r="BQ421" s="128"/>
      <c r="BR421" s="128"/>
      <c r="BS421" s="128"/>
    </row>
    <row r="422" spans="1:71" ht="15.75" customHeight="1" x14ac:dyDescent="0.35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  <c r="BP422" s="128"/>
      <c r="BQ422" s="128"/>
      <c r="BR422" s="128"/>
      <c r="BS422" s="128"/>
    </row>
    <row r="423" spans="1:71" ht="15.75" customHeight="1" x14ac:dyDescent="0.35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  <c r="BP423" s="128"/>
      <c r="BQ423" s="128"/>
      <c r="BR423" s="128"/>
      <c r="BS423" s="128"/>
    </row>
    <row r="424" spans="1:71" ht="15.75" customHeight="1" x14ac:dyDescent="0.35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  <c r="BP424" s="128"/>
      <c r="BQ424" s="128"/>
      <c r="BR424" s="128"/>
      <c r="BS424" s="128"/>
    </row>
    <row r="425" spans="1:71" ht="15.75" customHeight="1" x14ac:dyDescent="0.3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  <c r="BP425" s="128"/>
      <c r="BQ425" s="128"/>
      <c r="BR425" s="128"/>
      <c r="BS425" s="128"/>
    </row>
    <row r="426" spans="1:71" ht="15.75" customHeight="1" x14ac:dyDescent="0.35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  <c r="BP426" s="128"/>
      <c r="BQ426" s="128"/>
      <c r="BR426" s="128"/>
      <c r="BS426" s="128"/>
    </row>
    <row r="427" spans="1:71" ht="15.75" customHeight="1" x14ac:dyDescent="0.35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  <c r="BP427" s="128"/>
      <c r="BQ427" s="128"/>
      <c r="BR427" s="128"/>
      <c r="BS427" s="128"/>
    </row>
    <row r="428" spans="1:71" ht="15.75" customHeight="1" x14ac:dyDescent="0.35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  <c r="BP428" s="128"/>
      <c r="BQ428" s="128"/>
      <c r="BR428" s="128"/>
      <c r="BS428" s="128"/>
    </row>
    <row r="429" spans="1:71" ht="15.75" customHeight="1" x14ac:dyDescent="0.35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  <c r="BP429" s="128"/>
      <c r="BQ429" s="128"/>
      <c r="BR429" s="128"/>
      <c r="BS429" s="128"/>
    </row>
    <row r="430" spans="1:71" ht="15.75" customHeight="1" x14ac:dyDescent="0.35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  <c r="BP430" s="128"/>
      <c r="BQ430" s="128"/>
      <c r="BR430" s="128"/>
      <c r="BS430" s="128"/>
    </row>
    <row r="431" spans="1:71" ht="15.75" customHeight="1" x14ac:dyDescent="0.35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  <c r="BP431" s="128"/>
      <c r="BQ431" s="128"/>
      <c r="BR431" s="128"/>
      <c r="BS431" s="128"/>
    </row>
    <row r="432" spans="1:71" ht="15.75" customHeight="1" x14ac:dyDescent="0.35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  <c r="BP432" s="128"/>
      <c r="BQ432" s="128"/>
      <c r="BR432" s="128"/>
      <c r="BS432" s="128"/>
    </row>
    <row r="433" spans="1:71" ht="15.75" customHeight="1" x14ac:dyDescent="0.35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  <c r="BP433" s="128"/>
      <c r="BQ433" s="128"/>
      <c r="BR433" s="128"/>
      <c r="BS433" s="128"/>
    </row>
    <row r="434" spans="1:71" ht="15.75" customHeight="1" x14ac:dyDescent="0.35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  <c r="BP434" s="128"/>
      <c r="BQ434" s="128"/>
      <c r="BR434" s="128"/>
      <c r="BS434" s="128"/>
    </row>
    <row r="435" spans="1:71" ht="15.75" customHeight="1" x14ac:dyDescent="0.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  <c r="BP435" s="128"/>
      <c r="BQ435" s="128"/>
      <c r="BR435" s="128"/>
      <c r="BS435" s="128"/>
    </row>
    <row r="436" spans="1:71" ht="15.75" customHeight="1" x14ac:dyDescent="0.35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  <c r="BP436" s="128"/>
      <c r="BQ436" s="128"/>
      <c r="BR436" s="128"/>
      <c r="BS436" s="128"/>
    </row>
    <row r="437" spans="1:71" ht="15.75" customHeight="1" x14ac:dyDescent="0.35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  <c r="BP437" s="128"/>
      <c r="BQ437" s="128"/>
      <c r="BR437" s="128"/>
      <c r="BS437" s="128"/>
    </row>
    <row r="438" spans="1:71" ht="15.75" customHeight="1" x14ac:dyDescent="0.35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  <c r="BP438" s="128"/>
      <c r="BQ438" s="128"/>
      <c r="BR438" s="128"/>
      <c r="BS438" s="128"/>
    </row>
    <row r="439" spans="1:71" ht="15.75" customHeight="1" x14ac:dyDescent="0.35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  <c r="BP439" s="128"/>
      <c r="BQ439" s="128"/>
      <c r="BR439" s="128"/>
      <c r="BS439" s="128"/>
    </row>
    <row r="440" spans="1:71" ht="15.75" customHeight="1" x14ac:dyDescent="0.35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  <c r="BP440" s="128"/>
      <c r="BQ440" s="128"/>
      <c r="BR440" s="128"/>
      <c r="BS440" s="128"/>
    </row>
    <row r="441" spans="1:71" ht="15.75" customHeight="1" x14ac:dyDescent="0.35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  <c r="BP441" s="128"/>
      <c r="BQ441" s="128"/>
      <c r="BR441" s="128"/>
      <c r="BS441" s="128"/>
    </row>
    <row r="442" spans="1:71" ht="15.75" customHeight="1" x14ac:dyDescent="0.35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  <c r="BP442" s="128"/>
      <c r="BQ442" s="128"/>
      <c r="BR442" s="128"/>
      <c r="BS442" s="128"/>
    </row>
    <row r="443" spans="1:71" ht="15.75" customHeight="1" x14ac:dyDescent="0.35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  <c r="BP443" s="128"/>
      <c r="BQ443" s="128"/>
      <c r="BR443" s="128"/>
      <c r="BS443" s="128"/>
    </row>
    <row r="444" spans="1:71" ht="15.75" customHeight="1" x14ac:dyDescent="0.35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  <c r="BP444" s="128"/>
      <c r="BQ444" s="128"/>
      <c r="BR444" s="128"/>
      <c r="BS444" s="128"/>
    </row>
    <row r="445" spans="1:71" ht="15.75" customHeight="1" x14ac:dyDescent="0.3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  <c r="BP445" s="128"/>
      <c r="BQ445" s="128"/>
      <c r="BR445" s="128"/>
      <c r="BS445" s="128"/>
    </row>
    <row r="446" spans="1:71" ht="15.75" customHeight="1" x14ac:dyDescent="0.35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  <c r="BP446" s="128"/>
      <c r="BQ446" s="128"/>
      <c r="BR446" s="128"/>
      <c r="BS446" s="128"/>
    </row>
    <row r="447" spans="1:71" ht="15.75" customHeight="1" x14ac:dyDescent="0.35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  <c r="BQ447" s="128"/>
      <c r="BR447" s="128"/>
      <c r="BS447" s="128"/>
    </row>
    <row r="448" spans="1:71" ht="15.75" customHeight="1" x14ac:dyDescent="0.35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  <c r="BQ448" s="128"/>
      <c r="BR448" s="128"/>
      <c r="BS448" s="128"/>
    </row>
    <row r="449" spans="1:71" ht="15.75" customHeight="1" x14ac:dyDescent="0.35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  <c r="BQ449" s="128"/>
      <c r="BR449" s="128"/>
      <c r="BS449" s="128"/>
    </row>
    <row r="450" spans="1:71" ht="15.75" customHeight="1" x14ac:dyDescent="0.35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  <c r="BQ450" s="128"/>
      <c r="BR450" s="128"/>
      <c r="BS450" s="128"/>
    </row>
    <row r="451" spans="1:71" ht="15.75" customHeight="1" x14ac:dyDescent="0.35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  <c r="BQ451" s="128"/>
      <c r="BR451" s="128"/>
      <c r="BS451" s="128"/>
    </row>
    <row r="452" spans="1:71" ht="15.75" customHeight="1" x14ac:dyDescent="0.35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  <c r="BQ452" s="128"/>
      <c r="BR452" s="128"/>
      <c r="BS452" s="128"/>
    </row>
    <row r="453" spans="1:71" ht="15.75" customHeight="1" x14ac:dyDescent="0.35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  <c r="BP453" s="128"/>
      <c r="BQ453" s="128"/>
      <c r="BR453" s="128"/>
      <c r="BS453" s="128"/>
    </row>
    <row r="454" spans="1:71" ht="15.75" customHeight="1" x14ac:dyDescent="0.35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  <c r="BQ454" s="128"/>
      <c r="BR454" s="128"/>
      <c r="BS454" s="128"/>
    </row>
    <row r="455" spans="1:71" ht="15.75" customHeight="1" x14ac:dyDescent="0.3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  <c r="BQ455" s="128"/>
      <c r="BR455" s="128"/>
      <c r="BS455" s="128"/>
    </row>
    <row r="456" spans="1:71" ht="15.75" customHeight="1" x14ac:dyDescent="0.35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  <c r="BQ456" s="128"/>
      <c r="BR456" s="128"/>
      <c r="BS456" s="128"/>
    </row>
    <row r="457" spans="1:71" ht="15.75" customHeight="1" x14ac:dyDescent="0.35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</row>
    <row r="458" spans="1:71" ht="15.75" customHeight="1" x14ac:dyDescent="0.35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</row>
    <row r="459" spans="1:71" ht="15.75" customHeight="1" x14ac:dyDescent="0.35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</row>
    <row r="460" spans="1:71" ht="15.75" customHeight="1" x14ac:dyDescent="0.35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  <c r="BP460" s="128"/>
      <c r="BQ460" s="128"/>
      <c r="BR460" s="128"/>
      <c r="BS460" s="128"/>
    </row>
    <row r="461" spans="1:71" ht="15.75" customHeight="1" x14ac:dyDescent="0.35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  <c r="BP461" s="128"/>
      <c r="BQ461" s="128"/>
      <c r="BR461" s="128"/>
      <c r="BS461" s="128"/>
    </row>
    <row r="462" spans="1:71" ht="15.75" customHeight="1" x14ac:dyDescent="0.35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  <c r="BP462" s="128"/>
      <c r="BQ462" s="128"/>
      <c r="BR462" s="128"/>
      <c r="BS462" s="128"/>
    </row>
    <row r="463" spans="1:71" ht="15.75" customHeight="1" x14ac:dyDescent="0.35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  <c r="BP463" s="128"/>
      <c r="BQ463" s="128"/>
      <c r="BR463" s="128"/>
      <c r="BS463" s="128"/>
    </row>
    <row r="464" spans="1:71" ht="15.75" customHeight="1" x14ac:dyDescent="0.35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/>
      <c r="BQ464" s="128"/>
      <c r="BR464" s="128"/>
      <c r="BS464" s="128"/>
    </row>
    <row r="465" spans="1:71" ht="15.75" customHeight="1" x14ac:dyDescent="0.3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  <c r="BP465" s="128"/>
      <c r="BQ465" s="128"/>
      <c r="BR465" s="128"/>
      <c r="BS465" s="128"/>
    </row>
    <row r="466" spans="1:71" ht="15.75" customHeight="1" x14ac:dyDescent="0.35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  <c r="BP466" s="128"/>
      <c r="BQ466" s="128"/>
      <c r="BR466" s="128"/>
      <c r="BS466" s="128"/>
    </row>
    <row r="467" spans="1:71" ht="15.75" customHeight="1" x14ac:dyDescent="0.35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  <c r="BP467" s="128"/>
      <c r="BQ467" s="128"/>
      <c r="BR467" s="128"/>
      <c r="BS467" s="128"/>
    </row>
    <row r="468" spans="1:71" ht="15.75" customHeight="1" x14ac:dyDescent="0.35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</row>
    <row r="469" spans="1:71" ht="15.75" customHeight="1" x14ac:dyDescent="0.35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  <c r="BP469" s="128"/>
      <c r="BQ469" s="128"/>
      <c r="BR469" s="128"/>
      <c r="BS469" s="128"/>
    </row>
    <row r="470" spans="1:71" ht="15.75" customHeight="1" x14ac:dyDescent="0.35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  <c r="BP470" s="128"/>
      <c r="BQ470" s="128"/>
      <c r="BR470" s="128"/>
      <c r="BS470" s="128"/>
    </row>
    <row r="471" spans="1:71" ht="15.75" customHeight="1" x14ac:dyDescent="0.35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  <c r="BP471" s="128"/>
      <c r="BQ471" s="128"/>
      <c r="BR471" s="128"/>
      <c r="BS471" s="128"/>
    </row>
    <row r="472" spans="1:71" ht="15.75" customHeight="1" x14ac:dyDescent="0.35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  <c r="BP472" s="128"/>
      <c r="BQ472" s="128"/>
      <c r="BR472" s="128"/>
      <c r="BS472" s="128"/>
    </row>
    <row r="473" spans="1:71" ht="15.75" customHeight="1" x14ac:dyDescent="0.35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  <c r="BP473" s="128"/>
      <c r="BQ473" s="128"/>
      <c r="BR473" s="128"/>
      <c r="BS473" s="128"/>
    </row>
    <row r="474" spans="1:71" ht="15.75" customHeight="1" x14ac:dyDescent="0.35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  <c r="BP474" s="128"/>
      <c r="BQ474" s="128"/>
      <c r="BR474" s="128"/>
      <c r="BS474" s="128"/>
    </row>
    <row r="475" spans="1:71" ht="15.75" customHeight="1" x14ac:dyDescent="0.3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  <c r="BP475" s="128"/>
      <c r="BQ475" s="128"/>
      <c r="BR475" s="128"/>
      <c r="BS475" s="128"/>
    </row>
    <row r="476" spans="1:71" ht="15.75" customHeight="1" x14ac:dyDescent="0.35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  <c r="BP476" s="128"/>
      <c r="BQ476" s="128"/>
      <c r="BR476" s="128"/>
      <c r="BS476" s="128"/>
    </row>
    <row r="477" spans="1:71" ht="15.75" customHeight="1" x14ac:dyDescent="0.35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  <c r="BP477" s="128"/>
      <c r="BQ477" s="128"/>
      <c r="BR477" s="128"/>
      <c r="BS477" s="128"/>
    </row>
    <row r="478" spans="1:71" ht="15.75" customHeight="1" x14ac:dyDescent="0.35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  <c r="BP478" s="128"/>
      <c r="BQ478" s="128"/>
      <c r="BR478" s="128"/>
      <c r="BS478" s="128"/>
    </row>
    <row r="479" spans="1:71" ht="15.75" customHeight="1" x14ac:dyDescent="0.35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  <c r="BP479" s="128"/>
      <c r="BQ479" s="128"/>
      <c r="BR479" s="128"/>
      <c r="BS479" s="128"/>
    </row>
    <row r="480" spans="1:71" ht="15.75" customHeight="1" x14ac:dyDescent="0.35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  <c r="BP480" s="128"/>
      <c r="BQ480" s="128"/>
      <c r="BR480" s="128"/>
      <c r="BS480" s="128"/>
    </row>
    <row r="481" spans="1:71" ht="15.75" customHeight="1" x14ac:dyDescent="0.35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  <c r="BP481" s="128"/>
      <c r="BQ481" s="128"/>
      <c r="BR481" s="128"/>
      <c r="BS481" s="128"/>
    </row>
    <row r="482" spans="1:71" ht="15.75" customHeight="1" x14ac:dyDescent="0.35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  <c r="BP482" s="128"/>
      <c r="BQ482" s="128"/>
      <c r="BR482" s="128"/>
      <c r="BS482" s="128"/>
    </row>
    <row r="483" spans="1:71" ht="15.75" customHeight="1" x14ac:dyDescent="0.35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  <c r="BP483" s="128"/>
      <c r="BQ483" s="128"/>
      <c r="BR483" s="128"/>
      <c r="BS483" s="128"/>
    </row>
    <row r="484" spans="1:71" ht="15.75" customHeight="1" x14ac:dyDescent="0.35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  <c r="BP484" s="128"/>
      <c r="BQ484" s="128"/>
      <c r="BR484" s="128"/>
      <c r="BS484" s="128"/>
    </row>
    <row r="485" spans="1:71" ht="15.75" customHeight="1" x14ac:dyDescent="0.3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  <c r="BP485" s="128"/>
      <c r="BQ485" s="128"/>
      <c r="BR485" s="128"/>
      <c r="BS485" s="128"/>
    </row>
    <row r="486" spans="1:71" ht="15.75" customHeight="1" x14ac:dyDescent="0.35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  <c r="BP486" s="128"/>
      <c r="BQ486" s="128"/>
      <c r="BR486" s="128"/>
      <c r="BS486" s="128"/>
    </row>
    <row r="487" spans="1:71" ht="15.75" customHeight="1" x14ac:dyDescent="0.35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  <c r="BP487" s="128"/>
      <c r="BQ487" s="128"/>
      <c r="BR487" s="128"/>
      <c r="BS487" s="128"/>
    </row>
    <row r="488" spans="1:71" ht="15.75" customHeight="1" x14ac:dyDescent="0.35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  <c r="BP488" s="128"/>
      <c r="BQ488" s="128"/>
      <c r="BR488" s="128"/>
      <c r="BS488" s="128"/>
    </row>
    <row r="489" spans="1:71" ht="15.75" customHeight="1" x14ac:dyDescent="0.35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  <c r="BP489" s="128"/>
      <c r="BQ489" s="128"/>
      <c r="BR489" s="128"/>
      <c r="BS489" s="128"/>
    </row>
    <row r="490" spans="1:71" ht="15.75" customHeight="1" x14ac:dyDescent="0.35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  <c r="BP490" s="128"/>
      <c r="BQ490" s="128"/>
      <c r="BR490" s="128"/>
      <c r="BS490" s="128"/>
    </row>
    <row r="491" spans="1:71" ht="15.75" customHeight="1" x14ac:dyDescent="0.35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  <c r="BP491" s="128"/>
      <c r="BQ491" s="128"/>
      <c r="BR491" s="128"/>
      <c r="BS491" s="128"/>
    </row>
    <row r="492" spans="1:71" ht="15.75" customHeight="1" x14ac:dyDescent="0.35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  <c r="BP492" s="128"/>
      <c r="BQ492" s="128"/>
      <c r="BR492" s="128"/>
      <c r="BS492" s="128"/>
    </row>
    <row r="493" spans="1:71" ht="15.75" customHeight="1" x14ac:dyDescent="0.35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  <c r="BP493" s="128"/>
      <c r="BQ493" s="128"/>
      <c r="BR493" s="128"/>
      <c r="BS493" s="128"/>
    </row>
    <row r="494" spans="1:71" ht="15.75" customHeight="1" x14ac:dyDescent="0.35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  <c r="BP494" s="128"/>
      <c r="BQ494" s="128"/>
      <c r="BR494" s="128"/>
      <c r="BS494" s="128"/>
    </row>
    <row r="495" spans="1:71" ht="15.75" customHeight="1" x14ac:dyDescent="0.3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  <c r="BP495" s="128"/>
      <c r="BQ495" s="128"/>
      <c r="BR495" s="128"/>
      <c r="BS495" s="128"/>
    </row>
    <row r="496" spans="1:71" ht="15.75" customHeight="1" x14ac:dyDescent="0.35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  <c r="BP496" s="128"/>
      <c r="BQ496" s="128"/>
      <c r="BR496" s="128"/>
      <c r="BS496" s="128"/>
    </row>
    <row r="497" spans="1:71" ht="15.75" customHeight="1" x14ac:dyDescent="0.35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  <c r="BP497" s="128"/>
      <c r="BQ497" s="128"/>
      <c r="BR497" s="128"/>
      <c r="BS497" s="128"/>
    </row>
    <row r="498" spans="1:71" ht="15.75" customHeight="1" x14ac:dyDescent="0.35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  <c r="BP498" s="128"/>
      <c r="BQ498" s="128"/>
      <c r="BR498" s="128"/>
      <c r="BS498" s="128"/>
    </row>
    <row r="499" spans="1:71" ht="15.75" customHeight="1" x14ac:dyDescent="0.35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  <c r="BP499" s="128"/>
      <c r="BQ499" s="128"/>
      <c r="BR499" s="128"/>
      <c r="BS499" s="128"/>
    </row>
    <row r="500" spans="1:71" ht="15.75" customHeight="1" x14ac:dyDescent="0.35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  <c r="BP500" s="128"/>
      <c r="BQ500" s="128"/>
      <c r="BR500" s="128"/>
      <c r="BS500" s="128"/>
    </row>
    <row r="501" spans="1:71" ht="15.75" customHeight="1" x14ac:dyDescent="0.35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  <c r="BP501" s="128"/>
      <c r="BQ501" s="128"/>
      <c r="BR501" s="128"/>
      <c r="BS501" s="128"/>
    </row>
    <row r="502" spans="1:71" ht="15.75" customHeight="1" x14ac:dyDescent="0.35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  <c r="BP502" s="128"/>
      <c r="BQ502" s="128"/>
      <c r="BR502" s="128"/>
      <c r="BS502" s="128"/>
    </row>
    <row r="503" spans="1:71" ht="15.75" customHeight="1" x14ac:dyDescent="0.35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  <c r="BP503" s="128"/>
      <c r="BQ503" s="128"/>
      <c r="BR503" s="128"/>
      <c r="BS503" s="128"/>
    </row>
    <row r="504" spans="1:71" ht="15.75" customHeight="1" x14ac:dyDescent="0.35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  <c r="BP504" s="128"/>
      <c r="BQ504" s="128"/>
      <c r="BR504" s="128"/>
      <c r="BS504" s="128"/>
    </row>
    <row r="505" spans="1:71" ht="15.75" customHeight="1" x14ac:dyDescent="0.3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  <c r="BP505" s="128"/>
      <c r="BQ505" s="128"/>
      <c r="BR505" s="128"/>
      <c r="BS505" s="128"/>
    </row>
    <row r="506" spans="1:71" ht="15.75" customHeight="1" x14ac:dyDescent="0.35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  <c r="BP506" s="128"/>
      <c r="BQ506" s="128"/>
      <c r="BR506" s="128"/>
      <c r="BS506" s="128"/>
    </row>
    <row r="507" spans="1:71" ht="15.75" customHeight="1" x14ac:dyDescent="0.35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  <c r="BP507" s="128"/>
      <c r="BQ507" s="128"/>
      <c r="BR507" s="128"/>
      <c r="BS507" s="128"/>
    </row>
    <row r="508" spans="1:71" ht="15.75" customHeight="1" x14ac:dyDescent="0.35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  <c r="BP508" s="128"/>
      <c r="BQ508" s="128"/>
      <c r="BR508" s="128"/>
      <c r="BS508" s="128"/>
    </row>
    <row r="509" spans="1:71" ht="15.75" customHeight="1" x14ac:dyDescent="0.35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  <c r="BP509" s="128"/>
      <c r="BQ509" s="128"/>
      <c r="BR509" s="128"/>
      <c r="BS509" s="128"/>
    </row>
    <row r="510" spans="1:71" ht="15.75" customHeight="1" x14ac:dyDescent="0.35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  <c r="BP510" s="128"/>
      <c r="BQ510" s="128"/>
      <c r="BR510" s="128"/>
      <c r="BS510" s="128"/>
    </row>
    <row r="511" spans="1:71" ht="15.75" customHeight="1" x14ac:dyDescent="0.35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  <c r="BP511" s="128"/>
      <c r="BQ511" s="128"/>
      <c r="BR511" s="128"/>
      <c r="BS511" s="128"/>
    </row>
    <row r="512" spans="1:71" ht="15.75" customHeight="1" x14ac:dyDescent="0.35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  <c r="BP512" s="128"/>
      <c r="BQ512" s="128"/>
      <c r="BR512" s="128"/>
      <c r="BS512" s="128"/>
    </row>
    <row r="513" spans="1:71" ht="15.75" customHeight="1" x14ac:dyDescent="0.35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  <c r="BP513" s="128"/>
      <c r="BQ513" s="128"/>
      <c r="BR513" s="128"/>
      <c r="BS513" s="128"/>
    </row>
    <row r="514" spans="1:71" ht="15.75" customHeight="1" x14ac:dyDescent="0.35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  <c r="BP514" s="128"/>
      <c r="BQ514" s="128"/>
      <c r="BR514" s="128"/>
      <c r="BS514" s="128"/>
    </row>
    <row r="515" spans="1:71" ht="15.75" customHeight="1" x14ac:dyDescent="0.3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  <c r="BP515" s="128"/>
      <c r="BQ515" s="128"/>
      <c r="BR515" s="128"/>
      <c r="BS515" s="128"/>
    </row>
    <row r="516" spans="1:71" ht="15.75" customHeight="1" x14ac:dyDescent="0.35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  <c r="BP516" s="128"/>
      <c r="BQ516" s="128"/>
      <c r="BR516" s="128"/>
      <c r="BS516" s="128"/>
    </row>
    <row r="517" spans="1:71" ht="15.75" customHeight="1" x14ac:dyDescent="0.35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  <c r="BP517" s="128"/>
      <c r="BQ517" s="128"/>
      <c r="BR517" s="128"/>
      <c r="BS517" s="128"/>
    </row>
    <row r="518" spans="1:71" ht="15.75" customHeight="1" x14ac:dyDescent="0.35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  <c r="BP518" s="128"/>
      <c r="BQ518" s="128"/>
      <c r="BR518" s="128"/>
      <c r="BS518" s="128"/>
    </row>
    <row r="519" spans="1:71" ht="15.75" customHeight="1" x14ac:dyDescent="0.35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  <c r="BP519" s="128"/>
      <c r="BQ519" s="128"/>
      <c r="BR519" s="128"/>
      <c r="BS519" s="128"/>
    </row>
    <row r="520" spans="1:71" ht="15.75" customHeight="1" x14ac:dyDescent="0.35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  <c r="BP520" s="128"/>
      <c r="BQ520" s="128"/>
      <c r="BR520" s="128"/>
      <c r="BS520" s="128"/>
    </row>
    <row r="521" spans="1:71" ht="15.75" customHeight="1" x14ac:dyDescent="0.35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  <c r="BP521" s="128"/>
      <c r="BQ521" s="128"/>
      <c r="BR521" s="128"/>
      <c r="BS521" s="128"/>
    </row>
    <row r="522" spans="1:71" ht="15.75" customHeight="1" x14ac:dyDescent="0.35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  <c r="BP522" s="128"/>
      <c r="BQ522" s="128"/>
      <c r="BR522" s="128"/>
      <c r="BS522" s="128"/>
    </row>
    <row r="523" spans="1:71" ht="15.75" customHeight="1" x14ac:dyDescent="0.35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  <c r="BP523" s="128"/>
      <c r="BQ523" s="128"/>
      <c r="BR523" s="128"/>
      <c r="BS523" s="128"/>
    </row>
    <row r="524" spans="1:71" ht="15.75" customHeight="1" x14ac:dyDescent="0.35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  <c r="BP524" s="128"/>
      <c r="BQ524" s="128"/>
      <c r="BR524" s="128"/>
      <c r="BS524" s="128"/>
    </row>
    <row r="525" spans="1:71" ht="15.75" customHeight="1" x14ac:dyDescent="0.3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  <c r="BP525" s="128"/>
      <c r="BQ525" s="128"/>
      <c r="BR525" s="128"/>
      <c r="BS525" s="128"/>
    </row>
    <row r="526" spans="1:71" ht="15.75" customHeight="1" x14ac:dyDescent="0.35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  <c r="BP526" s="128"/>
      <c r="BQ526" s="128"/>
      <c r="BR526" s="128"/>
      <c r="BS526" s="128"/>
    </row>
    <row r="527" spans="1:71" ht="15.75" customHeight="1" x14ac:dyDescent="0.35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  <c r="BP527" s="128"/>
      <c r="BQ527" s="128"/>
      <c r="BR527" s="128"/>
      <c r="BS527" s="128"/>
    </row>
    <row r="528" spans="1:71" ht="15.75" customHeight="1" x14ac:dyDescent="0.35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  <c r="BP528" s="128"/>
      <c r="BQ528" s="128"/>
      <c r="BR528" s="128"/>
      <c r="BS528" s="128"/>
    </row>
    <row r="529" spans="1:71" ht="15.75" customHeight="1" x14ac:dyDescent="0.35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  <c r="BP529" s="128"/>
      <c r="BQ529" s="128"/>
      <c r="BR529" s="128"/>
      <c r="BS529" s="128"/>
    </row>
    <row r="530" spans="1:71" ht="15.75" customHeight="1" x14ac:dyDescent="0.35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  <c r="BP530" s="128"/>
      <c r="BQ530" s="128"/>
      <c r="BR530" s="128"/>
      <c r="BS530" s="128"/>
    </row>
    <row r="531" spans="1:71" ht="15.75" customHeight="1" x14ac:dyDescent="0.35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  <c r="BP531" s="128"/>
      <c r="BQ531" s="128"/>
      <c r="BR531" s="128"/>
      <c r="BS531" s="128"/>
    </row>
    <row r="532" spans="1:71" ht="15.75" customHeight="1" x14ac:dyDescent="0.35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  <c r="BP532" s="128"/>
      <c r="BQ532" s="128"/>
      <c r="BR532" s="128"/>
      <c r="BS532" s="128"/>
    </row>
    <row r="533" spans="1:71" ht="15.75" customHeight="1" x14ac:dyDescent="0.35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  <c r="BP533" s="128"/>
      <c r="BQ533" s="128"/>
      <c r="BR533" s="128"/>
      <c r="BS533" s="128"/>
    </row>
    <row r="534" spans="1:71" ht="15.75" customHeight="1" x14ac:dyDescent="0.35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  <c r="BP534" s="128"/>
      <c r="BQ534" s="128"/>
      <c r="BR534" s="128"/>
      <c r="BS534" s="128"/>
    </row>
    <row r="535" spans="1:71" ht="15.75" customHeight="1" x14ac:dyDescent="0.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  <c r="BP535" s="128"/>
      <c r="BQ535" s="128"/>
      <c r="BR535" s="128"/>
      <c r="BS535" s="128"/>
    </row>
    <row r="536" spans="1:71" ht="15.75" customHeight="1" x14ac:dyDescent="0.35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  <c r="BP536" s="128"/>
      <c r="BQ536" s="128"/>
      <c r="BR536" s="128"/>
      <c r="BS536" s="128"/>
    </row>
    <row r="537" spans="1:71" ht="15.75" customHeight="1" x14ac:dyDescent="0.35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  <c r="BP537" s="128"/>
      <c r="BQ537" s="128"/>
      <c r="BR537" s="128"/>
      <c r="BS537" s="128"/>
    </row>
    <row r="538" spans="1:71" ht="15.75" customHeight="1" x14ac:dyDescent="0.35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  <c r="BP538" s="128"/>
      <c r="BQ538" s="128"/>
      <c r="BR538" s="128"/>
      <c r="BS538" s="128"/>
    </row>
    <row r="539" spans="1:71" ht="15.75" customHeight="1" x14ac:dyDescent="0.35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  <c r="BP539" s="128"/>
      <c r="BQ539" s="128"/>
      <c r="BR539" s="128"/>
      <c r="BS539" s="128"/>
    </row>
    <row r="540" spans="1:71" ht="15.75" customHeight="1" x14ac:dyDescent="0.35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  <c r="BP540" s="128"/>
      <c r="BQ540" s="128"/>
      <c r="BR540" s="128"/>
      <c r="BS540" s="128"/>
    </row>
    <row r="541" spans="1:71" ht="15.75" customHeight="1" x14ac:dyDescent="0.35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  <c r="BP541" s="128"/>
      <c r="BQ541" s="128"/>
      <c r="BR541" s="128"/>
      <c r="BS541" s="128"/>
    </row>
    <row r="542" spans="1:71" ht="15.75" customHeight="1" x14ac:dyDescent="0.35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  <c r="BP542" s="128"/>
      <c r="BQ542" s="128"/>
      <c r="BR542" s="128"/>
      <c r="BS542" s="128"/>
    </row>
    <row r="543" spans="1:71" ht="15.75" customHeight="1" x14ac:dyDescent="0.35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  <c r="BP543" s="128"/>
      <c r="BQ543" s="128"/>
      <c r="BR543" s="128"/>
      <c r="BS543" s="128"/>
    </row>
    <row r="544" spans="1:71" ht="15.75" customHeight="1" x14ac:dyDescent="0.35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  <c r="BP544" s="128"/>
      <c r="BQ544" s="128"/>
      <c r="BR544" s="128"/>
      <c r="BS544" s="128"/>
    </row>
    <row r="545" spans="1:71" ht="15.75" customHeight="1" x14ac:dyDescent="0.3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  <c r="BP545" s="128"/>
      <c r="BQ545" s="128"/>
      <c r="BR545" s="128"/>
      <c r="BS545" s="128"/>
    </row>
    <row r="546" spans="1:71" ht="15.75" customHeight="1" x14ac:dyDescent="0.35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  <c r="BP546" s="128"/>
      <c r="BQ546" s="128"/>
      <c r="BR546" s="128"/>
      <c r="BS546" s="128"/>
    </row>
    <row r="547" spans="1:71" ht="15.75" customHeight="1" x14ac:dyDescent="0.35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  <c r="BP547" s="128"/>
      <c r="BQ547" s="128"/>
      <c r="BR547" s="128"/>
      <c r="BS547" s="128"/>
    </row>
    <row r="548" spans="1:71" ht="15.75" customHeight="1" x14ac:dyDescent="0.35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  <c r="BP548" s="128"/>
      <c r="BQ548" s="128"/>
      <c r="BR548" s="128"/>
      <c r="BS548" s="128"/>
    </row>
    <row r="549" spans="1:71" ht="15.75" customHeight="1" x14ac:dyDescent="0.35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  <c r="BP549" s="128"/>
      <c r="BQ549" s="128"/>
      <c r="BR549" s="128"/>
      <c r="BS549" s="128"/>
    </row>
    <row r="550" spans="1:71" ht="15.75" customHeight="1" x14ac:dyDescent="0.35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  <c r="BP550" s="128"/>
      <c r="BQ550" s="128"/>
      <c r="BR550" s="128"/>
      <c r="BS550" s="128"/>
    </row>
    <row r="551" spans="1:71" ht="15.75" customHeight="1" x14ac:dyDescent="0.35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  <c r="BP551" s="128"/>
      <c r="BQ551" s="128"/>
      <c r="BR551" s="128"/>
      <c r="BS551" s="128"/>
    </row>
    <row r="552" spans="1:71" ht="15.75" customHeight="1" x14ac:dyDescent="0.35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  <c r="BP552" s="128"/>
      <c r="BQ552" s="128"/>
      <c r="BR552" s="128"/>
      <c r="BS552" s="128"/>
    </row>
    <row r="553" spans="1:71" ht="15.75" customHeight="1" x14ac:dyDescent="0.35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  <c r="BP553" s="128"/>
      <c r="BQ553" s="128"/>
      <c r="BR553" s="128"/>
      <c r="BS553" s="128"/>
    </row>
    <row r="554" spans="1:71" ht="15.75" customHeight="1" x14ac:dyDescent="0.35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  <c r="BP554" s="128"/>
      <c r="BQ554" s="128"/>
      <c r="BR554" s="128"/>
      <c r="BS554" s="128"/>
    </row>
    <row r="555" spans="1:71" ht="15.75" customHeight="1" x14ac:dyDescent="0.3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  <c r="BP555" s="128"/>
      <c r="BQ555" s="128"/>
      <c r="BR555" s="128"/>
      <c r="BS555" s="128"/>
    </row>
    <row r="556" spans="1:71" ht="15.75" customHeight="1" x14ac:dyDescent="0.35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  <c r="BP556" s="128"/>
      <c r="BQ556" s="128"/>
      <c r="BR556" s="128"/>
      <c r="BS556" s="128"/>
    </row>
    <row r="557" spans="1:71" ht="15.75" customHeight="1" x14ac:dyDescent="0.35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  <c r="BP557" s="128"/>
      <c r="BQ557" s="128"/>
      <c r="BR557" s="128"/>
      <c r="BS557" s="128"/>
    </row>
    <row r="558" spans="1:71" ht="15.75" customHeight="1" x14ac:dyDescent="0.35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  <c r="BP558" s="128"/>
      <c r="BQ558" s="128"/>
      <c r="BR558" s="128"/>
      <c r="BS558" s="128"/>
    </row>
    <row r="559" spans="1:71" ht="15.75" customHeight="1" x14ac:dyDescent="0.35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  <c r="BP559" s="128"/>
      <c r="BQ559" s="128"/>
      <c r="BR559" s="128"/>
      <c r="BS559" s="128"/>
    </row>
    <row r="560" spans="1:71" ht="15.75" customHeight="1" x14ac:dyDescent="0.35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  <c r="BP560" s="128"/>
      <c r="BQ560" s="128"/>
      <c r="BR560" s="128"/>
      <c r="BS560" s="128"/>
    </row>
    <row r="561" spans="1:71" ht="15.75" customHeight="1" x14ac:dyDescent="0.35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  <c r="BP561" s="128"/>
      <c r="BQ561" s="128"/>
      <c r="BR561" s="128"/>
      <c r="BS561" s="128"/>
    </row>
    <row r="562" spans="1:71" ht="15.75" customHeight="1" x14ac:dyDescent="0.35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  <c r="BP562" s="128"/>
      <c r="BQ562" s="128"/>
      <c r="BR562" s="128"/>
      <c r="BS562" s="128"/>
    </row>
    <row r="563" spans="1:71" ht="15.75" customHeight="1" x14ac:dyDescent="0.35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  <c r="BP563" s="128"/>
      <c r="BQ563" s="128"/>
      <c r="BR563" s="128"/>
      <c r="BS563" s="128"/>
    </row>
    <row r="564" spans="1:71" ht="15.75" customHeight="1" x14ac:dyDescent="0.35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  <c r="BP564" s="128"/>
      <c r="BQ564" s="128"/>
      <c r="BR564" s="128"/>
      <c r="BS564" s="128"/>
    </row>
    <row r="565" spans="1:71" ht="15.75" customHeight="1" x14ac:dyDescent="0.3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  <c r="BP565" s="128"/>
      <c r="BQ565" s="128"/>
      <c r="BR565" s="128"/>
      <c r="BS565" s="128"/>
    </row>
    <row r="566" spans="1:71" ht="15.75" customHeight="1" x14ac:dyDescent="0.35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  <c r="BP566" s="128"/>
      <c r="BQ566" s="128"/>
      <c r="BR566" s="128"/>
      <c r="BS566" s="128"/>
    </row>
    <row r="567" spans="1:71" ht="15.75" customHeight="1" x14ac:dyDescent="0.35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  <c r="BP567" s="128"/>
      <c r="BQ567" s="128"/>
      <c r="BR567" s="128"/>
      <c r="BS567" s="128"/>
    </row>
    <row r="568" spans="1:71" ht="15.75" customHeight="1" x14ac:dyDescent="0.35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  <c r="BP568" s="128"/>
      <c r="BQ568" s="128"/>
      <c r="BR568" s="128"/>
      <c r="BS568" s="128"/>
    </row>
    <row r="569" spans="1:71" ht="15.75" customHeight="1" x14ac:dyDescent="0.35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  <c r="BP569" s="128"/>
      <c r="BQ569" s="128"/>
      <c r="BR569" s="128"/>
      <c r="BS569" s="128"/>
    </row>
    <row r="570" spans="1:71" ht="15.75" customHeight="1" x14ac:dyDescent="0.35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  <c r="BP570" s="128"/>
      <c r="BQ570" s="128"/>
      <c r="BR570" s="128"/>
      <c r="BS570" s="128"/>
    </row>
    <row r="571" spans="1:71" ht="15.75" customHeight="1" x14ac:dyDescent="0.35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  <c r="BP571" s="128"/>
      <c r="BQ571" s="128"/>
      <c r="BR571" s="128"/>
      <c r="BS571" s="128"/>
    </row>
    <row r="572" spans="1:71" ht="15.75" customHeight="1" x14ac:dyDescent="0.35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  <c r="BP572" s="128"/>
      <c r="BQ572" s="128"/>
      <c r="BR572" s="128"/>
      <c r="BS572" s="128"/>
    </row>
    <row r="573" spans="1:71" ht="15.75" customHeight="1" x14ac:dyDescent="0.35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  <c r="BP573" s="128"/>
      <c r="BQ573" s="128"/>
      <c r="BR573" s="128"/>
      <c r="BS573" s="128"/>
    </row>
    <row r="574" spans="1:71" ht="15.75" customHeight="1" x14ac:dyDescent="0.35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  <c r="BP574" s="128"/>
      <c r="BQ574" s="128"/>
      <c r="BR574" s="128"/>
      <c r="BS574" s="128"/>
    </row>
    <row r="575" spans="1:71" ht="15.75" customHeight="1" x14ac:dyDescent="0.3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  <c r="BP575" s="128"/>
      <c r="BQ575" s="128"/>
      <c r="BR575" s="128"/>
      <c r="BS575" s="128"/>
    </row>
    <row r="576" spans="1:71" ht="15.75" customHeight="1" x14ac:dyDescent="0.35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  <c r="BP576" s="128"/>
      <c r="BQ576" s="128"/>
      <c r="BR576" s="128"/>
      <c r="BS576" s="128"/>
    </row>
    <row r="577" spans="1:71" ht="15.75" customHeight="1" x14ac:dyDescent="0.35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  <c r="BP577" s="128"/>
      <c r="BQ577" s="128"/>
      <c r="BR577" s="128"/>
      <c r="BS577" s="128"/>
    </row>
    <row r="578" spans="1:71" ht="15.75" customHeight="1" x14ac:dyDescent="0.35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  <c r="BP578" s="128"/>
      <c r="BQ578" s="128"/>
      <c r="BR578" s="128"/>
      <c r="BS578" s="128"/>
    </row>
    <row r="579" spans="1:71" ht="15.75" customHeight="1" x14ac:dyDescent="0.35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  <c r="BP579" s="128"/>
      <c r="BQ579" s="128"/>
      <c r="BR579" s="128"/>
      <c r="BS579" s="128"/>
    </row>
    <row r="580" spans="1:71" ht="15.75" customHeight="1" x14ac:dyDescent="0.35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  <c r="BP580" s="128"/>
      <c r="BQ580" s="128"/>
      <c r="BR580" s="128"/>
      <c r="BS580" s="128"/>
    </row>
    <row r="581" spans="1:71" ht="15.75" customHeight="1" x14ac:dyDescent="0.35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  <c r="BP581" s="128"/>
      <c r="BQ581" s="128"/>
      <c r="BR581" s="128"/>
      <c r="BS581" s="128"/>
    </row>
    <row r="582" spans="1:71" ht="15.75" customHeight="1" x14ac:dyDescent="0.35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  <c r="BP582" s="128"/>
      <c r="BQ582" s="128"/>
      <c r="BR582" s="128"/>
      <c r="BS582" s="128"/>
    </row>
    <row r="583" spans="1:71" ht="15.75" customHeight="1" x14ac:dyDescent="0.35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  <c r="BP583" s="128"/>
      <c r="BQ583" s="128"/>
      <c r="BR583" s="128"/>
      <c r="BS583" s="128"/>
    </row>
    <row r="584" spans="1:71" ht="15.75" customHeight="1" x14ac:dyDescent="0.35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  <c r="BP584" s="128"/>
      <c r="BQ584" s="128"/>
      <c r="BR584" s="128"/>
      <c r="BS584" s="128"/>
    </row>
    <row r="585" spans="1:71" ht="15.75" customHeight="1" x14ac:dyDescent="0.3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  <c r="BP585" s="128"/>
      <c r="BQ585" s="128"/>
      <c r="BR585" s="128"/>
      <c r="BS585" s="128"/>
    </row>
    <row r="586" spans="1:71" ht="15.75" customHeight="1" x14ac:dyDescent="0.35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  <c r="BP586" s="128"/>
      <c r="BQ586" s="128"/>
      <c r="BR586" s="128"/>
      <c r="BS586" s="128"/>
    </row>
    <row r="587" spans="1:71" ht="15.75" customHeight="1" x14ac:dyDescent="0.35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  <c r="BP587" s="128"/>
      <c r="BQ587" s="128"/>
      <c r="BR587" s="128"/>
      <c r="BS587" s="128"/>
    </row>
    <row r="588" spans="1:71" ht="15.75" customHeight="1" x14ac:dyDescent="0.35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  <c r="BP588" s="128"/>
      <c r="BQ588" s="128"/>
      <c r="BR588" s="128"/>
      <c r="BS588" s="128"/>
    </row>
    <row r="589" spans="1:71" ht="15.75" customHeight="1" x14ac:dyDescent="0.35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  <c r="BP589" s="128"/>
      <c r="BQ589" s="128"/>
      <c r="BR589" s="128"/>
      <c r="BS589" s="128"/>
    </row>
    <row r="590" spans="1:71" ht="15.75" customHeight="1" x14ac:dyDescent="0.35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  <c r="BP590" s="128"/>
      <c r="BQ590" s="128"/>
      <c r="BR590" s="128"/>
      <c r="BS590" s="128"/>
    </row>
    <row r="591" spans="1:71" ht="15.75" customHeight="1" x14ac:dyDescent="0.35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  <c r="BP591" s="128"/>
      <c r="BQ591" s="128"/>
      <c r="BR591" s="128"/>
      <c r="BS591" s="128"/>
    </row>
    <row r="592" spans="1:71" ht="15.75" customHeight="1" x14ac:dyDescent="0.35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  <c r="BP592" s="128"/>
      <c r="BQ592" s="128"/>
      <c r="BR592" s="128"/>
      <c r="BS592" s="128"/>
    </row>
    <row r="593" spans="1:71" ht="15.75" customHeight="1" x14ac:dyDescent="0.35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  <c r="BP593" s="128"/>
      <c r="BQ593" s="128"/>
      <c r="BR593" s="128"/>
      <c r="BS593" s="128"/>
    </row>
    <row r="594" spans="1:71" ht="15.75" customHeight="1" x14ac:dyDescent="0.35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  <c r="BP594" s="128"/>
      <c r="BQ594" s="128"/>
      <c r="BR594" s="128"/>
      <c r="BS594" s="128"/>
    </row>
    <row r="595" spans="1:71" ht="15.75" customHeight="1" x14ac:dyDescent="0.3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  <c r="BP595" s="128"/>
      <c r="BQ595" s="128"/>
      <c r="BR595" s="128"/>
      <c r="BS595" s="128"/>
    </row>
    <row r="596" spans="1:71" ht="15.75" customHeight="1" x14ac:dyDescent="0.35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  <c r="BP596" s="128"/>
      <c r="BQ596" s="128"/>
      <c r="BR596" s="128"/>
      <c r="BS596" s="128"/>
    </row>
    <row r="597" spans="1:71" ht="15.75" customHeight="1" x14ac:dyDescent="0.35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  <c r="BP597" s="128"/>
      <c r="BQ597" s="128"/>
      <c r="BR597" s="128"/>
      <c r="BS597" s="128"/>
    </row>
    <row r="598" spans="1:71" ht="15.75" customHeight="1" x14ac:dyDescent="0.35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  <c r="BP598" s="128"/>
      <c r="BQ598" s="128"/>
      <c r="BR598" s="128"/>
      <c r="BS598" s="128"/>
    </row>
    <row r="599" spans="1:71" ht="15.75" customHeight="1" x14ac:dyDescent="0.35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  <c r="BP599" s="128"/>
      <c r="BQ599" s="128"/>
      <c r="BR599" s="128"/>
      <c r="BS599" s="128"/>
    </row>
    <row r="600" spans="1:71" ht="15.75" customHeight="1" x14ac:dyDescent="0.35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  <c r="BP600" s="128"/>
      <c r="BQ600" s="128"/>
      <c r="BR600" s="128"/>
      <c r="BS600" s="128"/>
    </row>
    <row r="601" spans="1:71" ht="15.75" customHeight="1" x14ac:dyDescent="0.35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  <c r="BP601" s="128"/>
      <c r="BQ601" s="128"/>
      <c r="BR601" s="128"/>
      <c r="BS601" s="128"/>
    </row>
    <row r="602" spans="1:71" ht="15.75" customHeight="1" x14ac:dyDescent="0.35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  <c r="BP602" s="128"/>
      <c r="BQ602" s="128"/>
      <c r="BR602" s="128"/>
      <c r="BS602" s="128"/>
    </row>
    <row r="603" spans="1:71" ht="15.75" customHeight="1" x14ac:dyDescent="0.35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  <c r="BP603" s="128"/>
      <c r="BQ603" s="128"/>
      <c r="BR603" s="128"/>
      <c r="BS603" s="128"/>
    </row>
    <row r="604" spans="1:71" ht="15.75" customHeight="1" x14ac:dyDescent="0.35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  <c r="BP604" s="128"/>
      <c r="BQ604" s="128"/>
      <c r="BR604" s="128"/>
      <c r="BS604" s="128"/>
    </row>
    <row r="605" spans="1:71" ht="15.75" customHeight="1" x14ac:dyDescent="0.3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  <c r="BP605" s="128"/>
      <c r="BQ605" s="128"/>
      <c r="BR605" s="128"/>
      <c r="BS605" s="128"/>
    </row>
    <row r="606" spans="1:71" ht="15.75" customHeight="1" x14ac:dyDescent="0.35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  <c r="BP606" s="128"/>
      <c r="BQ606" s="128"/>
      <c r="BR606" s="128"/>
      <c r="BS606" s="128"/>
    </row>
    <row r="607" spans="1:71" ht="15.75" customHeight="1" x14ac:dyDescent="0.35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  <c r="BP607" s="128"/>
      <c r="BQ607" s="128"/>
      <c r="BR607" s="128"/>
      <c r="BS607" s="128"/>
    </row>
    <row r="608" spans="1:71" ht="15.75" customHeight="1" x14ac:dyDescent="0.35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  <c r="BP608" s="128"/>
      <c r="BQ608" s="128"/>
      <c r="BR608" s="128"/>
      <c r="BS608" s="128"/>
    </row>
    <row r="609" spans="1:71" ht="15.75" customHeight="1" x14ac:dyDescent="0.35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  <c r="BP609" s="128"/>
      <c r="BQ609" s="128"/>
      <c r="BR609" s="128"/>
      <c r="BS609" s="128"/>
    </row>
    <row r="610" spans="1:71" ht="15.75" customHeight="1" x14ac:dyDescent="0.35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  <c r="BP610" s="128"/>
      <c r="BQ610" s="128"/>
      <c r="BR610" s="128"/>
      <c r="BS610" s="128"/>
    </row>
    <row r="611" spans="1:71" ht="15.75" customHeight="1" x14ac:dyDescent="0.35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  <c r="BP611" s="128"/>
      <c r="BQ611" s="128"/>
      <c r="BR611" s="128"/>
      <c r="BS611" s="128"/>
    </row>
    <row r="612" spans="1:71" ht="15.75" customHeight="1" x14ac:dyDescent="0.35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  <c r="BP612" s="128"/>
      <c r="BQ612" s="128"/>
      <c r="BR612" s="128"/>
      <c r="BS612" s="128"/>
    </row>
    <row r="613" spans="1:71" ht="15.75" customHeight="1" x14ac:dyDescent="0.35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  <c r="BP613" s="128"/>
      <c r="BQ613" s="128"/>
      <c r="BR613" s="128"/>
      <c r="BS613" s="128"/>
    </row>
    <row r="614" spans="1:71" ht="15.75" customHeight="1" x14ac:dyDescent="0.35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  <c r="BP614" s="128"/>
      <c r="BQ614" s="128"/>
      <c r="BR614" s="128"/>
      <c r="BS614" s="128"/>
    </row>
    <row r="615" spans="1:71" ht="15.75" customHeight="1" x14ac:dyDescent="0.3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  <c r="BP615" s="128"/>
      <c r="BQ615" s="128"/>
      <c r="BR615" s="128"/>
      <c r="BS615" s="128"/>
    </row>
    <row r="616" spans="1:71" ht="15.75" customHeight="1" x14ac:dyDescent="0.35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  <c r="BP616" s="128"/>
      <c r="BQ616" s="128"/>
      <c r="BR616" s="128"/>
      <c r="BS616" s="128"/>
    </row>
    <row r="617" spans="1:71" ht="15.75" customHeight="1" x14ac:dyDescent="0.35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  <c r="BP617" s="128"/>
      <c r="BQ617" s="128"/>
      <c r="BR617" s="128"/>
      <c r="BS617" s="128"/>
    </row>
    <row r="618" spans="1:71" ht="15.75" customHeight="1" x14ac:dyDescent="0.35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  <c r="BP618" s="128"/>
      <c r="BQ618" s="128"/>
      <c r="BR618" s="128"/>
      <c r="BS618" s="128"/>
    </row>
    <row r="619" spans="1:71" ht="15.75" customHeight="1" x14ac:dyDescent="0.35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  <c r="BP619" s="128"/>
      <c r="BQ619" s="128"/>
      <c r="BR619" s="128"/>
      <c r="BS619" s="128"/>
    </row>
    <row r="620" spans="1:71" ht="15.75" customHeight="1" x14ac:dyDescent="0.35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  <c r="BP620" s="128"/>
      <c r="BQ620" s="128"/>
      <c r="BR620" s="128"/>
      <c r="BS620" s="128"/>
    </row>
    <row r="621" spans="1:71" ht="15.75" customHeight="1" x14ac:dyDescent="0.35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  <c r="BP621" s="128"/>
      <c r="BQ621" s="128"/>
      <c r="BR621" s="128"/>
      <c r="BS621" s="128"/>
    </row>
    <row r="622" spans="1:71" ht="15.75" customHeight="1" x14ac:dyDescent="0.35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  <c r="BP622" s="128"/>
      <c r="BQ622" s="128"/>
      <c r="BR622" s="128"/>
      <c r="BS622" s="128"/>
    </row>
    <row r="623" spans="1:71" ht="15.75" customHeight="1" x14ac:dyDescent="0.35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  <c r="BP623" s="128"/>
      <c r="BQ623" s="128"/>
      <c r="BR623" s="128"/>
      <c r="BS623" s="128"/>
    </row>
    <row r="624" spans="1:71" ht="15.75" customHeight="1" x14ac:dyDescent="0.35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  <c r="BP624" s="128"/>
      <c r="BQ624" s="128"/>
      <c r="BR624" s="128"/>
      <c r="BS624" s="128"/>
    </row>
    <row r="625" spans="1:71" ht="15.75" customHeight="1" x14ac:dyDescent="0.3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  <c r="BP625" s="128"/>
      <c r="BQ625" s="128"/>
      <c r="BR625" s="128"/>
      <c r="BS625" s="128"/>
    </row>
    <row r="626" spans="1:71" ht="15.75" customHeight="1" x14ac:dyDescent="0.35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  <c r="BP626" s="128"/>
      <c r="BQ626" s="128"/>
      <c r="BR626" s="128"/>
      <c r="BS626" s="128"/>
    </row>
    <row r="627" spans="1:71" ht="15.75" customHeight="1" x14ac:dyDescent="0.35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  <c r="BP627" s="128"/>
      <c r="BQ627" s="128"/>
      <c r="BR627" s="128"/>
      <c r="BS627" s="128"/>
    </row>
    <row r="628" spans="1:71" ht="15.75" customHeight="1" x14ac:dyDescent="0.35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  <c r="BP628" s="128"/>
      <c r="BQ628" s="128"/>
      <c r="BR628" s="128"/>
      <c r="BS628" s="128"/>
    </row>
    <row r="629" spans="1:71" ht="15.75" customHeight="1" x14ac:dyDescent="0.35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  <c r="BP629" s="128"/>
      <c r="BQ629" s="128"/>
      <c r="BR629" s="128"/>
      <c r="BS629" s="128"/>
    </row>
    <row r="630" spans="1:71" ht="15.75" customHeight="1" x14ac:dyDescent="0.35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  <c r="BP630" s="128"/>
      <c r="BQ630" s="128"/>
      <c r="BR630" s="128"/>
      <c r="BS630" s="128"/>
    </row>
    <row r="631" spans="1:71" ht="15.75" customHeight="1" x14ac:dyDescent="0.35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  <c r="BP631" s="128"/>
      <c r="BQ631" s="128"/>
      <c r="BR631" s="128"/>
      <c r="BS631" s="128"/>
    </row>
    <row r="632" spans="1:71" ht="15.75" customHeight="1" x14ac:dyDescent="0.35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  <c r="BP632" s="128"/>
      <c r="BQ632" s="128"/>
      <c r="BR632" s="128"/>
      <c r="BS632" s="128"/>
    </row>
    <row r="633" spans="1:71" ht="15.75" customHeight="1" x14ac:dyDescent="0.35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  <c r="BP633" s="128"/>
      <c r="BQ633" s="128"/>
      <c r="BR633" s="128"/>
      <c r="BS633" s="128"/>
    </row>
    <row r="634" spans="1:71" ht="15.75" customHeight="1" x14ac:dyDescent="0.35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  <c r="BP634" s="128"/>
      <c r="BQ634" s="128"/>
      <c r="BR634" s="128"/>
      <c r="BS634" s="128"/>
    </row>
    <row r="635" spans="1:71" ht="15.75" customHeight="1" x14ac:dyDescent="0.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  <c r="BP635" s="128"/>
      <c r="BQ635" s="128"/>
      <c r="BR635" s="128"/>
      <c r="BS635" s="128"/>
    </row>
    <row r="636" spans="1:71" ht="15.75" customHeight="1" x14ac:dyDescent="0.35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  <c r="BP636" s="128"/>
      <c r="BQ636" s="128"/>
      <c r="BR636" s="128"/>
      <c r="BS636" s="128"/>
    </row>
    <row r="637" spans="1:71" ht="15.75" customHeight="1" x14ac:dyDescent="0.35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  <c r="BP637" s="128"/>
      <c r="BQ637" s="128"/>
      <c r="BR637" s="128"/>
      <c r="BS637" s="128"/>
    </row>
    <row r="638" spans="1:71" ht="15.75" customHeight="1" x14ac:dyDescent="0.35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  <c r="BP638" s="128"/>
      <c r="BQ638" s="128"/>
      <c r="BR638" s="128"/>
      <c r="BS638" s="128"/>
    </row>
    <row r="639" spans="1:71" ht="15.75" customHeight="1" x14ac:dyDescent="0.35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  <c r="BP639" s="128"/>
      <c r="BQ639" s="128"/>
      <c r="BR639" s="128"/>
      <c r="BS639" s="128"/>
    </row>
    <row r="640" spans="1:71" ht="15.75" customHeight="1" x14ac:dyDescent="0.35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  <c r="BP640" s="128"/>
      <c r="BQ640" s="128"/>
      <c r="BR640" s="128"/>
      <c r="BS640" s="128"/>
    </row>
    <row r="641" spans="1:71" ht="15.75" customHeight="1" x14ac:dyDescent="0.35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  <c r="BP641" s="128"/>
      <c r="BQ641" s="128"/>
      <c r="BR641" s="128"/>
      <c r="BS641" s="128"/>
    </row>
    <row r="642" spans="1:71" ht="15.75" customHeight="1" x14ac:dyDescent="0.35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  <c r="BP642" s="128"/>
      <c r="BQ642" s="128"/>
      <c r="BR642" s="128"/>
      <c r="BS642" s="128"/>
    </row>
    <row r="643" spans="1:71" ht="15.75" customHeight="1" x14ac:dyDescent="0.35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  <c r="BP643" s="128"/>
      <c r="BQ643" s="128"/>
      <c r="BR643" s="128"/>
      <c r="BS643" s="128"/>
    </row>
    <row r="644" spans="1:71" ht="15.75" customHeight="1" x14ac:dyDescent="0.35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  <c r="BP644" s="128"/>
      <c r="BQ644" s="128"/>
      <c r="BR644" s="128"/>
      <c r="BS644" s="128"/>
    </row>
    <row r="645" spans="1:71" ht="15.75" customHeight="1" x14ac:dyDescent="0.3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  <c r="BP645" s="128"/>
      <c r="BQ645" s="128"/>
      <c r="BR645" s="128"/>
      <c r="BS645" s="128"/>
    </row>
    <row r="646" spans="1:71" ht="15.75" customHeight="1" x14ac:dyDescent="0.35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  <c r="BP646" s="128"/>
      <c r="BQ646" s="128"/>
      <c r="BR646" s="128"/>
      <c r="BS646" s="128"/>
    </row>
    <row r="647" spans="1:71" ht="15.75" customHeight="1" x14ac:dyDescent="0.35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  <c r="BP647" s="128"/>
      <c r="BQ647" s="128"/>
      <c r="BR647" s="128"/>
      <c r="BS647" s="128"/>
    </row>
    <row r="648" spans="1:71" ht="15.75" customHeight="1" x14ac:dyDescent="0.35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  <c r="BP648" s="128"/>
      <c r="BQ648" s="128"/>
      <c r="BR648" s="128"/>
      <c r="BS648" s="128"/>
    </row>
    <row r="649" spans="1:71" ht="15.75" customHeight="1" x14ac:dyDescent="0.35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  <c r="BP649" s="128"/>
      <c r="BQ649" s="128"/>
      <c r="BR649" s="128"/>
      <c r="BS649" s="128"/>
    </row>
    <row r="650" spans="1:71" ht="15.75" customHeight="1" x14ac:dyDescent="0.35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  <c r="BP650" s="128"/>
      <c r="BQ650" s="128"/>
      <c r="BR650" s="128"/>
      <c r="BS650" s="128"/>
    </row>
    <row r="651" spans="1:71" ht="15.75" customHeight="1" x14ac:dyDescent="0.35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  <c r="BP651" s="128"/>
      <c r="BQ651" s="128"/>
      <c r="BR651" s="128"/>
      <c r="BS651" s="128"/>
    </row>
    <row r="652" spans="1:71" ht="15.75" customHeight="1" x14ac:dyDescent="0.35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  <c r="BP652" s="128"/>
      <c r="BQ652" s="128"/>
      <c r="BR652" s="128"/>
      <c r="BS652" s="128"/>
    </row>
    <row r="653" spans="1:71" ht="15.75" customHeight="1" x14ac:dyDescent="0.35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  <c r="BP653" s="128"/>
      <c r="BQ653" s="128"/>
      <c r="BR653" s="128"/>
      <c r="BS653" s="128"/>
    </row>
    <row r="654" spans="1:71" ht="15.75" customHeight="1" x14ac:dyDescent="0.35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  <c r="BP654" s="128"/>
      <c r="BQ654" s="128"/>
      <c r="BR654" s="128"/>
      <c r="BS654" s="128"/>
    </row>
    <row r="655" spans="1:71" ht="15.75" customHeight="1" x14ac:dyDescent="0.3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  <c r="BP655" s="128"/>
      <c r="BQ655" s="128"/>
      <c r="BR655" s="128"/>
      <c r="BS655" s="128"/>
    </row>
    <row r="656" spans="1:71" ht="15.75" customHeight="1" x14ac:dyDescent="0.35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  <c r="BP656" s="128"/>
      <c r="BQ656" s="128"/>
      <c r="BR656" s="128"/>
      <c r="BS656" s="128"/>
    </row>
    <row r="657" spans="1:71" ht="15.75" customHeight="1" x14ac:dyDescent="0.35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  <c r="BP657" s="128"/>
      <c r="BQ657" s="128"/>
      <c r="BR657" s="128"/>
      <c r="BS657" s="128"/>
    </row>
    <row r="658" spans="1:71" ht="15.75" customHeight="1" x14ac:dyDescent="0.35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  <c r="BP658" s="128"/>
      <c r="BQ658" s="128"/>
      <c r="BR658" s="128"/>
      <c r="BS658" s="128"/>
    </row>
    <row r="659" spans="1:71" ht="15.75" customHeight="1" x14ac:dyDescent="0.35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  <c r="BP659" s="128"/>
      <c r="BQ659" s="128"/>
      <c r="BR659" s="128"/>
      <c r="BS659" s="128"/>
    </row>
    <row r="660" spans="1:71" ht="15.75" customHeight="1" x14ac:dyDescent="0.35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  <c r="BP660" s="128"/>
      <c r="BQ660" s="128"/>
      <c r="BR660" s="128"/>
      <c r="BS660" s="128"/>
    </row>
    <row r="661" spans="1:71" ht="15.75" customHeight="1" x14ac:dyDescent="0.35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  <c r="BP661" s="128"/>
      <c r="BQ661" s="128"/>
      <c r="BR661" s="128"/>
      <c r="BS661" s="128"/>
    </row>
    <row r="662" spans="1:71" ht="15.75" customHeight="1" x14ac:dyDescent="0.35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  <c r="BP662" s="128"/>
      <c r="BQ662" s="128"/>
      <c r="BR662" s="128"/>
      <c r="BS662" s="128"/>
    </row>
    <row r="663" spans="1:71" ht="15.75" customHeight="1" x14ac:dyDescent="0.35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  <c r="BP663" s="128"/>
      <c r="BQ663" s="128"/>
      <c r="BR663" s="128"/>
      <c r="BS663" s="128"/>
    </row>
    <row r="664" spans="1:71" ht="15.75" customHeight="1" x14ac:dyDescent="0.35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  <c r="BP664" s="128"/>
      <c r="BQ664" s="128"/>
      <c r="BR664" s="128"/>
      <c r="BS664" s="128"/>
    </row>
    <row r="665" spans="1:71" ht="15.75" customHeight="1" x14ac:dyDescent="0.3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  <c r="BP665" s="128"/>
      <c r="BQ665" s="128"/>
      <c r="BR665" s="128"/>
      <c r="BS665" s="128"/>
    </row>
    <row r="666" spans="1:71" ht="15.75" customHeight="1" x14ac:dyDescent="0.35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  <c r="BP666" s="128"/>
      <c r="BQ666" s="128"/>
      <c r="BR666" s="128"/>
      <c r="BS666" s="128"/>
    </row>
    <row r="667" spans="1:71" ht="15.75" customHeight="1" x14ac:dyDescent="0.35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  <c r="BP667" s="128"/>
      <c r="BQ667" s="128"/>
      <c r="BR667" s="128"/>
      <c r="BS667" s="128"/>
    </row>
    <row r="668" spans="1:71" ht="15.75" customHeight="1" x14ac:dyDescent="0.35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  <c r="BP668" s="128"/>
      <c r="BQ668" s="128"/>
      <c r="BR668" s="128"/>
      <c r="BS668" s="128"/>
    </row>
    <row r="669" spans="1:71" ht="15.75" customHeight="1" x14ac:dyDescent="0.35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  <c r="BP669" s="128"/>
      <c r="BQ669" s="128"/>
      <c r="BR669" s="128"/>
      <c r="BS669" s="128"/>
    </row>
    <row r="670" spans="1:71" ht="15.75" customHeight="1" x14ac:dyDescent="0.35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  <c r="BP670" s="128"/>
      <c r="BQ670" s="128"/>
      <c r="BR670" s="128"/>
      <c r="BS670" s="128"/>
    </row>
    <row r="671" spans="1:71" ht="15.75" customHeight="1" x14ac:dyDescent="0.35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  <c r="BP671" s="128"/>
      <c r="BQ671" s="128"/>
      <c r="BR671" s="128"/>
      <c r="BS671" s="128"/>
    </row>
    <row r="672" spans="1:71" ht="15.75" customHeight="1" x14ac:dyDescent="0.35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  <c r="BP672" s="128"/>
      <c r="BQ672" s="128"/>
      <c r="BR672" s="128"/>
      <c r="BS672" s="128"/>
    </row>
    <row r="673" spans="1:71" ht="15.75" customHeight="1" x14ac:dyDescent="0.35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  <c r="BP673" s="128"/>
      <c r="BQ673" s="128"/>
      <c r="BR673" s="128"/>
      <c r="BS673" s="128"/>
    </row>
    <row r="674" spans="1:71" ht="15.75" customHeight="1" x14ac:dyDescent="0.35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  <c r="BP674" s="128"/>
      <c r="BQ674" s="128"/>
      <c r="BR674" s="128"/>
      <c r="BS674" s="128"/>
    </row>
    <row r="675" spans="1:71" ht="15.75" customHeight="1" x14ac:dyDescent="0.3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  <c r="BP675" s="128"/>
      <c r="BQ675" s="128"/>
      <c r="BR675" s="128"/>
      <c r="BS675" s="128"/>
    </row>
    <row r="676" spans="1:71" ht="15.75" customHeight="1" x14ac:dyDescent="0.35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  <c r="BP676" s="128"/>
      <c r="BQ676" s="128"/>
      <c r="BR676" s="128"/>
      <c r="BS676" s="128"/>
    </row>
    <row r="677" spans="1:71" ht="15.75" customHeight="1" x14ac:dyDescent="0.35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  <c r="BP677" s="128"/>
      <c r="BQ677" s="128"/>
      <c r="BR677" s="128"/>
      <c r="BS677" s="128"/>
    </row>
    <row r="678" spans="1:71" ht="15.75" customHeight="1" x14ac:dyDescent="0.35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  <c r="BP678" s="128"/>
      <c r="BQ678" s="128"/>
      <c r="BR678" s="128"/>
      <c r="BS678" s="128"/>
    </row>
    <row r="679" spans="1:71" ht="15.75" customHeight="1" x14ac:dyDescent="0.35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  <c r="BP679" s="128"/>
      <c r="BQ679" s="128"/>
      <c r="BR679" s="128"/>
      <c r="BS679" s="128"/>
    </row>
    <row r="680" spans="1:71" ht="15.75" customHeight="1" x14ac:dyDescent="0.35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  <c r="BP680" s="128"/>
      <c r="BQ680" s="128"/>
      <c r="BR680" s="128"/>
      <c r="BS680" s="128"/>
    </row>
    <row r="681" spans="1:71" ht="15.75" customHeight="1" x14ac:dyDescent="0.35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  <c r="BP681" s="128"/>
      <c r="BQ681" s="128"/>
      <c r="BR681" s="128"/>
      <c r="BS681" s="128"/>
    </row>
    <row r="682" spans="1:71" ht="15.75" customHeight="1" x14ac:dyDescent="0.35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  <c r="BP682" s="128"/>
      <c r="BQ682" s="128"/>
      <c r="BR682" s="128"/>
      <c r="BS682" s="128"/>
    </row>
    <row r="683" spans="1:71" ht="15.75" customHeight="1" x14ac:dyDescent="0.35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  <c r="BP683" s="128"/>
      <c r="BQ683" s="128"/>
      <c r="BR683" s="128"/>
      <c r="BS683" s="128"/>
    </row>
    <row r="684" spans="1:71" ht="15.75" customHeight="1" x14ac:dyDescent="0.35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  <c r="BP684" s="128"/>
      <c r="BQ684" s="128"/>
      <c r="BR684" s="128"/>
      <c r="BS684" s="128"/>
    </row>
    <row r="685" spans="1:71" ht="15.75" customHeight="1" x14ac:dyDescent="0.3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  <c r="BP685" s="128"/>
      <c r="BQ685" s="128"/>
      <c r="BR685" s="128"/>
      <c r="BS685" s="128"/>
    </row>
    <row r="686" spans="1:71" ht="15.75" customHeight="1" x14ac:dyDescent="0.35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  <c r="BP686" s="128"/>
      <c r="BQ686" s="128"/>
      <c r="BR686" s="128"/>
      <c r="BS686" s="128"/>
    </row>
    <row r="687" spans="1:71" ht="15.75" customHeight="1" x14ac:dyDescent="0.35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  <c r="BP687" s="128"/>
      <c r="BQ687" s="128"/>
      <c r="BR687" s="128"/>
      <c r="BS687" s="128"/>
    </row>
    <row r="688" spans="1:71" ht="15.75" customHeight="1" x14ac:dyDescent="0.35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  <c r="BP688" s="128"/>
      <c r="BQ688" s="128"/>
      <c r="BR688" s="128"/>
      <c r="BS688" s="128"/>
    </row>
    <row r="689" spans="1:71" ht="15.75" customHeight="1" x14ac:dyDescent="0.35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  <c r="BP689" s="128"/>
      <c r="BQ689" s="128"/>
      <c r="BR689" s="128"/>
      <c r="BS689" s="128"/>
    </row>
    <row r="690" spans="1:71" ht="15.75" customHeight="1" x14ac:dyDescent="0.35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  <c r="BP690" s="128"/>
      <c r="BQ690" s="128"/>
      <c r="BR690" s="128"/>
      <c r="BS690" s="128"/>
    </row>
    <row r="691" spans="1:71" ht="15.75" customHeight="1" x14ac:dyDescent="0.35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  <c r="BP691" s="128"/>
      <c r="BQ691" s="128"/>
      <c r="BR691" s="128"/>
      <c r="BS691" s="128"/>
    </row>
    <row r="692" spans="1:71" ht="15.75" customHeight="1" x14ac:dyDescent="0.35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  <c r="BP692" s="128"/>
      <c r="BQ692" s="128"/>
      <c r="BR692" s="128"/>
      <c r="BS692" s="128"/>
    </row>
    <row r="693" spans="1:71" ht="15.75" customHeight="1" x14ac:dyDescent="0.35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  <c r="BP693" s="128"/>
      <c r="BQ693" s="128"/>
      <c r="BR693" s="128"/>
      <c r="BS693" s="128"/>
    </row>
    <row r="694" spans="1:71" ht="15.75" customHeight="1" x14ac:dyDescent="0.35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  <c r="BP694" s="128"/>
      <c r="BQ694" s="128"/>
      <c r="BR694" s="128"/>
      <c r="BS694" s="128"/>
    </row>
    <row r="695" spans="1:71" ht="15.75" customHeight="1" x14ac:dyDescent="0.3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  <c r="BP695" s="128"/>
      <c r="BQ695" s="128"/>
      <c r="BR695" s="128"/>
      <c r="BS695" s="128"/>
    </row>
    <row r="696" spans="1:71" ht="15.75" customHeight="1" x14ac:dyDescent="0.35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  <c r="BP696" s="128"/>
      <c r="BQ696" s="128"/>
      <c r="BR696" s="128"/>
      <c r="BS696" s="128"/>
    </row>
    <row r="697" spans="1:71" ht="15.75" customHeight="1" x14ac:dyDescent="0.35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  <c r="BP697" s="128"/>
      <c r="BQ697" s="128"/>
      <c r="BR697" s="128"/>
      <c r="BS697" s="128"/>
    </row>
    <row r="698" spans="1:71" ht="15.75" customHeight="1" x14ac:dyDescent="0.35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  <c r="BP698" s="128"/>
      <c r="BQ698" s="128"/>
      <c r="BR698" s="128"/>
      <c r="BS698" s="128"/>
    </row>
    <row r="699" spans="1:71" ht="15.75" customHeight="1" x14ac:dyDescent="0.35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  <c r="BP699" s="128"/>
      <c r="BQ699" s="128"/>
      <c r="BR699" s="128"/>
      <c r="BS699" s="128"/>
    </row>
    <row r="700" spans="1:71" ht="15.75" customHeight="1" x14ac:dyDescent="0.35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  <c r="BP700" s="128"/>
      <c r="BQ700" s="128"/>
      <c r="BR700" s="128"/>
      <c r="BS700" s="128"/>
    </row>
    <row r="701" spans="1:71" ht="15.75" customHeight="1" x14ac:dyDescent="0.35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  <c r="BP701" s="128"/>
      <c r="BQ701" s="128"/>
      <c r="BR701" s="128"/>
      <c r="BS701" s="128"/>
    </row>
    <row r="702" spans="1:71" ht="15.75" customHeight="1" x14ac:dyDescent="0.35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  <c r="BP702" s="128"/>
      <c r="BQ702" s="128"/>
      <c r="BR702" s="128"/>
      <c r="BS702" s="128"/>
    </row>
    <row r="703" spans="1:71" ht="15.75" customHeight="1" x14ac:dyDescent="0.35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  <c r="BP703" s="128"/>
      <c r="BQ703" s="128"/>
      <c r="BR703" s="128"/>
      <c r="BS703" s="128"/>
    </row>
    <row r="704" spans="1:71" ht="15.75" customHeight="1" x14ac:dyDescent="0.35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  <c r="BP704" s="128"/>
      <c r="BQ704" s="128"/>
      <c r="BR704" s="128"/>
      <c r="BS704" s="128"/>
    </row>
    <row r="705" spans="1:71" ht="15.75" customHeight="1" x14ac:dyDescent="0.3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  <c r="BP705" s="128"/>
      <c r="BQ705" s="128"/>
      <c r="BR705" s="128"/>
      <c r="BS705" s="128"/>
    </row>
    <row r="706" spans="1:71" ht="15.75" customHeight="1" x14ac:dyDescent="0.35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  <c r="BP706" s="128"/>
      <c r="BQ706" s="128"/>
      <c r="BR706" s="128"/>
      <c r="BS706" s="128"/>
    </row>
    <row r="707" spans="1:71" ht="15.75" customHeight="1" x14ac:dyDescent="0.35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  <c r="BP707" s="128"/>
      <c r="BQ707" s="128"/>
      <c r="BR707" s="128"/>
      <c r="BS707" s="128"/>
    </row>
    <row r="708" spans="1:71" ht="15.75" customHeight="1" x14ac:dyDescent="0.35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  <c r="BP708" s="128"/>
      <c r="BQ708" s="128"/>
      <c r="BR708" s="128"/>
      <c r="BS708" s="128"/>
    </row>
    <row r="709" spans="1:71" ht="15.75" customHeight="1" x14ac:dyDescent="0.35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  <c r="BP709" s="128"/>
      <c r="BQ709" s="128"/>
      <c r="BR709" s="128"/>
      <c r="BS709" s="128"/>
    </row>
    <row r="710" spans="1:71" ht="15.75" customHeight="1" x14ac:dyDescent="0.35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  <c r="BP710" s="128"/>
      <c r="BQ710" s="128"/>
      <c r="BR710" s="128"/>
      <c r="BS710" s="128"/>
    </row>
    <row r="711" spans="1:71" ht="15.75" customHeight="1" x14ac:dyDescent="0.35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  <c r="BP711" s="128"/>
      <c r="BQ711" s="128"/>
      <c r="BR711" s="128"/>
      <c r="BS711" s="128"/>
    </row>
    <row r="712" spans="1:71" ht="15.75" customHeight="1" x14ac:dyDescent="0.35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  <c r="BP712" s="128"/>
      <c r="BQ712" s="128"/>
      <c r="BR712" s="128"/>
      <c r="BS712" s="128"/>
    </row>
    <row r="713" spans="1:71" ht="15.75" customHeight="1" x14ac:dyDescent="0.35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  <c r="BP713" s="128"/>
      <c r="BQ713" s="128"/>
      <c r="BR713" s="128"/>
      <c r="BS713" s="128"/>
    </row>
    <row r="714" spans="1:71" ht="15.75" customHeight="1" x14ac:dyDescent="0.35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  <c r="BP714" s="128"/>
      <c r="BQ714" s="128"/>
      <c r="BR714" s="128"/>
      <c r="BS714" s="128"/>
    </row>
    <row r="715" spans="1:71" ht="15.75" customHeight="1" x14ac:dyDescent="0.3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  <c r="BP715" s="128"/>
      <c r="BQ715" s="128"/>
      <c r="BR715" s="128"/>
      <c r="BS715" s="128"/>
    </row>
    <row r="716" spans="1:71" ht="15.75" customHeight="1" x14ac:dyDescent="0.35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  <c r="BP716" s="128"/>
      <c r="BQ716" s="128"/>
      <c r="BR716" s="128"/>
      <c r="BS716" s="128"/>
    </row>
    <row r="717" spans="1:71" ht="15.75" customHeight="1" x14ac:dyDescent="0.35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  <c r="BP717" s="128"/>
      <c r="BQ717" s="128"/>
      <c r="BR717" s="128"/>
      <c r="BS717" s="128"/>
    </row>
    <row r="718" spans="1:71" ht="15.75" customHeight="1" x14ac:dyDescent="0.35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  <c r="BP718" s="128"/>
      <c r="BQ718" s="128"/>
      <c r="BR718" s="128"/>
      <c r="BS718" s="128"/>
    </row>
    <row r="719" spans="1:71" ht="15.75" customHeight="1" x14ac:dyDescent="0.35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  <c r="BP719" s="128"/>
      <c r="BQ719" s="128"/>
      <c r="BR719" s="128"/>
      <c r="BS719" s="128"/>
    </row>
    <row r="720" spans="1:71" ht="15.75" customHeight="1" x14ac:dyDescent="0.35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  <c r="BP720" s="128"/>
      <c r="BQ720" s="128"/>
      <c r="BR720" s="128"/>
      <c r="BS720" s="128"/>
    </row>
    <row r="721" spans="1:71" ht="15.75" customHeight="1" x14ac:dyDescent="0.35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  <c r="BP721" s="128"/>
      <c r="BQ721" s="128"/>
      <c r="BR721" s="128"/>
      <c r="BS721" s="128"/>
    </row>
    <row r="722" spans="1:71" ht="15.75" customHeight="1" x14ac:dyDescent="0.35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  <c r="BP722" s="128"/>
      <c r="BQ722" s="128"/>
      <c r="BR722" s="128"/>
      <c r="BS722" s="128"/>
    </row>
    <row r="723" spans="1:71" ht="15.75" customHeight="1" x14ac:dyDescent="0.35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  <c r="BP723" s="128"/>
      <c r="BQ723" s="128"/>
      <c r="BR723" s="128"/>
      <c r="BS723" s="128"/>
    </row>
    <row r="724" spans="1:71" ht="15.75" customHeight="1" x14ac:dyDescent="0.35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  <c r="BP724" s="128"/>
      <c r="BQ724" s="128"/>
      <c r="BR724" s="128"/>
      <c r="BS724" s="128"/>
    </row>
    <row r="725" spans="1:71" ht="15.75" customHeight="1" x14ac:dyDescent="0.3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  <c r="BP725" s="128"/>
      <c r="BQ725" s="128"/>
      <c r="BR725" s="128"/>
      <c r="BS725" s="128"/>
    </row>
    <row r="726" spans="1:71" ht="15.75" customHeight="1" x14ac:dyDescent="0.35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  <c r="BP726" s="128"/>
      <c r="BQ726" s="128"/>
      <c r="BR726" s="128"/>
      <c r="BS726" s="128"/>
    </row>
    <row r="727" spans="1:71" ht="15.75" customHeight="1" x14ac:dyDescent="0.35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  <c r="BP727" s="128"/>
      <c r="BQ727" s="128"/>
      <c r="BR727" s="128"/>
      <c r="BS727" s="128"/>
    </row>
    <row r="728" spans="1:71" ht="15.75" customHeight="1" x14ac:dyDescent="0.35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  <c r="BP728" s="128"/>
      <c r="BQ728" s="128"/>
      <c r="BR728" s="128"/>
      <c r="BS728" s="128"/>
    </row>
    <row r="729" spans="1:71" ht="15.75" customHeight="1" x14ac:dyDescent="0.35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  <c r="BP729" s="128"/>
      <c r="BQ729" s="128"/>
      <c r="BR729" s="128"/>
      <c r="BS729" s="128"/>
    </row>
    <row r="730" spans="1:71" ht="15.75" customHeight="1" x14ac:dyDescent="0.35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  <c r="BP730" s="128"/>
      <c r="BQ730" s="128"/>
      <c r="BR730" s="128"/>
      <c r="BS730" s="128"/>
    </row>
    <row r="731" spans="1:71" ht="15.75" customHeight="1" x14ac:dyDescent="0.35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  <c r="BP731" s="128"/>
      <c r="BQ731" s="128"/>
      <c r="BR731" s="128"/>
      <c r="BS731" s="128"/>
    </row>
    <row r="732" spans="1:71" ht="15.75" customHeight="1" x14ac:dyDescent="0.35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  <c r="BP732" s="128"/>
      <c r="BQ732" s="128"/>
      <c r="BR732" s="128"/>
      <c r="BS732" s="128"/>
    </row>
    <row r="733" spans="1:71" ht="15.75" customHeight="1" x14ac:dyDescent="0.35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  <c r="BP733" s="128"/>
      <c r="BQ733" s="128"/>
      <c r="BR733" s="128"/>
      <c r="BS733" s="128"/>
    </row>
    <row r="734" spans="1:71" ht="15.75" customHeight="1" x14ac:dyDescent="0.35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  <c r="BP734" s="128"/>
      <c r="BQ734" s="128"/>
      <c r="BR734" s="128"/>
      <c r="BS734" s="128"/>
    </row>
    <row r="735" spans="1:71" ht="15.75" customHeight="1" x14ac:dyDescent="0.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  <c r="BP735" s="128"/>
      <c r="BQ735" s="128"/>
      <c r="BR735" s="128"/>
      <c r="BS735" s="128"/>
    </row>
    <row r="736" spans="1:71" ht="15.75" customHeight="1" x14ac:dyDescent="0.35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  <c r="BP736" s="128"/>
      <c r="BQ736" s="128"/>
      <c r="BR736" s="128"/>
      <c r="BS736" s="128"/>
    </row>
    <row r="737" spans="1:71" ht="15.75" customHeight="1" x14ac:dyDescent="0.35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  <c r="BP737" s="128"/>
      <c r="BQ737" s="128"/>
      <c r="BR737" s="128"/>
      <c r="BS737" s="128"/>
    </row>
    <row r="738" spans="1:71" ht="15.75" customHeight="1" x14ac:dyDescent="0.35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  <c r="BP738" s="128"/>
      <c r="BQ738" s="128"/>
      <c r="BR738" s="128"/>
      <c r="BS738" s="128"/>
    </row>
    <row r="739" spans="1:71" ht="15.75" customHeight="1" x14ac:dyDescent="0.35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  <c r="BP739" s="128"/>
      <c r="BQ739" s="128"/>
      <c r="BR739" s="128"/>
      <c r="BS739" s="128"/>
    </row>
    <row r="740" spans="1:71" ht="15.75" customHeight="1" x14ac:dyDescent="0.35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  <c r="BP740" s="128"/>
      <c r="BQ740" s="128"/>
      <c r="BR740" s="128"/>
      <c r="BS740" s="128"/>
    </row>
    <row r="741" spans="1:71" ht="15.75" customHeight="1" x14ac:dyDescent="0.35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  <c r="BP741" s="128"/>
      <c r="BQ741" s="128"/>
      <c r="BR741" s="128"/>
      <c r="BS741" s="128"/>
    </row>
    <row r="742" spans="1:71" ht="15.75" customHeight="1" x14ac:dyDescent="0.35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  <c r="BP742" s="128"/>
      <c r="BQ742" s="128"/>
      <c r="BR742" s="128"/>
      <c r="BS742" s="128"/>
    </row>
    <row r="743" spans="1:71" ht="15.75" customHeight="1" x14ac:dyDescent="0.35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  <c r="BP743" s="128"/>
      <c r="BQ743" s="128"/>
      <c r="BR743" s="128"/>
      <c r="BS743" s="128"/>
    </row>
    <row r="744" spans="1:71" ht="15.75" customHeight="1" x14ac:dyDescent="0.35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  <c r="BP744" s="128"/>
      <c r="BQ744" s="128"/>
      <c r="BR744" s="128"/>
      <c r="BS744" s="128"/>
    </row>
    <row r="745" spans="1:71" ht="15.75" customHeight="1" x14ac:dyDescent="0.3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  <c r="BP745" s="128"/>
      <c r="BQ745" s="128"/>
      <c r="BR745" s="128"/>
      <c r="BS745" s="128"/>
    </row>
    <row r="746" spans="1:71" ht="15.75" customHeight="1" x14ac:dyDescent="0.35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  <c r="BP746" s="128"/>
      <c r="BQ746" s="128"/>
      <c r="BR746" s="128"/>
      <c r="BS746" s="128"/>
    </row>
    <row r="747" spans="1:71" ht="15.75" customHeight="1" x14ac:dyDescent="0.35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  <c r="BP747" s="128"/>
      <c r="BQ747" s="128"/>
      <c r="BR747" s="128"/>
      <c r="BS747" s="128"/>
    </row>
    <row r="748" spans="1:71" ht="15.75" customHeight="1" x14ac:dyDescent="0.35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  <c r="BP748" s="128"/>
      <c r="BQ748" s="128"/>
      <c r="BR748" s="128"/>
      <c r="BS748" s="128"/>
    </row>
    <row r="749" spans="1:71" ht="15.75" customHeight="1" x14ac:dyDescent="0.35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  <c r="BP749" s="128"/>
      <c r="BQ749" s="128"/>
      <c r="BR749" s="128"/>
      <c r="BS749" s="128"/>
    </row>
    <row r="750" spans="1:71" ht="15.75" customHeight="1" x14ac:dyDescent="0.35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  <c r="BP750" s="128"/>
      <c r="BQ750" s="128"/>
      <c r="BR750" s="128"/>
      <c r="BS750" s="128"/>
    </row>
    <row r="751" spans="1:71" ht="15.75" customHeight="1" x14ac:dyDescent="0.35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  <c r="BP751" s="128"/>
      <c r="BQ751" s="128"/>
      <c r="BR751" s="128"/>
      <c r="BS751" s="128"/>
    </row>
    <row r="752" spans="1:71" ht="15.75" customHeight="1" x14ac:dyDescent="0.35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  <c r="BP752" s="128"/>
      <c r="BQ752" s="128"/>
      <c r="BR752" s="128"/>
      <c r="BS752" s="128"/>
    </row>
    <row r="753" spans="1:71" ht="15.75" customHeight="1" x14ac:dyDescent="0.35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  <c r="BP753" s="128"/>
      <c r="BQ753" s="128"/>
      <c r="BR753" s="128"/>
      <c r="BS753" s="128"/>
    </row>
    <row r="754" spans="1:71" ht="15.75" customHeight="1" x14ac:dyDescent="0.35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  <c r="BP754" s="128"/>
      <c r="BQ754" s="128"/>
      <c r="BR754" s="128"/>
      <c r="BS754" s="128"/>
    </row>
    <row r="755" spans="1:71" ht="15.75" customHeight="1" x14ac:dyDescent="0.3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  <c r="BP755" s="128"/>
      <c r="BQ755" s="128"/>
      <c r="BR755" s="128"/>
      <c r="BS755" s="128"/>
    </row>
    <row r="756" spans="1:71" ht="15.75" customHeight="1" x14ac:dyDescent="0.35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  <c r="BP756" s="128"/>
      <c r="BQ756" s="128"/>
      <c r="BR756" s="128"/>
      <c r="BS756" s="128"/>
    </row>
    <row r="757" spans="1:71" ht="15.75" customHeight="1" x14ac:dyDescent="0.35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  <c r="BP757" s="128"/>
      <c r="BQ757" s="128"/>
      <c r="BR757" s="128"/>
      <c r="BS757" s="128"/>
    </row>
    <row r="758" spans="1:71" ht="15.75" customHeight="1" x14ac:dyDescent="0.35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  <c r="BP758" s="128"/>
      <c r="BQ758" s="128"/>
      <c r="BR758" s="128"/>
      <c r="BS758" s="128"/>
    </row>
    <row r="759" spans="1:71" ht="15.75" customHeight="1" x14ac:dyDescent="0.35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  <c r="BP759" s="128"/>
      <c r="BQ759" s="128"/>
      <c r="BR759" s="128"/>
      <c r="BS759" s="128"/>
    </row>
    <row r="760" spans="1:71" ht="15.75" customHeight="1" x14ac:dyDescent="0.35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  <c r="BP760" s="128"/>
      <c r="BQ760" s="128"/>
      <c r="BR760" s="128"/>
      <c r="BS760" s="128"/>
    </row>
    <row r="761" spans="1:71" ht="15.75" customHeight="1" x14ac:dyDescent="0.35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  <c r="BP761" s="128"/>
      <c r="BQ761" s="128"/>
      <c r="BR761" s="128"/>
      <c r="BS761" s="128"/>
    </row>
    <row r="762" spans="1:71" ht="15.75" customHeight="1" x14ac:dyDescent="0.35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  <c r="BP762" s="128"/>
      <c r="BQ762" s="128"/>
      <c r="BR762" s="128"/>
      <c r="BS762" s="128"/>
    </row>
    <row r="763" spans="1:71" ht="15.75" customHeight="1" x14ac:dyDescent="0.35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  <c r="BP763" s="128"/>
      <c r="BQ763" s="128"/>
      <c r="BR763" s="128"/>
      <c r="BS763" s="128"/>
    </row>
    <row r="764" spans="1:71" ht="15.75" customHeight="1" x14ac:dyDescent="0.35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  <c r="BP764" s="128"/>
      <c r="BQ764" s="128"/>
      <c r="BR764" s="128"/>
      <c r="BS764" s="128"/>
    </row>
    <row r="765" spans="1:71" ht="15.75" customHeight="1" x14ac:dyDescent="0.3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  <c r="BP765" s="128"/>
      <c r="BQ765" s="128"/>
      <c r="BR765" s="128"/>
      <c r="BS765" s="128"/>
    </row>
    <row r="766" spans="1:71" ht="15.75" customHeight="1" x14ac:dyDescent="0.35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  <c r="BP766" s="128"/>
      <c r="BQ766" s="128"/>
      <c r="BR766" s="128"/>
      <c r="BS766" s="128"/>
    </row>
    <row r="767" spans="1:71" ht="15.75" customHeight="1" x14ac:dyDescent="0.35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  <c r="BP767" s="128"/>
      <c r="BQ767" s="128"/>
      <c r="BR767" s="128"/>
      <c r="BS767" s="128"/>
    </row>
    <row r="768" spans="1:71" ht="15.75" customHeight="1" x14ac:dyDescent="0.35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  <c r="BP768" s="128"/>
      <c r="BQ768" s="128"/>
      <c r="BR768" s="128"/>
      <c r="BS768" s="128"/>
    </row>
    <row r="769" spans="1:71" ht="15.75" customHeight="1" x14ac:dyDescent="0.35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  <c r="BP769" s="128"/>
      <c r="BQ769" s="128"/>
      <c r="BR769" s="128"/>
      <c r="BS769" s="128"/>
    </row>
    <row r="770" spans="1:71" ht="15.75" customHeight="1" x14ac:dyDescent="0.35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  <c r="BP770" s="128"/>
      <c r="BQ770" s="128"/>
      <c r="BR770" s="128"/>
      <c r="BS770" s="128"/>
    </row>
    <row r="771" spans="1:71" ht="15.75" customHeight="1" x14ac:dyDescent="0.35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  <c r="BP771" s="128"/>
      <c r="BQ771" s="128"/>
      <c r="BR771" s="128"/>
      <c r="BS771" s="128"/>
    </row>
    <row r="772" spans="1:71" ht="15.75" customHeight="1" x14ac:dyDescent="0.35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  <c r="BP772" s="128"/>
      <c r="BQ772" s="128"/>
      <c r="BR772" s="128"/>
      <c r="BS772" s="128"/>
    </row>
    <row r="773" spans="1:71" ht="15.75" customHeight="1" x14ac:dyDescent="0.35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  <c r="BP773" s="128"/>
      <c r="BQ773" s="128"/>
      <c r="BR773" s="128"/>
      <c r="BS773" s="128"/>
    </row>
    <row r="774" spans="1:71" ht="15.75" customHeight="1" x14ac:dyDescent="0.35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  <c r="BP774" s="128"/>
      <c r="BQ774" s="128"/>
      <c r="BR774" s="128"/>
      <c r="BS774" s="128"/>
    </row>
    <row r="775" spans="1:71" ht="15.75" customHeight="1" x14ac:dyDescent="0.3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  <c r="BP775" s="128"/>
      <c r="BQ775" s="128"/>
      <c r="BR775" s="128"/>
      <c r="BS775" s="128"/>
    </row>
    <row r="776" spans="1:71" ht="15.75" customHeight="1" x14ac:dyDescent="0.35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  <c r="BP776" s="128"/>
      <c r="BQ776" s="128"/>
      <c r="BR776" s="128"/>
      <c r="BS776" s="128"/>
    </row>
    <row r="777" spans="1:71" ht="15.75" customHeight="1" x14ac:dyDescent="0.35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  <c r="BP777" s="128"/>
      <c r="BQ777" s="128"/>
      <c r="BR777" s="128"/>
      <c r="BS777" s="128"/>
    </row>
    <row r="778" spans="1:71" ht="15.75" customHeight="1" x14ac:dyDescent="0.35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  <c r="BP778" s="128"/>
      <c r="BQ778" s="128"/>
      <c r="BR778" s="128"/>
      <c r="BS778" s="128"/>
    </row>
    <row r="779" spans="1:71" ht="15.75" customHeight="1" x14ac:dyDescent="0.35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  <c r="BP779" s="128"/>
      <c r="BQ779" s="128"/>
      <c r="BR779" s="128"/>
      <c r="BS779" s="128"/>
    </row>
    <row r="780" spans="1:71" ht="15.75" customHeight="1" x14ac:dyDescent="0.35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  <c r="BP780" s="128"/>
      <c r="BQ780" s="128"/>
      <c r="BR780" s="128"/>
      <c r="BS780" s="128"/>
    </row>
    <row r="781" spans="1:71" ht="15.75" customHeight="1" x14ac:dyDescent="0.35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  <c r="BP781" s="128"/>
      <c r="BQ781" s="128"/>
      <c r="BR781" s="128"/>
      <c r="BS781" s="128"/>
    </row>
    <row r="782" spans="1:71" ht="15.75" customHeight="1" x14ac:dyDescent="0.35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  <c r="BP782" s="128"/>
      <c r="BQ782" s="128"/>
      <c r="BR782" s="128"/>
      <c r="BS782" s="128"/>
    </row>
    <row r="783" spans="1:71" ht="15.75" customHeight="1" x14ac:dyDescent="0.35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  <c r="BP783" s="128"/>
      <c r="BQ783" s="128"/>
      <c r="BR783" s="128"/>
      <c r="BS783" s="128"/>
    </row>
    <row r="784" spans="1:71" ht="15.75" customHeight="1" x14ac:dyDescent="0.35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  <c r="BP784" s="128"/>
      <c r="BQ784" s="128"/>
      <c r="BR784" s="128"/>
      <c r="BS784" s="128"/>
    </row>
    <row r="785" spans="1:71" ht="15.75" customHeight="1" x14ac:dyDescent="0.3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  <c r="BP785" s="128"/>
      <c r="BQ785" s="128"/>
      <c r="BR785" s="128"/>
      <c r="BS785" s="128"/>
    </row>
    <row r="786" spans="1:71" ht="15.75" customHeight="1" x14ac:dyDescent="0.35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  <c r="BP786" s="128"/>
      <c r="BQ786" s="128"/>
      <c r="BR786" s="128"/>
      <c r="BS786" s="128"/>
    </row>
    <row r="787" spans="1:71" ht="15.75" customHeight="1" x14ac:dyDescent="0.35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  <c r="BP787" s="128"/>
      <c r="BQ787" s="128"/>
      <c r="BR787" s="128"/>
      <c r="BS787" s="128"/>
    </row>
    <row r="788" spans="1:71" ht="15.75" customHeight="1" x14ac:dyDescent="0.35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  <c r="BP788" s="128"/>
      <c r="BQ788" s="128"/>
      <c r="BR788" s="128"/>
      <c r="BS788" s="128"/>
    </row>
    <row r="789" spans="1:71" ht="15.75" customHeight="1" x14ac:dyDescent="0.35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  <c r="BP789" s="128"/>
      <c r="BQ789" s="128"/>
      <c r="BR789" s="128"/>
      <c r="BS789" s="128"/>
    </row>
    <row r="790" spans="1:71" ht="15.75" customHeight="1" x14ac:dyDescent="0.35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  <c r="BP790" s="128"/>
      <c r="BQ790" s="128"/>
      <c r="BR790" s="128"/>
      <c r="BS790" s="128"/>
    </row>
    <row r="791" spans="1:71" ht="15.75" customHeight="1" x14ac:dyDescent="0.35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  <c r="BP791" s="128"/>
      <c r="BQ791" s="128"/>
      <c r="BR791" s="128"/>
      <c r="BS791" s="128"/>
    </row>
    <row r="792" spans="1:71" ht="15.75" customHeight="1" x14ac:dyDescent="0.35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  <c r="BP792" s="128"/>
      <c r="BQ792" s="128"/>
      <c r="BR792" s="128"/>
      <c r="BS792" s="128"/>
    </row>
    <row r="793" spans="1:71" ht="15.75" customHeight="1" x14ac:dyDescent="0.35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  <c r="BP793" s="128"/>
      <c r="BQ793" s="128"/>
      <c r="BR793" s="128"/>
      <c r="BS793" s="128"/>
    </row>
    <row r="794" spans="1:71" ht="15.75" customHeight="1" x14ac:dyDescent="0.35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  <c r="BP794" s="128"/>
      <c r="BQ794" s="128"/>
      <c r="BR794" s="128"/>
      <c r="BS794" s="128"/>
    </row>
    <row r="795" spans="1:71" ht="15.75" customHeight="1" x14ac:dyDescent="0.3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  <c r="BP795" s="128"/>
      <c r="BQ795" s="128"/>
      <c r="BR795" s="128"/>
      <c r="BS795" s="128"/>
    </row>
    <row r="796" spans="1:71" ht="15.75" customHeight="1" x14ac:dyDescent="0.35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  <c r="BP796" s="128"/>
      <c r="BQ796" s="128"/>
      <c r="BR796" s="128"/>
      <c r="BS796" s="128"/>
    </row>
    <row r="797" spans="1:71" ht="15.75" customHeight="1" x14ac:dyDescent="0.35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  <c r="BP797" s="128"/>
      <c r="BQ797" s="128"/>
      <c r="BR797" s="128"/>
      <c r="BS797" s="128"/>
    </row>
    <row r="798" spans="1:71" ht="15.75" customHeight="1" x14ac:dyDescent="0.35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  <c r="BP798" s="128"/>
      <c r="BQ798" s="128"/>
      <c r="BR798" s="128"/>
      <c r="BS798" s="128"/>
    </row>
    <row r="799" spans="1:71" ht="15.75" customHeight="1" x14ac:dyDescent="0.35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  <c r="BP799" s="128"/>
      <c r="BQ799" s="128"/>
      <c r="BR799" s="128"/>
      <c r="BS799" s="128"/>
    </row>
    <row r="800" spans="1:71" ht="15.75" customHeight="1" x14ac:dyDescent="0.35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  <c r="BP800" s="128"/>
      <c r="BQ800" s="128"/>
      <c r="BR800" s="128"/>
      <c r="BS800" s="128"/>
    </row>
    <row r="801" spans="1:71" ht="15.75" customHeight="1" x14ac:dyDescent="0.35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  <c r="BP801" s="128"/>
      <c r="BQ801" s="128"/>
      <c r="BR801" s="128"/>
      <c r="BS801" s="128"/>
    </row>
    <row r="802" spans="1:71" ht="15.75" customHeight="1" x14ac:dyDescent="0.35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  <c r="BP802" s="128"/>
      <c r="BQ802" s="128"/>
      <c r="BR802" s="128"/>
      <c r="BS802" s="128"/>
    </row>
    <row r="803" spans="1:71" ht="15.75" customHeight="1" x14ac:dyDescent="0.35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  <c r="BP803" s="128"/>
      <c r="BQ803" s="128"/>
      <c r="BR803" s="128"/>
      <c r="BS803" s="128"/>
    </row>
    <row r="804" spans="1:71" ht="15.75" customHeight="1" x14ac:dyDescent="0.35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  <c r="BP804" s="128"/>
      <c r="BQ804" s="128"/>
      <c r="BR804" s="128"/>
      <c r="BS804" s="128"/>
    </row>
    <row r="805" spans="1:71" ht="15.75" customHeight="1" x14ac:dyDescent="0.3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  <c r="BP805" s="128"/>
      <c r="BQ805" s="128"/>
      <c r="BR805" s="128"/>
      <c r="BS805" s="128"/>
    </row>
    <row r="806" spans="1:71" ht="15.75" customHeight="1" x14ac:dyDescent="0.35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  <c r="BP806" s="128"/>
      <c r="BQ806" s="128"/>
      <c r="BR806" s="128"/>
      <c r="BS806" s="128"/>
    </row>
    <row r="807" spans="1:71" ht="15.75" customHeight="1" x14ac:dyDescent="0.35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  <c r="BP807" s="128"/>
      <c r="BQ807" s="128"/>
      <c r="BR807" s="128"/>
      <c r="BS807" s="128"/>
    </row>
    <row r="808" spans="1:71" ht="15.75" customHeight="1" x14ac:dyDescent="0.35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  <c r="BP808" s="128"/>
      <c r="BQ808" s="128"/>
      <c r="BR808" s="128"/>
      <c r="BS808" s="128"/>
    </row>
    <row r="809" spans="1:71" ht="15.75" customHeight="1" x14ac:dyDescent="0.35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  <c r="BP809" s="128"/>
      <c r="BQ809" s="128"/>
      <c r="BR809" s="128"/>
      <c r="BS809" s="128"/>
    </row>
    <row r="810" spans="1:71" ht="15.75" customHeight="1" x14ac:dyDescent="0.35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  <c r="BP810" s="128"/>
      <c r="BQ810" s="128"/>
      <c r="BR810" s="128"/>
      <c r="BS810" s="128"/>
    </row>
    <row r="811" spans="1:71" ht="15.75" customHeight="1" x14ac:dyDescent="0.35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  <c r="BP811" s="128"/>
      <c r="BQ811" s="128"/>
      <c r="BR811" s="128"/>
      <c r="BS811" s="128"/>
    </row>
    <row r="812" spans="1:71" ht="15.75" customHeight="1" x14ac:dyDescent="0.35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  <c r="BP812" s="128"/>
      <c r="BQ812" s="128"/>
      <c r="BR812" s="128"/>
      <c r="BS812" s="128"/>
    </row>
    <row r="813" spans="1:71" ht="15.75" customHeight="1" x14ac:dyDescent="0.35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  <c r="BP813" s="128"/>
      <c r="BQ813" s="128"/>
      <c r="BR813" s="128"/>
      <c r="BS813" s="128"/>
    </row>
    <row r="814" spans="1:71" ht="15.75" customHeight="1" x14ac:dyDescent="0.35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  <c r="BP814" s="128"/>
      <c r="BQ814" s="128"/>
      <c r="BR814" s="128"/>
      <c r="BS814" s="128"/>
    </row>
    <row r="815" spans="1:71" ht="15.75" customHeight="1" x14ac:dyDescent="0.3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  <c r="BP815" s="128"/>
      <c r="BQ815" s="128"/>
      <c r="BR815" s="128"/>
      <c r="BS815" s="128"/>
    </row>
    <row r="816" spans="1:71" ht="15.75" customHeight="1" x14ac:dyDescent="0.35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  <c r="BP816" s="128"/>
      <c r="BQ816" s="128"/>
      <c r="BR816" s="128"/>
      <c r="BS816" s="128"/>
    </row>
    <row r="817" spans="1:71" ht="15.75" customHeight="1" x14ac:dyDescent="0.35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  <c r="BP817" s="128"/>
      <c r="BQ817" s="128"/>
      <c r="BR817" s="128"/>
      <c r="BS817" s="128"/>
    </row>
    <row r="818" spans="1:71" ht="15.75" customHeight="1" x14ac:dyDescent="0.35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  <c r="BP818" s="128"/>
      <c r="BQ818" s="128"/>
      <c r="BR818" s="128"/>
      <c r="BS818" s="128"/>
    </row>
    <row r="819" spans="1:71" ht="15.75" customHeight="1" x14ac:dyDescent="0.35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  <c r="BP819" s="128"/>
      <c r="BQ819" s="128"/>
      <c r="BR819" s="128"/>
      <c r="BS819" s="128"/>
    </row>
    <row r="820" spans="1:71" ht="15.75" customHeight="1" x14ac:dyDescent="0.35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  <c r="BP820" s="128"/>
      <c r="BQ820" s="128"/>
      <c r="BR820" s="128"/>
      <c r="BS820" s="128"/>
    </row>
    <row r="821" spans="1:71" ht="15.75" customHeight="1" x14ac:dyDescent="0.35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  <c r="BP821" s="128"/>
      <c r="BQ821" s="128"/>
      <c r="BR821" s="128"/>
      <c r="BS821" s="128"/>
    </row>
    <row r="822" spans="1:71" ht="15.75" customHeight="1" x14ac:dyDescent="0.35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  <c r="BP822" s="128"/>
      <c r="BQ822" s="128"/>
      <c r="BR822" s="128"/>
      <c r="BS822" s="128"/>
    </row>
    <row r="823" spans="1:71" ht="15.75" customHeight="1" x14ac:dyDescent="0.35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  <c r="BP823" s="128"/>
      <c r="BQ823" s="128"/>
      <c r="BR823" s="128"/>
      <c r="BS823" s="128"/>
    </row>
    <row r="824" spans="1:71" ht="15.75" customHeight="1" x14ac:dyDescent="0.35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  <c r="BP824" s="128"/>
      <c r="BQ824" s="128"/>
      <c r="BR824" s="128"/>
      <c r="BS824" s="128"/>
    </row>
    <row r="825" spans="1:71" ht="15.75" customHeight="1" x14ac:dyDescent="0.3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  <c r="BP825" s="128"/>
      <c r="BQ825" s="128"/>
      <c r="BR825" s="128"/>
      <c r="BS825" s="128"/>
    </row>
    <row r="826" spans="1:71" ht="15.75" customHeight="1" x14ac:dyDescent="0.35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  <c r="BP826" s="128"/>
      <c r="BQ826" s="128"/>
      <c r="BR826" s="128"/>
      <c r="BS826" s="128"/>
    </row>
    <row r="827" spans="1:71" ht="15.75" customHeight="1" x14ac:dyDescent="0.35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  <c r="BP827" s="128"/>
      <c r="BQ827" s="128"/>
      <c r="BR827" s="128"/>
      <c r="BS827" s="128"/>
    </row>
    <row r="828" spans="1:71" ht="15.75" customHeight="1" x14ac:dyDescent="0.35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  <c r="BP828" s="128"/>
      <c r="BQ828" s="128"/>
      <c r="BR828" s="128"/>
      <c r="BS828" s="128"/>
    </row>
    <row r="829" spans="1:71" ht="15.75" customHeight="1" x14ac:dyDescent="0.35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  <c r="BP829" s="128"/>
      <c r="BQ829" s="128"/>
      <c r="BR829" s="128"/>
      <c r="BS829" s="128"/>
    </row>
    <row r="830" spans="1:71" ht="15.75" customHeight="1" x14ac:dyDescent="0.35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  <c r="BP830" s="128"/>
      <c r="BQ830" s="128"/>
      <c r="BR830" s="128"/>
      <c r="BS830" s="128"/>
    </row>
    <row r="831" spans="1:71" ht="15.75" customHeight="1" x14ac:dyDescent="0.35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  <c r="BP831" s="128"/>
      <c r="BQ831" s="128"/>
      <c r="BR831" s="128"/>
      <c r="BS831" s="128"/>
    </row>
    <row r="832" spans="1:71" ht="15.75" customHeight="1" x14ac:dyDescent="0.35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  <c r="BP832" s="128"/>
      <c r="BQ832" s="128"/>
      <c r="BR832" s="128"/>
      <c r="BS832" s="128"/>
    </row>
    <row r="833" spans="1:71" ht="15.75" customHeight="1" x14ac:dyDescent="0.35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  <c r="BP833" s="128"/>
      <c r="BQ833" s="128"/>
      <c r="BR833" s="128"/>
      <c r="BS833" s="128"/>
    </row>
    <row r="834" spans="1:71" ht="15.75" customHeight="1" x14ac:dyDescent="0.35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  <c r="BP834" s="128"/>
      <c r="BQ834" s="128"/>
      <c r="BR834" s="128"/>
      <c r="BS834" s="128"/>
    </row>
    <row r="835" spans="1:71" ht="15.75" customHeight="1" x14ac:dyDescent="0.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  <c r="BP835" s="128"/>
      <c r="BQ835" s="128"/>
      <c r="BR835" s="128"/>
      <c r="BS835" s="128"/>
    </row>
    <row r="836" spans="1:71" ht="15.75" customHeight="1" x14ac:dyDescent="0.35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  <c r="BP836" s="128"/>
      <c r="BQ836" s="128"/>
      <c r="BR836" s="128"/>
      <c r="BS836" s="128"/>
    </row>
    <row r="837" spans="1:71" ht="15.75" customHeight="1" x14ac:dyDescent="0.35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  <c r="BP837" s="128"/>
      <c r="BQ837" s="128"/>
      <c r="BR837" s="128"/>
      <c r="BS837" s="128"/>
    </row>
    <row r="838" spans="1:71" ht="15.75" customHeight="1" x14ac:dyDescent="0.35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  <c r="BP838" s="128"/>
      <c r="BQ838" s="128"/>
      <c r="BR838" s="128"/>
      <c r="BS838" s="128"/>
    </row>
    <row r="839" spans="1:71" ht="15.75" customHeight="1" x14ac:dyDescent="0.35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  <c r="BP839" s="128"/>
      <c r="BQ839" s="128"/>
      <c r="BR839" s="128"/>
      <c r="BS839" s="128"/>
    </row>
    <row r="840" spans="1:71" ht="15.75" customHeight="1" x14ac:dyDescent="0.35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  <c r="BP840" s="128"/>
      <c r="BQ840" s="128"/>
      <c r="BR840" s="128"/>
      <c r="BS840" s="128"/>
    </row>
    <row r="841" spans="1:71" ht="15.75" customHeight="1" x14ac:dyDescent="0.35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  <c r="BP841" s="128"/>
      <c r="BQ841" s="128"/>
      <c r="BR841" s="128"/>
      <c r="BS841" s="128"/>
    </row>
    <row r="842" spans="1:71" ht="15.75" customHeight="1" x14ac:dyDescent="0.35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  <c r="BP842" s="128"/>
      <c r="BQ842" s="128"/>
      <c r="BR842" s="128"/>
      <c r="BS842" s="128"/>
    </row>
    <row r="843" spans="1:71" ht="15.75" customHeight="1" x14ac:dyDescent="0.35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  <c r="BP843" s="128"/>
      <c r="BQ843" s="128"/>
      <c r="BR843" s="128"/>
      <c r="BS843" s="128"/>
    </row>
    <row r="844" spans="1:71" ht="15.75" customHeight="1" x14ac:dyDescent="0.35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  <c r="BP844" s="128"/>
      <c r="BQ844" s="128"/>
      <c r="BR844" s="128"/>
      <c r="BS844" s="128"/>
    </row>
    <row r="845" spans="1:71" ht="15.75" customHeight="1" x14ac:dyDescent="0.3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  <c r="BP845" s="128"/>
      <c r="BQ845" s="128"/>
      <c r="BR845" s="128"/>
      <c r="BS845" s="128"/>
    </row>
    <row r="846" spans="1:71" ht="15.75" customHeight="1" x14ac:dyDescent="0.35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  <c r="BP846" s="128"/>
      <c r="BQ846" s="128"/>
      <c r="BR846" s="128"/>
      <c r="BS846" s="128"/>
    </row>
    <row r="847" spans="1:71" ht="15.75" customHeight="1" x14ac:dyDescent="0.35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  <c r="BP847" s="128"/>
      <c r="BQ847" s="128"/>
      <c r="BR847" s="128"/>
      <c r="BS847" s="128"/>
    </row>
    <row r="848" spans="1:71" ht="15.75" customHeight="1" x14ac:dyDescent="0.35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  <c r="BP848" s="128"/>
      <c r="BQ848" s="128"/>
      <c r="BR848" s="128"/>
      <c r="BS848" s="128"/>
    </row>
    <row r="849" spans="1:71" ht="15.75" customHeight="1" x14ac:dyDescent="0.35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  <c r="BP849" s="128"/>
      <c r="BQ849" s="128"/>
      <c r="BR849" s="128"/>
      <c r="BS849" s="128"/>
    </row>
    <row r="850" spans="1:71" ht="15.75" customHeight="1" x14ac:dyDescent="0.35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  <c r="BP850" s="128"/>
      <c r="BQ850" s="128"/>
      <c r="BR850" s="128"/>
      <c r="BS850" s="128"/>
    </row>
    <row r="851" spans="1:71" ht="15.75" customHeight="1" x14ac:dyDescent="0.35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  <c r="BP851" s="128"/>
      <c r="BQ851" s="128"/>
      <c r="BR851" s="128"/>
      <c r="BS851" s="128"/>
    </row>
    <row r="852" spans="1:71" ht="15.75" customHeight="1" x14ac:dyDescent="0.35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  <c r="BP852" s="128"/>
      <c r="BQ852" s="128"/>
      <c r="BR852" s="128"/>
      <c r="BS852" s="128"/>
    </row>
    <row r="853" spans="1:71" ht="15.75" customHeight="1" x14ac:dyDescent="0.35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  <c r="BP853" s="128"/>
      <c r="BQ853" s="128"/>
      <c r="BR853" s="128"/>
      <c r="BS853" s="128"/>
    </row>
    <row r="854" spans="1:71" ht="15.75" customHeight="1" x14ac:dyDescent="0.35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  <c r="BP854" s="128"/>
      <c r="BQ854" s="128"/>
      <c r="BR854" s="128"/>
      <c r="BS854" s="128"/>
    </row>
    <row r="855" spans="1:71" ht="15.75" customHeight="1" x14ac:dyDescent="0.3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  <c r="BP855" s="128"/>
      <c r="BQ855" s="128"/>
      <c r="BR855" s="128"/>
      <c r="BS855" s="128"/>
    </row>
    <row r="856" spans="1:71" ht="15.75" customHeight="1" x14ac:dyDescent="0.35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  <c r="BP856" s="128"/>
      <c r="BQ856" s="128"/>
      <c r="BR856" s="128"/>
      <c r="BS856" s="128"/>
    </row>
    <row r="857" spans="1:71" ht="15.75" customHeight="1" x14ac:dyDescent="0.35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  <c r="BP857" s="128"/>
      <c r="BQ857" s="128"/>
      <c r="BR857" s="128"/>
      <c r="BS857" s="128"/>
    </row>
    <row r="858" spans="1:71" ht="15.75" customHeight="1" x14ac:dyDescent="0.35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  <c r="BP858" s="128"/>
      <c r="BQ858" s="128"/>
      <c r="BR858" s="128"/>
      <c r="BS858" s="128"/>
    </row>
    <row r="859" spans="1:71" ht="15.75" customHeight="1" x14ac:dyDescent="0.35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  <c r="BP859" s="128"/>
      <c r="BQ859" s="128"/>
      <c r="BR859" s="128"/>
      <c r="BS859" s="128"/>
    </row>
    <row r="860" spans="1:71" ht="15.75" customHeight="1" x14ac:dyDescent="0.35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  <c r="BP860" s="128"/>
      <c r="BQ860" s="128"/>
      <c r="BR860" s="128"/>
      <c r="BS860" s="128"/>
    </row>
    <row r="861" spans="1:71" ht="15.75" customHeight="1" x14ac:dyDescent="0.35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  <c r="BP861" s="128"/>
      <c r="BQ861" s="128"/>
      <c r="BR861" s="128"/>
      <c r="BS861" s="128"/>
    </row>
    <row r="862" spans="1:71" ht="15.75" customHeight="1" x14ac:dyDescent="0.35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  <c r="BP862" s="128"/>
      <c r="BQ862" s="128"/>
      <c r="BR862" s="128"/>
      <c r="BS862" s="128"/>
    </row>
    <row r="863" spans="1:71" ht="15.75" customHeight="1" x14ac:dyDescent="0.35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  <c r="BP863" s="128"/>
      <c r="BQ863" s="128"/>
      <c r="BR863" s="128"/>
      <c r="BS863" s="128"/>
    </row>
    <row r="864" spans="1:71" ht="15.75" customHeight="1" x14ac:dyDescent="0.35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  <c r="BP864" s="128"/>
      <c r="BQ864" s="128"/>
      <c r="BR864" s="128"/>
      <c r="BS864" s="128"/>
    </row>
    <row r="865" spans="1:71" ht="15.75" customHeight="1" x14ac:dyDescent="0.3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  <c r="BP865" s="128"/>
      <c r="BQ865" s="128"/>
      <c r="BR865" s="128"/>
      <c r="BS865" s="128"/>
    </row>
    <row r="866" spans="1:71" ht="15.75" customHeight="1" x14ac:dyDescent="0.35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  <c r="BP866" s="128"/>
      <c r="BQ866" s="128"/>
      <c r="BR866" s="128"/>
      <c r="BS866" s="128"/>
    </row>
    <row r="867" spans="1:71" ht="15.75" customHeight="1" x14ac:dyDescent="0.35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  <c r="BP867" s="128"/>
      <c r="BQ867" s="128"/>
      <c r="BR867" s="128"/>
      <c r="BS867" s="128"/>
    </row>
    <row r="868" spans="1:71" ht="15.75" customHeight="1" x14ac:dyDescent="0.35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  <c r="BP868" s="128"/>
      <c r="BQ868" s="128"/>
      <c r="BR868" s="128"/>
      <c r="BS868" s="128"/>
    </row>
    <row r="869" spans="1:71" ht="15.75" customHeight="1" x14ac:dyDescent="0.35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  <c r="BP869" s="128"/>
      <c r="BQ869" s="128"/>
      <c r="BR869" s="128"/>
      <c r="BS869" s="128"/>
    </row>
    <row r="870" spans="1:71" ht="15.75" customHeight="1" x14ac:dyDescent="0.35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  <c r="BP870" s="128"/>
      <c r="BQ870" s="128"/>
      <c r="BR870" s="128"/>
      <c r="BS870" s="128"/>
    </row>
    <row r="871" spans="1:71" ht="15.75" customHeight="1" x14ac:dyDescent="0.35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  <c r="BP871" s="128"/>
      <c r="BQ871" s="128"/>
      <c r="BR871" s="128"/>
      <c r="BS871" s="128"/>
    </row>
    <row r="872" spans="1:71" ht="15.75" customHeight="1" x14ac:dyDescent="0.35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  <c r="BP872" s="128"/>
      <c r="BQ872" s="128"/>
      <c r="BR872" s="128"/>
      <c r="BS872" s="128"/>
    </row>
    <row r="873" spans="1:71" ht="15.75" customHeight="1" x14ac:dyDescent="0.35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  <c r="BP873" s="128"/>
      <c r="BQ873" s="128"/>
      <c r="BR873" s="128"/>
      <c r="BS873" s="128"/>
    </row>
    <row r="874" spans="1:71" ht="15.75" customHeight="1" x14ac:dyDescent="0.35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  <c r="BP874" s="128"/>
      <c r="BQ874" s="128"/>
      <c r="BR874" s="128"/>
      <c r="BS874" s="128"/>
    </row>
    <row r="875" spans="1:71" ht="15.75" customHeight="1" x14ac:dyDescent="0.3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  <c r="BP875" s="128"/>
      <c r="BQ875" s="128"/>
      <c r="BR875" s="128"/>
      <c r="BS875" s="128"/>
    </row>
    <row r="876" spans="1:71" ht="15.75" customHeight="1" x14ac:dyDescent="0.35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  <c r="BP876" s="128"/>
      <c r="BQ876" s="128"/>
      <c r="BR876" s="128"/>
      <c r="BS876" s="128"/>
    </row>
    <row r="877" spans="1:71" ht="15.75" customHeight="1" x14ac:dyDescent="0.35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  <c r="BP877" s="128"/>
      <c r="BQ877" s="128"/>
      <c r="BR877" s="128"/>
      <c r="BS877" s="128"/>
    </row>
    <row r="878" spans="1:71" ht="15.75" customHeight="1" x14ac:dyDescent="0.35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  <c r="BP878" s="128"/>
      <c r="BQ878" s="128"/>
      <c r="BR878" s="128"/>
      <c r="BS878" s="128"/>
    </row>
    <row r="879" spans="1:71" ht="15.75" customHeight="1" x14ac:dyDescent="0.35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  <c r="BP879" s="128"/>
      <c r="BQ879" s="128"/>
      <c r="BR879" s="128"/>
      <c r="BS879" s="128"/>
    </row>
    <row r="880" spans="1:71" ht="15.75" customHeight="1" x14ac:dyDescent="0.35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  <c r="BP880" s="128"/>
      <c r="BQ880" s="128"/>
      <c r="BR880" s="128"/>
      <c r="BS880" s="128"/>
    </row>
    <row r="881" spans="1:71" ht="15.75" customHeight="1" x14ac:dyDescent="0.35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  <c r="BP881" s="128"/>
      <c r="BQ881" s="128"/>
      <c r="BR881" s="128"/>
      <c r="BS881" s="128"/>
    </row>
    <row r="882" spans="1:71" ht="15.75" customHeight="1" x14ac:dyDescent="0.35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  <c r="BP882" s="128"/>
      <c r="BQ882" s="128"/>
      <c r="BR882" s="128"/>
      <c r="BS882" s="128"/>
    </row>
    <row r="883" spans="1:71" ht="15.75" customHeight="1" x14ac:dyDescent="0.35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  <c r="BP883" s="128"/>
      <c r="BQ883" s="128"/>
      <c r="BR883" s="128"/>
      <c r="BS883" s="128"/>
    </row>
    <row r="884" spans="1:71" ht="15.75" customHeight="1" x14ac:dyDescent="0.35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  <c r="BP884" s="128"/>
      <c r="BQ884" s="128"/>
      <c r="BR884" s="128"/>
      <c r="BS884" s="128"/>
    </row>
    <row r="885" spans="1:71" ht="15.75" customHeight="1" x14ac:dyDescent="0.3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  <c r="BP885" s="128"/>
      <c r="BQ885" s="128"/>
      <c r="BR885" s="128"/>
      <c r="BS885" s="128"/>
    </row>
    <row r="886" spans="1:71" ht="15.75" customHeight="1" x14ac:dyDescent="0.35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  <c r="BP886" s="128"/>
      <c r="BQ886" s="128"/>
      <c r="BR886" s="128"/>
      <c r="BS886" s="128"/>
    </row>
    <row r="887" spans="1:71" ht="15.75" customHeight="1" x14ac:dyDescent="0.35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  <c r="BP887" s="128"/>
      <c r="BQ887" s="128"/>
      <c r="BR887" s="128"/>
      <c r="BS887" s="128"/>
    </row>
    <row r="888" spans="1:71" ht="15.75" customHeight="1" x14ac:dyDescent="0.35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  <c r="BP888" s="128"/>
      <c r="BQ888" s="128"/>
      <c r="BR888" s="128"/>
      <c r="BS888" s="128"/>
    </row>
    <row r="889" spans="1:71" ht="15.75" customHeight="1" x14ac:dyDescent="0.35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  <c r="BP889" s="128"/>
      <c r="BQ889" s="128"/>
      <c r="BR889" s="128"/>
      <c r="BS889" s="128"/>
    </row>
    <row r="890" spans="1:71" ht="15.75" customHeight="1" x14ac:dyDescent="0.35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  <c r="BP890" s="128"/>
      <c r="BQ890" s="128"/>
      <c r="BR890" s="128"/>
      <c r="BS890" s="128"/>
    </row>
    <row r="891" spans="1:71" ht="15.75" customHeight="1" x14ac:dyDescent="0.35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  <c r="BP891" s="128"/>
      <c r="BQ891" s="128"/>
      <c r="BR891" s="128"/>
      <c r="BS891" s="128"/>
    </row>
    <row r="892" spans="1:71" ht="15.75" customHeight="1" x14ac:dyDescent="0.35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  <c r="BP892" s="128"/>
      <c r="BQ892" s="128"/>
      <c r="BR892" s="128"/>
      <c r="BS892" s="128"/>
    </row>
    <row r="893" spans="1:71" ht="15.75" customHeight="1" x14ac:dyDescent="0.35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  <c r="BP893" s="128"/>
      <c r="BQ893" s="128"/>
      <c r="BR893" s="128"/>
      <c r="BS893" s="128"/>
    </row>
    <row r="894" spans="1:71" ht="15.75" customHeight="1" x14ac:dyDescent="0.35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  <c r="BP894" s="128"/>
      <c r="BQ894" s="128"/>
      <c r="BR894" s="128"/>
      <c r="BS894" s="128"/>
    </row>
    <row r="895" spans="1:71" ht="15.75" customHeight="1" x14ac:dyDescent="0.3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  <c r="BP895" s="128"/>
      <c r="BQ895" s="128"/>
      <c r="BR895" s="128"/>
      <c r="BS895" s="128"/>
    </row>
    <row r="896" spans="1:71" ht="15.75" customHeight="1" x14ac:dyDescent="0.35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  <c r="BP896" s="128"/>
      <c r="BQ896" s="128"/>
      <c r="BR896" s="128"/>
      <c r="BS896" s="128"/>
    </row>
    <row r="897" spans="1:71" ht="15.75" customHeight="1" x14ac:dyDescent="0.35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  <c r="BP897" s="128"/>
      <c r="BQ897" s="128"/>
      <c r="BR897" s="128"/>
      <c r="BS897" s="128"/>
    </row>
    <row r="898" spans="1:71" ht="15.75" customHeight="1" x14ac:dyDescent="0.35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  <c r="BP898" s="128"/>
      <c r="BQ898" s="128"/>
      <c r="BR898" s="128"/>
      <c r="BS898" s="128"/>
    </row>
    <row r="899" spans="1:71" ht="15.75" customHeight="1" x14ac:dyDescent="0.35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  <c r="BP899" s="128"/>
      <c r="BQ899" s="128"/>
      <c r="BR899" s="128"/>
      <c r="BS899" s="128"/>
    </row>
    <row r="900" spans="1:71" ht="15.75" customHeight="1" x14ac:dyDescent="0.35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  <c r="BP900" s="128"/>
      <c r="BQ900" s="128"/>
      <c r="BR900" s="128"/>
      <c r="BS900" s="128"/>
    </row>
    <row r="901" spans="1:71" ht="15.75" customHeight="1" x14ac:dyDescent="0.35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  <c r="BP901" s="128"/>
      <c r="BQ901" s="128"/>
      <c r="BR901" s="128"/>
      <c r="BS901" s="128"/>
    </row>
    <row r="902" spans="1:71" ht="15.75" customHeight="1" x14ac:dyDescent="0.35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  <c r="BP902" s="128"/>
      <c r="BQ902" s="128"/>
      <c r="BR902" s="128"/>
      <c r="BS902" s="128"/>
    </row>
    <row r="903" spans="1:71" ht="15.75" customHeight="1" x14ac:dyDescent="0.35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  <c r="BP903" s="128"/>
      <c r="BQ903" s="128"/>
      <c r="BR903" s="128"/>
      <c r="BS903" s="128"/>
    </row>
    <row r="904" spans="1:71" ht="15.75" customHeight="1" x14ac:dyDescent="0.35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  <c r="BP904" s="128"/>
      <c r="BQ904" s="128"/>
      <c r="BR904" s="128"/>
      <c r="BS904" s="128"/>
    </row>
    <row r="905" spans="1:71" ht="15.75" customHeight="1" x14ac:dyDescent="0.3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  <c r="BP905" s="128"/>
      <c r="BQ905" s="128"/>
      <c r="BR905" s="128"/>
      <c r="BS905" s="128"/>
    </row>
    <row r="906" spans="1:71" ht="15.75" customHeight="1" x14ac:dyDescent="0.35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  <c r="BP906" s="128"/>
      <c r="BQ906" s="128"/>
      <c r="BR906" s="128"/>
      <c r="BS906" s="128"/>
    </row>
    <row r="907" spans="1:71" ht="15.75" customHeight="1" x14ac:dyDescent="0.35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  <c r="BP907" s="128"/>
      <c r="BQ907" s="128"/>
      <c r="BR907" s="128"/>
      <c r="BS907" s="128"/>
    </row>
    <row r="908" spans="1:71" ht="15.75" customHeight="1" x14ac:dyDescent="0.35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  <c r="BP908" s="128"/>
      <c r="BQ908" s="128"/>
      <c r="BR908" s="128"/>
      <c r="BS908" s="128"/>
    </row>
    <row r="909" spans="1:71" ht="15.75" customHeight="1" x14ac:dyDescent="0.35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  <c r="BP909" s="128"/>
      <c r="BQ909" s="128"/>
      <c r="BR909" s="128"/>
      <c r="BS909" s="128"/>
    </row>
    <row r="910" spans="1:71" ht="15.75" customHeight="1" x14ac:dyDescent="0.35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  <c r="BP910" s="128"/>
      <c r="BQ910" s="128"/>
      <c r="BR910" s="128"/>
      <c r="BS910" s="128"/>
    </row>
    <row r="911" spans="1:71" ht="15.75" customHeight="1" x14ac:dyDescent="0.35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  <c r="BP911" s="128"/>
      <c r="BQ911" s="128"/>
      <c r="BR911" s="128"/>
      <c r="BS911" s="128"/>
    </row>
    <row r="912" spans="1:71" ht="15.75" customHeight="1" x14ac:dyDescent="0.35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  <c r="BP912" s="128"/>
      <c r="BQ912" s="128"/>
      <c r="BR912" s="128"/>
      <c r="BS912" s="128"/>
    </row>
    <row r="913" spans="1:71" ht="15.75" customHeight="1" x14ac:dyDescent="0.35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  <c r="BP913" s="128"/>
      <c r="BQ913" s="128"/>
      <c r="BR913" s="128"/>
      <c r="BS913" s="128"/>
    </row>
    <row r="914" spans="1:71" ht="15.75" customHeight="1" x14ac:dyDescent="0.35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  <c r="AX914" s="128"/>
      <c r="AY914" s="128"/>
      <c r="AZ914" s="128"/>
      <c r="BA914" s="128"/>
      <c r="BB914" s="128"/>
      <c r="BC914" s="128"/>
      <c r="BD914" s="128"/>
      <c r="BE914" s="128"/>
      <c r="BF914" s="128"/>
      <c r="BG914" s="128"/>
      <c r="BH914" s="128"/>
      <c r="BI914" s="128"/>
      <c r="BJ914" s="128"/>
      <c r="BK914" s="128"/>
      <c r="BL914" s="128"/>
      <c r="BM914" s="128"/>
      <c r="BN914" s="128"/>
      <c r="BO914" s="128"/>
      <c r="BP914" s="128"/>
      <c r="BQ914" s="128"/>
      <c r="BR914" s="128"/>
      <c r="BS914" s="128"/>
    </row>
    <row r="915" spans="1:71" ht="15.75" customHeight="1" x14ac:dyDescent="0.3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  <c r="AX915" s="128"/>
      <c r="AY915" s="128"/>
      <c r="AZ915" s="128"/>
      <c r="BA915" s="128"/>
      <c r="BB915" s="128"/>
      <c r="BC915" s="128"/>
      <c r="BD915" s="128"/>
      <c r="BE915" s="128"/>
      <c r="BF915" s="128"/>
      <c r="BG915" s="128"/>
      <c r="BH915" s="128"/>
      <c r="BI915" s="128"/>
      <c r="BJ915" s="128"/>
      <c r="BK915" s="128"/>
      <c r="BL915" s="128"/>
      <c r="BM915" s="128"/>
      <c r="BN915" s="128"/>
      <c r="BO915" s="128"/>
      <c r="BP915" s="128"/>
      <c r="BQ915" s="128"/>
      <c r="BR915" s="128"/>
      <c r="BS915" s="128"/>
    </row>
    <row r="916" spans="1:71" ht="15.75" customHeight="1" x14ac:dyDescent="0.35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8"/>
      <c r="BC916" s="128"/>
      <c r="BD916" s="128"/>
      <c r="BE916" s="128"/>
      <c r="BF916" s="128"/>
      <c r="BG916" s="128"/>
      <c r="BH916" s="128"/>
      <c r="BI916" s="128"/>
      <c r="BJ916" s="128"/>
      <c r="BK916" s="128"/>
      <c r="BL916" s="128"/>
      <c r="BM916" s="128"/>
      <c r="BN916" s="128"/>
      <c r="BO916" s="128"/>
      <c r="BP916" s="128"/>
      <c r="BQ916" s="128"/>
      <c r="BR916" s="128"/>
      <c r="BS916" s="128"/>
    </row>
    <row r="917" spans="1:71" ht="15.75" customHeight="1" x14ac:dyDescent="0.35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  <c r="AX917" s="128"/>
      <c r="AY917" s="128"/>
      <c r="AZ917" s="128"/>
      <c r="BA917" s="128"/>
      <c r="BB917" s="128"/>
      <c r="BC917" s="128"/>
      <c r="BD917" s="128"/>
      <c r="BE917" s="128"/>
      <c r="BF917" s="128"/>
      <c r="BG917" s="128"/>
      <c r="BH917" s="128"/>
      <c r="BI917" s="128"/>
      <c r="BJ917" s="128"/>
      <c r="BK917" s="128"/>
      <c r="BL917" s="128"/>
      <c r="BM917" s="128"/>
      <c r="BN917" s="128"/>
      <c r="BO917" s="128"/>
      <c r="BP917" s="128"/>
      <c r="BQ917" s="128"/>
      <c r="BR917" s="128"/>
      <c r="BS917" s="128"/>
    </row>
    <row r="918" spans="1:71" ht="15.75" customHeight="1" x14ac:dyDescent="0.35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  <c r="AN918" s="128"/>
      <c r="AO918" s="128"/>
      <c r="AP918" s="128"/>
      <c r="AQ918" s="128"/>
      <c r="AR918" s="128"/>
      <c r="AS918" s="128"/>
      <c r="AT918" s="128"/>
      <c r="AU918" s="128"/>
      <c r="AV918" s="128"/>
      <c r="AW918" s="128"/>
      <c r="AX918" s="128"/>
      <c r="AY918" s="128"/>
      <c r="AZ918" s="128"/>
      <c r="BA918" s="128"/>
      <c r="BB918" s="128"/>
      <c r="BC918" s="128"/>
      <c r="BD918" s="128"/>
      <c r="BE918" s="128"/>
      <c r="BF918" s="128"/>
      <c r="BG918" s="128"/>
      <c r="BH918" s="128"/>
      <c r="BI918" s="128"/>
      <c r="BJ918" s="128"/>
      <c r="BK918" s="128"/>
      <c r="BL918" s="128"/>
      <c r="BM918" s="128"/>
      <c r="BN918" s="128"/>
      <c r="BO918" s="128"/>
      <c r="BP918" s="128"/>
      <c r="BQ918" s="128"/>
      <c r="BR918" s="128"/>
      <c r="BS918" s="128"/>
    </row>
    <row r="919" spans="1:71" ht="15.75" customHeight="1" x14ac:dyDescent="0.35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  <c r="AN919" s="128"/>
      <c r="AO919" s="128"/>
      <c r="AP919" s="128"/>
      <c r="AQ919" s="128"/>
      <c r="AR919" s="128"/>
      <c r="AS919" s="128"/>
      <c r="AT919" s="128"/>
      <c r="AU919" s="128"/>
      <c r="AV919" s="128"/>
      <c r="AW919" s="128"/>
      <c r="AX919" s="128"/>
      <c r="AY919" s="128"/>
      <c r="AZ919" s="128"/>
      <c r="BA919" s="128"/>
      <c r="BB919" s="128"/>
      <c r="BC919" s="128"/>
      <c r="BD919" s="128"/>
      <c r="BE919" s="128"/>
      <c r="BF919" s="128"/>
      <c r="BG919" s="128"/>
      <c r="BH919" s="128"/>
      <c r="BI919" s="128"/>
      <c r="BJ919" s="128"/>
      <c r="BK919" s="128"/>
      <c r="BL919" s="128"/>
      <c r="BM919" s="128"/>
      <c r="BN919" s="128"/>
      <c r="BO919" s="128"/>
      <c r="BP919" s="128"/>
      <c r="BQ919" s="128"/>
      <c r="BR919" s="128"/>
      <c r="BS919" s="128"/>
    </row>
    <row r="920" spans="1:71" ht="15.75" customHeight="1" x14ac:dyDescent="0.35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  <c r="AN920" s="128"/>
      <c r="AO920" s="128"/>
      <c r="AP920" s="128"/>
      <c r="AQ920" s="128"/>
      <c r="AR920" s="128"/>
      <c r="AS920" s="128"/>
      <c r="AT920" s="128"/>
      <c r="AU920" s="128"/>
      <c r="AV920" s="128"/>
      <c r="AW920" s="128"/>
      <c r="AX920" s="128"/>
      <c r="AY920" s="128"/>
      <c r="AZ920" s="128"/>
      <c r="BA920" s="128"/>
      <c r="BB920" s="128"/>
      <c r="BC920" s="128"/>
      <c r="BD920" s="128"/>
      <c r="BE920" s="128"/>
      <c r="BF920" s="128"/>
      <c r="BG920" s="128"/>
      <c r="BH920" s="128"/>
      <c r="BI920" s="128"/>
      <c r="BJ920" s="128"/>
      <c r="BK920" s="128"/>
      <c r="BL920" s="128"/>
      <c r="BM920" s="128"/>
      <c r="BN920" s="128"/>
      <c r="BO920" s="128"/>
      <c r="BP920" s="128"/>
      <c r="BQ920" s="128"/>
      <c r="BR920" s="128"/>
      <c r="BS920" s="128"/>
    </row>
    <row r="921" spans="1:71" ht="15.75" customHeight="1" x14ac:dyDescent="0.35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  <c r="AN921" s="128"/>
      <c r="AO921" s="128"/>
      <c r="AP921" s="128"/>
      <c r="AQ921" s="128"/>
      <c r="AR921" s="128"/>
      <c r="AS921" s="128"/>
      <c r="AT921" s="128"/>
      <c r="AU921" s="128"/>
      <c r="AV921" s="128"/>
      <c r="AW921" s="128"/>
      <c r="AX921" s="128"/>
      <c r="AY921" s="128"/>
      <c r="AZ921" s="128"/>
      <c r="BA921" s="128"/>
      <c r="BB921" s="128"/>
      <c r="BC921" s="128"/>
      <c r="BD921" s="128"/>
      <c r="BE921" s="128"/>
      <c r="BF921" s="128"/>
      <c r="BG921" s="128"/>
      <c r="BH921" s="128"/>
      <c r="BI921" s="128"/>
      <c r="BJ921" s="128"/>
      <c r="BK921" s="128"/>
      <c r="BL921" s="128"/>
      <c r="BM921" s="128"/>
      <c r="BN921" s="128"/>
      <c r="BO921" s="128"/>
      <c r="BP921" s="128"/>
      <c r="BQ921" s="128"/>
      <c r="BR921" s="128"/>
      <c r="BS921" s="128"/>
    </row>
    <row r="922" spans="1:71" ht="15.75" customHeight="1" x14ac:dyDescent="0.35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  <c r="AN922" s="128"/>
      <c r="AO922" s="128"/>
      <c r="AP922" s="128"/>
      <c r="AQ922" s="128"/>
      <c r="AR922" s="128"/>
      <c r="AS922" s="128"/>
      <c r="AT922" s="128"/>
      <c r="AU922" s="128"/>
      <c r="AV922" s="128"/>
      <c r="AW922" s="128"/>
      <c r="AX922" s="128"/>
      <c r="AY922" s="128"/>
      <c r="AZ922" s="128"/>
      <c r="BA922" s="128"/>
      <c r="BB922" s="128"/>
      <c r="BC922" s="128"/>
      <c r="BD922" s="128"/>
      <c r="BE922" s="128"/>
      <c r="BF922" s="128"/>
      <c r="BG922" s="128"/>
      <c r="BH922" s="128"/>
      <c r="BI922" s="128"/>
      <c r="BJ922" s="128"/>
      <c r="BK922" s="128"/>
      <c r="BL922" s="128"/>
      <c r="BM922" s="128"/>
      <c r="BN922" s="128"/>
      <c r="BO922" s="128"/>
      <c r="BP922" s="128"/>
      <c r="BQ922" s="128"/>
      <c r="BR922" s="128"/>
      <c r="BS922" s="128"/>
    </row>
    <row r="923" spans="1:71" ht="15.75" customHeight="1" x14ac:dyDescent="0.35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  <c r="AN923" s="128"/>
      <c r="AO923" s="128"/>
      <c r="AP923" s="128"/>
      <c r="AQ923" s="128"/>
      <c r="AR923" s="128"/>
      <c r="AS923" s="128"/>
      <c r="AT923" s="128"/>
      <c r="AU923" s="128"/>
      <c r="AV923" s="128"/>
      <c r="AW923" s="128"/>
      <c r="AX923" s="128"/>
      <c r="AY923" s="128"/>
      <c r="AZ923" s="128"/>
      <c r="BA923" s="128"/>
      <c r="BB923" s="128"/>
      <c r="BC923" s="128"/>
      <c r="BD923" s="128"/>
      <c r="BE923" s="128"/>
      <c r="BF923" s="128"/>
      <c r="BG923" s="128"/>
      <c r="BH923" s="128"/>
      <c r="BI923" s="128"/>
      <c r="BJ923" s="128"/>
      <c r="BK923" s="128"/>
      <c r="BL923" s="128"/>
      <c r="BM923" s="128"/>
      <c r="BN923" s="128"/>
      <c r="BO923" s="128"/>
      <c r="BP923" s="128"/>
      <c r="BQ923" s="128"/>
      <c r="BR923" s="128"/>
      <c r="BS923" s="128"/>
    </row>
    <row r="924" spans="1:71" ht="15.75" customHeight="1" x14ac:dyDescent="0.35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  <c r="AN924" s="128"/>
      <c r="AO924" s="128"/>
      <c r="AP924" s="128"/>
      <c r="AQ924" s="128"/>
      <c r="AR924" s="128"/>
      <c r="AS924" s="128"/>
      <c r="AT924" s="128"/>
      <c r="AU924" s="128"/>
      <c r="AV924" s="128"/>
      <c r="AW924" s="128"/>
      <c r="AX924" s="128"/>
      <c r="AY924" s="128"/>
      <c r="AZ924" s="128"/>
      <c r="BA924" s="128"/>
      <c r="BB924" s="128"/>
      <c r="BC924" s="128"/>
      <c r="BD924" s="128"/>
      <c r="BE924" s="128"/>
      <c r="BF924" s="128"/>
      <c r="BG924" s="128"/>
      <c r="BH924" s="128"/>
      <c r="BI924" s="128"/>
      <c r="BJ924" s="128"/>
      <c r="BK924" s="128"/>
      <c r="BL924" s="128"/>
      <c r="BM924" s="128"/>
      <c r="BN924" s="128"/>
      <c r="BO924" s="128"/>
      <c r="BP924" s="128"/>
      <c r="BQ924" s="128"/>
      <c r="BR924" s="128"/>
      <c r="BS924" s="128"/>
    </row>
    <row r="925" spans="1:71" ht="15.75" customHeight="1" x14ac:dyDescent="0.3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  <c r="AO925" s="128"/>
      <c r="AP925" s="128"/>
      <c r="AQ925" s="128"/>
      <c r="AR925" s="128"/>
      <c r="AS925" s="128"/>
      <c r="AT925" s="128"/>
      <c r="AU925" s="128"/>
      <c r="AV925" s="128"/>
      <c r="AW925" s="128"/>
      <c r="AX925" s="128"/>
      <c r="AY925" s="128"/>
      <c r="AZ925" s="128"/>
      <c r="BA925" s="128"/>
      <c r="BB925" s="128"/>
      <c r="BC925" s="128"/>
      <c r="BD925" s="128"/>
      <c r="BE925" s="128"/>
      <c r="BF925" s="128"/>
      <c r="BG925" s="128"/>
      <c r="BH925" s="128"/>
      <c r="BI925" s="128"/>
      <c r="BJ925" s="128"/>
      <c r="BK925" s="128"/>
      <c r="BL925" s="128"/>
      <c r="BM925" s="128"/>
      <c r="BN925" s="128"/>
      <c r="BO925" s="128"/>
      <c r="BP925" s="128"/>
      <c r="BQ925" s="128"/>
      <c r="BR925" s="128"/>
      <c r="BS925" s="128"/>
    </row>
    <row r="926" spans="1:71" ht="15.75" customHeight="1" x14ac:dyDescent="0.35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  <c r="AN926" s="128"/>
      <c r="AO926" s="128"/>
      <c r="AP926" s="128"/>
      <c r="AQ926" s="128"/>
      <c r="AR926" s="128"/>
      <c r="AS926" s="128"/>
      <c r="AT926" s="128"/>
      <c r="AU926" s="128"/>
      <c r="AV926" s="128"/>
      <c r="AW926" s="128"/>
      <c r="AX926" s="128"/>
      <c r="AY926" s="128"/>
      <c r="AZ926" s="128"/>
      <c r="BA926" s="128"/>
      <c r="BB926" s="128"/>
      <c r="BC926" s="128"/>
      <c r="BD926" s="128"/>
      <c r="BE926" s="128"/>
      <c r="BF926" s="128"/>
      <c r="BG926" s="128"/>
      <c r="BH926" s="128"/>
      <c r="BI926" s="128"/>
      <c r="BJ926" s="128"/>
      <c r="BK926" s="128"/>
      <c r="BL926" s="128"/>
      <c r="BM926" s="128"/>
      <c r="BN926" s="128"/>
      <c r="BO926" s="128"/>
      <c r="BP926" s="128"/>
      <c r="BQ926" s="128"/>
      <c r="BR926" s="128"/>
      <c r="BS926" s="128"/>
    </row>
    <row r="927" spans="1:71" ht="15.75" customHeight="1" x14ac:dyDescent="0.35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  <c r="AN927" s="128"/>
      <c r="AO927" s="128"/>
      <c r="AP927" s="128"/>
      <c r="AQ927" s="128"/>
      <c r="AR927" s="128"/>
      <c r="AS927" s="128"/>
      <c r="AT927" s="128"/>
      <c r="AU927" s="128"/>
      <c r="AV927" s="128"/>
      <c r="AW927" s="128"/>
      <c r="AX927" s="128"/>
      <c r="AY927" s="128"/>
      <c r="AZ927" s="128"/>
      <c r="BA927" s="128"/>
      <c r="BB927" s="128"/>
      <c r="BC927" s="128"/>
      <c r="BD927" s="128"/>
      <c r="BE927" s="128"/>
      <c r="BF927" s="128"/>
      <c r="BG927" s="128"/>
      <c r="BH927" s="128"/>
      <c r="BI927" s="128"/>
      <c r="BJ927" s="128"/>
      <c r="BK927" s="128"/>
      <c r="BL927" s="128"/>
      <c r="BM927" s="128"/>
      <c r="BN927" s="128"/>
      <c r="BO927" s="128"/>
      <c r="BP927" s="128"/>
      <c r="BQ927" s="128"/>
      <c r="BR927" s="128"/>
      <c r="BS927" s="128"/>
    </row>
    <row r="928" spans="1:71" ht="15.75" customHeight="1" x14ac:dyDescent="0.35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  <c r="AN928" s="128"/>
      <c r="AO928" s="128"/>
      <c r="AP928" s="128"/>
      <c r="AQ928" s="128"/>
      <c r="AR928" s="128"/>
      <c r="AS928" s="128"/>
      <c r="AT928" s="128"/>
      <c r="AU928" s="128"/>
      <c r="AV928" s="128"/>
      <c r="AW928" s="128"/>
      <c r="AX928" s="128"/>
      <c r="AY928" s="128"/>
      <c r="AZ928" s="128"/>
      <c r="BA928" s="128"/>
      <c r="BB928" s="128"/>
      <c r="BC928" s="128"/>
      <c r="BD928" s="128"/>
      <c r="BE928" s="128"/>
      <c r="BF928" s="128"/>
      <c r="BG928" s="128"/>
      <c r="BH928" s="128"/>
      <c r="BI928" s="128"/>
      <c r="BJ928" s="128"/>
      <c r="BK928" s="128"/>
      <c r="BL928" s="128"/>
      <c r="BM928" s="128"/>
      <c r="BN928" s="128"/>
      <c r="BO928" s="128"/>
      <c r="BP928" s="128"/>
      <c r="BQ928" s="128"/>
      <c r="BR928" s="128"/>
      <c r="BS928" s="128"/>
    </row>
    <row r="929" spans="1:71" ht="15.75" customHeight="1" x14ac:dyDescent="0.35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  <c r="AO929" s="128"/>
      <c r="AP929" s="128"/>
      <c r="AQ929" s="128"/>
      <c r="AR929" s="128"/>
      <c r="AS929" s="128"/>
      <c r="AT929" s="128"/>
      <c r="AU929" s="128"/>
      <c r="AV929" s="128"/>
      <c r="AW929" s="128"/>
      <c r="AX929" s="128"/>
      <c r="AY929" s="128"/>
      <c r="AZ929" s="128"/>
      <c r="BA929" s="128"/>
      <c r="BB929" s="128"/>
      <c r="BC929" s="128"/>
      <c r="BD929" s="128"/>
      <c r="BE929" s="128"/>
      <c r="BF929" s="128"/>
      <c r="BG929" s="128"/>
      <c r="BH929" s="128"/>
      <c r="BI929" s="128"/>
      <c r="BJ929" s="128"/>
      <c r="BK929" s="128"/>
      <c r="BL929" s="128"/>
      <c r="BM929" s="128"/>
      <c r="BN929" s="128"/>
      <c r="BO929" s="128"/>
      <c r="BP929" s="128"/>
      <c r="BQ929" s="128"/>
      <c r="BR929" s="128"/>
      <c r="BS929" s="128"/>
    </row>
    <row r="930" spans="1:71" ht="15.75" customHeight="1" x14ac:dyDescent="0.35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  <c r="AX930" s="128"/>
      <c r="AY930" s="128"/>
      <c r="AZ930" s="128"/>
      <c r="BA930" s="128"/>
      <c r="BB930" s="128"/>
      <c r="BC930" s="128"/>
      <c r="BD930" s="128"/>
      <c r="BE930" s="128"/>
      <c r="BF930" s="128"/>
      <c r="BG930" s="128"/>
      <c r="BH930" s="128"/>
      <c r="BI930" s="128"/>
      <c r="BJ930" s="128"/>
      <c r="BK930" s="128"/>
      <c r="BL930" s="128"/>
      <c r="BM930" s="128"/>
      <c r="BN930" s="128"/>
      <c r="BO930" s="128"/>
      <c r="BP930" s="128"/>
      <c r="BQ930" s="128"/>
      <c r="BR930" s="128"/>
      <c r="BS930" s="128"/>
    </row>
    <row r="931" spans="1:71" ht="15.75" customHeight="1" x14ac:dyDescent="0.35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  <c r="AX931" s="128"/>
      <c r="AY931" s="128"/>
      <c r="AZ931" s="128"/>
      <c r="BA931" s="128"/>
      <c r="BB931" s="128"/>
      <c r="BC931" s="128"/>
      <c r="BD931" s="128"/>
      <c r="BE931" s="128"/>
      <c r="BF931" s="128"/>
      <c r="BG931" s="128"/>
      <c r="BH931" s="128"/>
      <c r="BI931" s="128"/>
      <c r="BJ931" s="128"/>
      <c r="BK931" s="128"/>
      <c r="BL931" s="128"/>
      <c r="BM931" s="128"/>
      <c r="BN931" s="128"/>
      <c r="BO931" s="128"/>
      <c r="BP931" s="128"/>
      <c r="BQ931" s="128"/>
      <c r="BR931" s="128"/>
      <c r="BS931" s="128"/>
    </row>
    <row r="932" spans="1:71" ht="15.75" customHeight="1" x14ac:dyDescent="0.35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  <c r="AX932" s="128"/>
      <c r="AY932" s="128"/>
      <c r="AZ932" s="128"/>
      <c r="BA932" s="128"/>
      <c r="BB932" s="128"/>
      <c r="BC932" s="128"/>
      <c r="BD932" s="128"/>
      <c r="BE932" s="128"/>
      <c r="BF932" s="128"/>
      <c r="BG932" s="128"/>
      <c r="BH932" s="128"/>
      <c r="BI932" s="128"/>
      <c r="BJ932" s="128"/>
      <c r="BK932" s="128"/>
      <c r="BL932" s="128"/>
      <c r="BM932" s="128"/>
      <c r="BN932" s="128"/>
      <c r="BO932" s="128"/>
      <c r="BP932" s="128"/>
      <c r="BQ932" s="128"/>
      <c r="BR932" s="128"/>
      <c r="BS932" s="128"/>
    </row>
    <row r="933" spans="1:71" ht="15.75" customHeight="1" x14ac:dyDescent="0.35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  <c r="AP933" s="128"/>
      <c r="AQ933" s="128"/>
      <c r="AR933" s="128"/>
      <c r="AS933" s="128"/>
      <c r="AT933" s="128"/>
      <c r="AU933" s="128"/>
      <c r="AV933" s="128"/>
      <c r="AW933" s="128"/>
      <c r="AX933" s="128"/>
      <c r="AY933" s="128"/>
      <c r="AZ933" s="128"/>
      <c r="BA933" s="128"/>
      <c r="BB933" s="128"/>
      <c r="BC933" s="128"/>
      <c r="BD933" s="128"/>
      <c r="BE933" s="128"/>
      <c r="BF933" s="128"/>
      <c r="BG933" s="128"/>
      <c r="BH933" s="128"/>
      <c r="BI933" s="128"/>
      <c r="BJ933" s="128"/>
      <c r="BK933" s="128"/>
      <c r="BL933" s="128"/>
      <c r="BM933" s="128"/>
      <c r="BN933" s="128"/>
      <c r="BO933" s="128"/>
      <c r="BP933" s="128"/>
      <c r="BQ933" s="128"/>
      <c r="BR933" s="128"/>
      <c r="BS933" s="128"/>
    </row>
    <row r="934" spans="1:71" ht="15.75" customHeight="1" x14ac:dyDescent="0.35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  <c r="AX934" s="128"/>
      <c r="AY934" s="128"/>
      <c r="AZ934" s="128"/>
      <c r="BA934" s="128"/>
      <c r="BB934" s="128"/>
      <c r="BC934" s="128"/>
      <c r="BD934" s="128"/>
      <c r="BE934" s="128"/>
      <c r="BF934" s="128"/>
      <c r="BG934" s="128"/>
      <c r="BH934" s="128"/>
      <c r="BI934" s="128"/>
      <c r="BJ934" s="128"/>
      <c r="BK934" s="128"/>
      <c r="BL934" s="128"/>
      <c r="BM934" s="128"/>
      <c r="BN934" s="128"/>
      <c r="BO934" s="128"/>
      <c r="BP934" s="128"/>
      <c r="BQ934" s="128"/>
      <c r="BR934" s="128"/>
      <c r="BS934" s="128"/>
    </row>
    <row r="935" spans="1:71" ht="15.75" customHeight="1" x14ac:dyDescent="0.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  <c r="AX935" s="128"/>
      <c r="AY935" s="128"/>
      <c r="AZ935" s="128"/>
      <c r="BA935" s="128"/>
      <c r="BB935" s="128"/>
      <c r="BC935" s="128"/>
      <c r="BD935" s="128"/>
      <c r="BE935" s="128"/>
      <c r="BF935" s="128"/>
      <c r="BG935" s="128"/>
      <c r="BH935" s="128"/>
      <c r="BI935" s="128"/>
      <c r="BJ935" s="128"/>
      <c r="BK935" s="128"/>
      <c r="BL935" s="128"/>
      <c r="BM935" s="128"/>
      <c r="BN935" s="128"/>
      <c r="BO935" s="128"/>
      <c r="BP935" s="128"/>
      <c r="BQ935" s="128"/>
      <c r="BR935" s="128"/>
      <c r="BS935" s="128"/>
    </row>
    <row r="936" spans="1:71" ht="15.75" customHeight="1" x14ac:dyDescent="0.35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  <c r="AX936" s="128"/>
      <c r="AY936" s="128"/>
      <c r="AZ936" s="128"/>
      <c r="BA936" s="128"/>
      <c r="BB936" s="128"/>
      <c r="BC936" s="128"/>
      <c r="BD936" s="128"/>
      <c r="BE936" s="128"/>
      <c r="BF936" s="128"/>
      <c r="BG936" s="128"/>
      <c r="BH936" s="128"/>
      <c r="BI936" s="128"/>
      <c r="BJ936" s="128"/>
      <c r="BK936" s="128"/>
      <c r="BL936" s="128"/>
      <c r="BM936" s="128"/>
      <c r="BN936" s="128"/>
      <c r="BO936" s="128"/>
      <c r="BP936" s="128"/>
      <c r="BQ936" s="128"/>
      <c r="BR936" s="128"/>
      <c r="BS936" s="128"/>
    </row>
    <row r="937" spans="1:71" ht="15.75" customHeight="1" x14ac:dyDescent="0.35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  <c r="AX937" s="128"/>
      <c r="AY937" s="128"/>
      <c r="AZ937" s="128"/>
      <c r="BA937" s="128"/>
      <c r="BB937" s="128"/>
      <c r="BC937" s="128"/>
      <c r="BD937" s="128"/>
      <c r="BE937" s="128"/>
      <c r="BF937" s="128"/>
      <c r="BG937" s="128"/>
      <c r="BH937" s="128"/>
      <c r="BI937" s="128"/>
      <c r="BJ937" s="128"/>
      <c r="BK937" s="128"/>
      <c r="BL937" s="128"/>
      <c r="BM937" s="128"/>
      <c r="BN937" s="128"/>
      <c r="BO937" s="128"/>
      <c r="BP937" s="128"/>
      <c r="BQ937" s="128"/>
      <c r="BR937" s="128"/>
      <c r="BS937" s="128"/>
    </row>
    <row r="938" spans="1:71" ht="15.75" customHeight="1" x14ac:dyDescent="0.35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  <c r="AX938" s="128"/>
      <c r="AY938" s="128"/>
      <c r="AZ938" s="128"/>
      <c r="BA938" s="128"/>
      <c r="BB938" s="128"/>
      <c r="BC938" s="128"/>
      <c r="BD938" s="128"/>
      <c r="BE938" s="128"/>
      <c r="BF938" s="128"/>
      <c r="BG938" s="128"/>
      <c r="BH938" s="128"/>
      <c r="BI938" s="128"/>
      <c r="BJ938" s="128"/>
      <c r="BK938" s="128"/>
      <c r="BL938" s="128"/>
      <c r="BM938" s="128"/>
      <c r="BN938" s="128"/>
      <c r="BO938" s="128"/>
      <c r="BP938" s="128"/>
      <c r="BQ938" s="128"/>
      <c r="BR938" s="128"/>
      <c r="BS938" s="128"/>
    </row>
    <row r="939" spans="1:71" ht="15.75" customHeight="1" x14ac:dyDescent="0.35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  <c r="AX939" s="128"/>
      <c r="AY939" s="128"/>
      <c r="AZ939" s="128"/>
      <c r="BA939" s="128"/>
      <c r="BB939" s="128"/>
      <c r="BC939" s="128"/>
      <c r="BD939" s="128"/>
      <c r="BE939" s="128"/>
      <c r="BF939" s="128"/>
      <c r="BG939" s="128"/>
      <c r="BH939" s="128"/>
      <c r="BI939" s="128"/>
      <c r="BJ939" s="128"/>
      <c r="BK939" s="128"/>
      <c r="BL939" s="128"/>
      <c r="BM939" s="128"/>
      <c r="BN939" s="128"/>
      <c r="BO939" s="128"/>
      <c r="BP939" s="128"/>
      <c r="BQ939" s="128"/>
      <c r="BR939" s="128"/>
      <c r="BS939" s="128"/>
    </row>
    <row r="940" spans="1:71" ht="15.75" customHeight="1" x14ac:dyDescent="0.35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  <c r="AX940" s="128"/>
      <c r="AY940" s="128"/>
      <c r="AZ940" s="128"/>
      <c r="BA940" s="128"/>
      <c r="BB940" s="128"/>
      <c r="BC940" s="128"/>
      <c r="BD940" s="128"/>
      <c r="BE940" s="128"/>
      <c r="BF940" s="128"/>
      <c r="BG940" s="128"/>
      <c r="BH940" s="128"/>
      <c r="BI940" s="128"/>
      <c r="BJ940" s="128"/>
      <c r="BK940" s="128"/>
      <c r="BL940" s="128"/>
      <c r="BM940" s="128"/>
      <c r="BN940" s="128"/>
      <c r="BO940" s="128"/>
      <c r="BP940" s="128"/>
      <c r="BQ940" s="128"/>
      <c r="BR940" s="128"/>
      <c r="BS940" s="128"/>
    </row>
    <row r="941" spans="1:71" ht="15.75" customHeight="1" x14ac:dyDescent="0.35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  <c r="AP941" s="128"/>
      <c r="AQ941" s="128"/>
      <c r="AR941" s="128"/>
      <c r="AS941" s="128"/>
      <c r="AT941" s="128"/>
      <c r="AU941" s="128"/>
      <c r="AV941" s="128"/>
      <c r="AW941" s="128"/>
      <c r="AX941" s="128"/>
      <c r="AY941" s="128"/>
      <c r="AZ941" s="128"/>
      <c r="BA941" s="128"/>
      <c r="BB941" s="128"/>
      <c r="BC941" s="128"/>
      <c r="BD941" s="128"/>
      <c r="BE941" s="128"/>
      <c r="BF941" s="128"/>
      <c r="BG941" s="128"/>
      <c r="BH941" s="128"/>
      <c r="BI941" s="128"/>
      <c r="BJ941" s="128"/>
      <c r="BK941" s="128"/>
      <c r="BL941" s="128"/>
      <c r="BM941" s="128"/>
      <c r="BN941" s="128"/>
      <c r="BO941" s="128"/>
      <c r="BP941" s="128"/>
      <c r="BQ941" s="128"/>
      <c r="BR941" s="128"/>
      <c r="BS941" s="128"/>
    </row>
    <row r="942" spans="1:71" ht="15.75" customHeight="1" x14ac:dyDescent="0.35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  <c r="AP942" s="128"/>
      <c r="AQ942" s="128"/>
      <c r="AR942" s="128"/>
      <c r="AS942" s="128"/>
      <c r="AT942" s="128"/>
      <c r="AU942" s="128"/>
      <c r="AV942" s="128"/>
      <c r="AW942" s="128"/>
      <c r="AX942" s="128"/>
      <c r="AY942" s="128"/>
      <c r="AZ942" s="128"/>
      <c r="BA942" s="128"/>
      <c r="BB942" s="128"/>
      <c r="BC942" s="128"/>
      <c r="BD942" s="128"/>
      <c r="BE942" s="128"/>
      <c r="BF942" s="128"/>
      <c r="BG942" s="128"/>
      <c r="BH942" s="128"/>
      <c r="BI942" s="128"/>
      <c r="BJ942" s="128"/>
      <c r="BK942" s="128"/>
      <c r="BL942" s="128"/>
      <c r="BM942" s="128"/>
      <c r="BN942" s="128"/>
      <c r="BO942" s="128"/>
      <c r="BP942" s="128"/>
      <c r="BQ942" s="128"/>
      <c r="BR942" s="128"/>
      <c r="BS942" s="128"/>
    </row>
    <row r="943" spans="1:71" ht="15.75" customHeight="1" x14ac:dyDescent="0.35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  <c r="AX943" s="128"/>
      <c r="AY943" s="128"/>
      <c r="AZ943" s="128"/>
      <c r="BA943" s="128"/>
      <c r="BB943" s="128"/>
      <c r="BC943" s="128"/>
      <c r="BD943" s="128"/>
      <c r="BE943" s="128"/>
      <c r="BF943" s="128"/>
      <c r="BG943" s="128"/>
      <c r="BH943" s="128"/>
      <c r="BI943" s="128"/>
      <c r="BJ943" s="128"/>
      <c r="BK943" s="128"/>
      <c r="BL943" s="128"/>
      <c r="BM943" s="128"/>
      <c r="BN943" s="128"/>
      <c r="BO943" s="128"/>
      <c r="BP943" s="128"/>
      <c r="BQ943" s="128"/>
      <c r="BR943" s="128"/>
      <c r="BS943" s="128"/>
    </row>
    <row r="944" spans="1:71" ht="15.75" customHeight="1" x14ac:dyDescent="0.35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  <c r="AX944" s="128"/>
      <c r="AY944" s="128"/>
      <c r="AZ944" s="128"/>
      <c r="BA944" s="128"/>
      <c r="BB944" s="128"/>
      <c r="BC944" s="128"/>
      <c r="BD944" s="128"/>
      <c r="BE944" s="128"/>
      <c r="BF944" s="128"/>
      <c r="BG944" s="128"/>
      <c r="BH944" s="128"/>
      <c r="BI944" s="128"/>
      <c r="BJ944" s="128"/>
      <c r="BK944" s="128"/>
      <c r="BL944" s="128"/>
      <c r="BM944" s="128"/>
      <c r="BN944" s="128"/>
      <c r="BO944" s="128"/>
      <c r="BP944" s="128"/>
      <c r="BQ944" s="128"/>
      <c r="BR944" s="128"/>
      <c r="BS944" s="128"/>
    </row>
    <row r="945" spans="1:71" ht="15.75" customHeight="1" x14ac:dyDescent="0.3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  <c r="AX945" s="128"/>
      <c r="AY945" s="128"/>
      <c r="AZ945" s="128"/>
      <c r="BA945" s="128"/>
      <c r="BB945" s="128"/>
      <c r="BC945" s="128"/>
      <c r="BD945" s="128"/>
      <c r="BE945" s="128"/>
      <c r="BF945" s="128"/>
      <c r="BG945" s="128"/>
      <c r="BH945" s="128"/>
      <c r="BI945" s="128"/>
      <c r="BJ945" s="128"/>
      <c r="BK945" s="128"/>
      <c r="BL945" s="128"/>
      <c r="BM945" s="128"/>
      <c r="BN945" s="128"/>
      <c r="BO945" s="128"/>
      <c r="BP945" s="128"/>
      <c r="BQ945" s="128"/>
      <c r="BR945" s="128"/>
      <c r="BS945" s="128"/>
    </row>
    <row r="946" spans="1:71" ht="15.75" customHeight="1" x14ac:dyDescent="0.35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  <c r="AX946" s="128"/>
      <c r="AY946" s="128"/>
      <c r="AZ946" s="128"/>
      <c r="BA946" s="128"/>
      <c r="BB946" s="128"/>
      <c r="BC946" s="128"/>
      <c r="BD946" s="128"/>
      <c r="BE946" s="128"/>
      <c r="BF946" s="128"/>
      <c r="BG946" s="128"/>
      <c r="BH946" s="128"/>
      <c r="BI946" s="128"/>
      <c r="BJ946" s="128"/>
      <c r="BK946" s="128"/>
      <c r="BL946" s="128"/>
      <c r="BM946" s="128"/>
      <c r="BN946" s="128"/>
      <c r="BO946" s="128"/>
      <c r="BP946" s="128"/>
      <c r="BQ946" s="128"/>
      <c r="BR946" s="128"/>
      <c r="BS946" s="128"/>
    </row>
    <row r="947" spans="1:71" ht="15.75" customHeight="1" x14ac:dyDescent="0.35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  <c r="AX947" s="128"/>
      <c r="AY947" s="128"/>
      <c r="AZ947" s="128"/>
      <c r="BA947" s="128"/>
      <c r="BB947" s="128"/>
      <c r="BC947" s="128"/>
      <c r="BD947" s="128"/>
      <c r="BE947" s="128"/>
      <c r="BF947" s="128"/>
      <c r="BG947" s="128"/>
      <c r="BH947" s="128"/>
      <c r="BI947" s="128"/>
      <c r="BJ947" s="128"/>
      <c r="BK947" s="128"/>
      <c r="BL947" s="128"/>
      <c r="BM947" s="128"/>
      <c r="BN947" s="128"/>
      <c r="BO947" s="128"/>
      <c r="BP947" s="128"/>
      <c r="BQ947" s="128"/>
      <c r="BR947" s="128"/>
      <c r="BS947" s="128"/>
    </row>
    <row r="948" spans="1:71" ht="15.75" customHeight="1" x14ac:dyDescent="0.35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  <c r="AX948" s="128"/>
      <c r="AY948" s="128"/>
      <c r="AZ948" s="128"/>
      <c r="BA948" s="128"/>
      <c r="BB948" s="128"/>
      <c r="BC948" s="128"/>
      <c r="BD948" s="128"/>
      <c r="BE948" s="128"/>
      <c r="BF948" s="128"/>
      <c r="BG948" s="128"/>
      <c r="BH948" s="128"/>
      <c r="BI948" s="128"/>
      <c r="BJ948" s="128"/>
      <c r="BK948" s="128"/>
      <c r="BL948" s="128"/>
      <c r="BM948" s="128"/>
      <c r="BN948" s="128"/>
      <c r="BO948" s="128"/>
      <c r="BP948" s="128"/>
      <c r="BQ948" s="128"/>
      <c r="BR948" s="128"/>
      <c r="BS948" s="128"/>
    </row>
    <row r="949" spans="1:71" ht="15.75" customHeight="1" x14ac:dyDescent="0.35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  <c r="AX949" s="128"/>
      <c r="AY949" s="128"/>
      <c r="AZ949" s="128"/>
      <c r="BA949" s="128"/>
      <c r="BB949" s="128"/>
      <c r="BC949" s="128"/>
      <c r="BD949" s="128"/>
      <c r="BE949" s="128"/>
      <c r="BF949" s="128"/>
      <c r="BG949" s="128"/>
      <c r="BH949" s="128"/>
      <c r="BI949" s="128"/>
      <c r="BJ949" s="128"/>
      <c r="BK949" s="128"/>
      <c r="BL949" s="128"/>
      <c r="BM949" s="128"/>
      <c r="BN949" s="128"/>
      <c r="BO949" s="128"/>
      <c r="BP949" s="128"/>
      <c r="BQ949" s="128"/>
      <c r="BR949" s="128"/>
      <c r="BS949" s="128"/>
    </row>
    <row r="950" spans="1:71" ht="15.75" customHeight="1" x14ac:dyDescent="0.35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  <c r="AX950" s="128"/>
      <c r="AY950" s="128"/>
      <c r="AZ950" s="128"/>
      <c r="BA950" s="128"/>
      <c r="BB950" s="128"/>
      <c r="BC950" s="128"/>
      <c r="BD950" s="128"/>
      <c r="BE950" s="128"/>
      <c r="BF950" s="128"/>
      <c r="BG950" s="128"/>
      <c r="BH950" s="128"/>
      <c r="BI950" s="128"/>
      <c r="BJ950" s="128"/>
      <c r="BK950" s="128"/>
      <c r="BL950" s="128"/>
      <c r="BM950" s="128"/>
      <c r="BN950" s="128"/>
      <c r="BO950" s="128"/>
      <c r="BP950" s="128"/>
      <c r="BQ950" s="128"/>
      <c r="BR950" s="128"/>
      <c r="BS950" s="128"/>
    </row>
    <row r="951" spans="1:71" ht="15.75" customHeight="1" x14ac:dyDescent="0.35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  <c r="AO951" s="128"/>
      <c r="AP951" s="128"/>
      <c r="AQ951" s="128"/>
      <c r="AR951" s="128"/>
      <c r="AS951" s="128"/>
      <c r="AT951" s="128"/>
      <c r="AU951" s="128"/>
      <c r="AV951" s="128"/>
      <c r="AW951" s="128"/>
      <c r="AX951" s="128"/>
      <c r="AY951" s="128"/>
      <c r="AZ951" s="128"/>
      <c r="BA951" s="128"/>
      <c r="BB951" s="128"/>
      <c r="BC951" s="128"/>
      <c r="BD951" s="128"/>
      <c r="BE951" s="128"/>
      <c r="BF951" s="128"/>
      <c r="BG951" s="128"/>
      <c r="BH951" s="128"/>
      <c r="BI951" s="128"/>
      <c r="BJ951" s="128"/>
      <c r="BK951" s="128"/>
      <c r="BL951" s="128"/>
      <c r="BM951" s="128"/>
      <c r="BN951" s="128"/>
      <c r="BO951" s="128"/>
      <c r="BP951" s="128"/>
      <c r="BQ951" s="128"/>
      <c r="BR951" s="128"/>
      <c r="BS951" s="128"/>
    </row>
    <row r="952" spans="1:71" ht="15.75" customHeight="1" x14ac:dyDescent="0.35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  <c r="AX952" s="128"/>
      <c r="AY952" s="128"/>
      <c r="AZ952" s="128"/>
      <c r="BA952" s="128"/>
      <c r="BB952" s="128"/>
      <c r="BC952" s="128"/>
      <c r="BD952" s="128"/>
      <c r="BE952" s="128"/>
      <c r="BF952" s="128"/>
      <c r="BG952" s="128"/>
      <c r="BH952" s="128"/>
      <c r="BI952" s="128"/>
      <c r="BJ952" s="128"/>
      <c r="BK952" s="128"/>
      <c r="BL952" s="128"/>
      <c r="BM952" s="128"/>
      <c r="BN952" s="128"/>
      <c r="BO952" s="128"/>
      <c r="BP952" s="128"/>
      <c r="BQ952" s="128"/>
      <c r="BR952" s="128"/>
      <c r="BS952" s="128"/>
    </row>
    <row r="953" spans="1:71" ht="15.75" customHeight="1" x14ac:dyDescent="0.35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  <c r="AX953" s="128"/>
      <c r="AY953" s="128"/>
      <c r="AZ953" s="128"/>
      <c r="BA953" s="128"/>
      <c r="BB953" s="128"/>
      <c r="BC953" s="128"/>
      <c r="BD953" s="128"/>
      <c r="BE953" s="128"/>
      <c r="BF953" s="128"/>
      <c r="BG953" s="128"/>
      <c r="BH953" s="128"/>
      <c r="BI953" s="128"/>
      <c r="BJ953" s="128"/>
      <c r="BK953" s="128"/>
      <c r="BL953" s="128"/>
      <c r="BM953" s="128"/>
      <c r="BN953" s="128"/>
      <c r="BO953" s="128"/>
      <c r="BP953" s="128"/>
      <c r="BQ953" s="128"/>
      <c r="BR953" s="128"/>
      <c r="BS953" s="128"/>
    </row>
    <row r="954" spans="1:71" ht="15.75" customHeight="1" x14ac:dyDescent="0.35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  <c r="AX954" s="128"/>
      <c r="AY954" s="128"/>
      <c r="AZ954" s="128"/>
      <c r="BA954" s="128"/>
      <c r="BB954" s="128"/>
      <c r="BC954" s="128"/>
      <c r="BD954" s="128"/>
      <c r="BE954" s="128"/>
      <c r="BF954" s="128"/>
      <c r="BG954" s="128"/>
      <c r="BH954" s="128"/>
      <c r="BI954" s="128"/>
      <c r="BJ954" s="128"/>
      <c r="BK954" s="128"/>
      <c r="BL954" s="128"/>
      <c r="BM954" s="128"/>
      <c r="BN954" s="128"/>
      <c r="BO954" s="128"/>
      <c r="BP954" s="128"/>
      <c r="BQ954" s="128"/>
      <c r="BR954" s="128"/>
      <c r="BS954" s="128"/>
    </row>
    <row r="955" spans="1:71" ht="15.75" customHeight="1" x14ac:dyDescent="0.3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  <c r="AP955" s="128"/>
      <c r="AQ955" s="128"/>
      <c r="AR955" s="128"/>
      <c r="AS955" s="128"/>
      <c r="AT955" s="128"/>
      <c r="AU955" s="128"/>
      <c r="AV955" s="128"/>
      <c r="AW955" s="128"/>
      <c r="AX955" s="128"/>
      <c r="AY955" s="128"/>
      <c r="AZ955" s="128"/>
      <c r="BA955" s="128"/>
      <c r="BB955" s="128"/>
      <c r="BC955" s="128"/>
      <c r="BD955" s="128"/>
      <c r="BE955" s="128"/>
      <c r="BF955" s="128"/>
      <c r="BG955" s="128"/>
      <c r="BH955" s="128"/>
      <c r="BI955" s="128"/>
      <c r="BJ955" s="128"/>
      <c r="BK955" s="128"/>
      <c r="BL955" s="128"/>
      <c r="BM955" s="128"/>
      <c r="BN955" s="128"/>
      <c r="BO955" s="128"/>
      <c r="BP955" s="128"/>
      <c r="BQ955" s="128"/>
      <c r="BR955" s="128"/>
      <c r="BS955" s="128"/>
    </row>
    <row r="956" spans="1:71" ht="15.75" customHeight="1" x14ac:dyDescent="0.35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8"/>
      <c r="BC956" s="128"/>
      <c r="BD956" s="128"/>
      <c r="BE956" s="128"/>
      <c r="BF956" s="128"/>
      <c r="BG956" s="128"/>
      <c r="BH956" s="128"/>
      <c r="BI956" s="128"/>
      <c r="BJ956" s="128"/>
      <c r="BK956" s="128"/>
      <c r="BL956" s="128"/>
      <c r="BM956" s="128"/>
      <c r="BN956" s="128"/>
      <c r="BO956" s="128"/>
      <c r="BP956" s="128"/>
      <c r="BQ956" s="128"/>
      <c r="BR956" s="128"/>
      <c r="BS956" s="128"/>
    </row>
    <row r="957" spans="1:71" ht="15.75" customHeight="1" x14ac:dyDescent="0.35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  <c r="AX957" s="128"/>
      <c r="AY957" s="128"/>
      <c r="AZ957" s="128"/>
      <c r="BA957" s="128"/>
      <c r="BB957" s="128"/>
      <c r="BC957" s="128"/>
      <c r="BD957" s="128"/>
      <c r="BE957" s="128"/>
      <c r="BF957" s="128"/>
      <c r="BG957" s="128"/>
      <c r="BH957" s="128"/>
      <c r="BI957" s="128"/>
      <c r="BJ957" s="128"/>
      <c r="BK957" s="128"/>
      <c r="BL957" s="128"/>
      <c r="BM957" s="128"/>
      <c r="BN957" s="128"/>
      <c r="BO957" s="128"/>
      <c r="BP957" s="128"/>
      <c r="BQ957" s="128"/>
      <c r="BR957" s="128"/>
      <c r="BS957" s="128"/>
    </row>
    <row r="958" spans="1:71" ht="15.75" customHeight="1" x14ac:dyDescent="0.35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  <c r="AO958" s="128"/>
      <c r="AP958" s="128"/>
      <c r="AQ958" s="128"/>
      <c r="AR958" s="128"/>
      <c r="AS958" s="128"/>
      <c r="AT958" s="128"/>
      <c r="AU958" s="128"/>
      <c r="AV958" s="128"/>
      <c r="AW958" s="128"/>
      <c r="AX958" s="128"/>
      <c r="AY958" s="128"/>
      <c r="AZ958" s="128"/>
      <c r="BA958" s="128"/>
      <c r="BB958" s="128"/>
      <c r="BC958" s="128"/>
      <c r="BD958" s="128"/>
      <c r="BE958" s="128"/>
      <c r="BF958" s="128"/>
      <c r="BG958" s="128"/>
      <c r="BH958" s="128"/>
      <c r="BI958" s="128"/>
      <c r="BJ958" s="128"/>
      <c r="BK958" s="128"/>
      <c r="BL958" s="128"/>
      <c r="BM958" s="128"/>
      <c r="BN958" s="128"/>
      <c r="BO958" s="128"/>
      <c r="BP958" s="128"/>
      <c r="BQ958" s="128"/>
      <c r="BR958" s="128"/>
      <c r="BS958" s="128"/>
    </row>
    <row r="959" spans="1:71" ht="15.75" customHeight="1" x14ac:dyDescent="0.35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  <c r="AO959" s="128"/>
      <c r="AP959" s="128"/>
      <c r="AQ959" s="128"/>
      <c r="AR959" s="128"/>
      <c r="AS959" s="128"/>
      <c r="AT959" s="128"/>
      <c r="AU959" s="128"/>
      <c r="AV959" s="128"/>
      <c r="AW959" s="128"/>
      <c r="AX959" s="128"/>
      <c r="AY959" s="128"/>
      <c r="AZ959" s="128"/>
      <c r="BA959" s="128"/>
      <c r="BB959" s="128"/>
      <c r="BC959" s="128"/>
      <c r="BD959" s="128"/>
      <c r="BE959" s="128"/>
      <c r="BF959" s="128"/>
      <c r="BG959" s="128"/>
      <c r="BH959" s="128"/>
      <c r="BI959" s="128"/>
      <c r="BJ959" s="128"/>
      <c r="BK959" s="128"/>
      <c r="BL959" s="128"/>
      <c r="BM959" s="128"/>
      <c r="BN959" s="128"/>
      <c r="BO959" s="128"/>
      <c r="BP959" s="128"/>
      <c r="BQ959" s="128"/>
      <c r="BR959" s="128"/>
      <c r="BS959" s="128"/>
    </row>
    <row r="960" spans="1:71" ht="15.75" customHeight="1" x14ac:dyDescent="0.35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  <c r="AO960" s="128"/>
      <c r="AP960" s="128"/>
      <c r="AQ960" s="128"/>
      <c r="AR960" s="128"/>
      <c r="AS960" s="128"/>
      <c r="AT960" s="128"/>
      <c r="AU960" s="128"/>
      <c r="AV960" s="128"/>
      <c r="AW960" s="128"/>
      <c r="AX960" s="128"/>
      <c r="AY960" s="128"/>
      <c r="AZ960" s="128"/>
      <c r="BA960" s="128"/>
      <c r="BB960" s="128"/>
      <c r="BC960" s="128"/>
      <c r="BD960" s="128"/>
      <c r="BE960" s="128"/>
      <c r="BF960" s="128"/>
      <c r="BG960" s="128"/>
      <c r="BH960" s="128"/>
      <c r="BI960" s="128"/>
      <c r="BJ960" s="128"/>
      <c r="BK960" s="128"/>
      <c r="BL960" s="128"/>
      <c r="BM960" s="128"/>
      <c r="BN960" s="128"/>
      <c r="BO960" s="128"/>
      <c r="BP960" s="128"/>
      <c r="BQ960" s="128"/>
      <c r="BR960" s="128"/>
      <c r="BS960" s="128"/>
    </row>
    <row r="961" spans="1:71" ht="15.75" customHeight="1" x14ac:dyDescent="0.35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  <c r="AN961" s="128"/>
      <c r="AO961" s="128"/>
      <c r="AP961" s="128"/>
      <c r="AQ961" s="128"/>
      <c r="AR961" s="128"/>
      <c r="AS961" s="128"/>
      <c r="AT961" s="128"/>
      <c r="AU961" s="128"/>
      <c r="AV961" s="128"/>
      <c r="AW961" s="128"/>
      <c r="AX961" s="128"/>
      <c r="AY961" s="128"/>
      <c r="AZ961" s="128"/>
      <c r="BA961" s="128"/>
      <c r="BB961" s="128"/>
      <c r="BC961" s="128"/>
      <c r="BD961" s="128"/>
      <c r="BE961" s="128"/>
      <c r="BF961" s="128"/>
      <c r="BG961" s="128"/>
      <c r="BH961" s="128"/>
      <c r="BI961" s="128"/>
      <c r="BJ961" s="128"/>
      <c r="BK961" s="128"/>
      <c r="BL961" s="128"/>
      <c r="BM961" s="128"/>
      <c r="BN961" s="128"/>
      <c r="BO961" s="128"/>
      <c r="BP961" s="128"/>
      <c r="BQ961" s="128"/>
      <c r="BR961" s="128"/>
      <c r="BS961" s="128"/>
    </row>
    <row r="962" spans="1:71" ht="15.75" customHeight="1" x14ac:dyDescent="0.35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  <c r="AO962" s="128"/>
      <c r="AP962" s="128"/>
      <c r="AQ962" s="128"/>
      <c r="AR962" s="128"/>
      <c r="AS962" s="128"/>
      <c r="AT962" s="128"/>
      <c r="AU962" s="128"/>
      <c r="AV962" s="128"/>
      <c r="AW962" s="128"/>
      <c r="AX962" s="128"/>
      <c r="AY962" s="128"/>
      <c r="AZ962" s="128"/>
      <c r="BA962" s="128"/>
      <c r="BB962" s="128"/>
      <c r="BC962" s="128"/>
      <c r="BD962" s="128"/>
      <c r="BE962" s="128"/>
      <c r="BF962" s="128"/>
      <c r="BG962" s="128"/>
      <c r="BH962" s="128"/>
      <c r="BI962" s="128"/>
      <c r="BJ962" s="128"/>
      <c r="BK962" s="128"/>
      <c r="BL962" s="128"/>
      <c r="BM962" s="128"/>
      <c r="BN962" s="128"/>
      <c r="BO962" s="128"/>
      <c r="BP962" s="128"/>
      <c r="BQ962" s="128"/>
      <c r="BR962" s="128"/>
      <c r="BS962" s="128"/>
    </row>
    <row r="963" spans="1:71" ht="15.75" customHeight="1" x14ac:dyDescent="0.35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  <c r="AO963" s="128"/>
      <c r="AP963" s="128"/>
      <c r="AQ963" s="128"/>
      <c r="AR963" s="128"/>
      <c r="AS963" s="128"/>
      <c r="AT963" s="128"/>
      <c r="AU963" s="128"/>
      <c r="AV963" s="128"/>
      <c r="AW963" s="128"/>
      <c r="AX963" s="128"/>
      <c r="AY963" s="128"/>
      <c r="AZ963" s="128"/>
      <c r="BA963" s="128"/>
      <c r="BB963" s="128"/>
      <c r="BC963" s="128"/>
      <c r="BD963" s="128"/>
      <c r="BE963" s="128"/>
      <c r="BF963" s="128"/>
      <c r="BG963" s="128"/>
      <c r="BH963" s="128"/>
      <c r="BI963" s="128"/>
      <c r="BJ963" s="128"/>
      <c r="BK963" s="128"/>
      <c r="BL963" s="128"/>
      <c r="BM963" s="128"/>
      <c r="BN963" s="128"/>
      <c r="BO963" s="128"/>
      <c r="BP963" s="128"/>
      <c r="BQ963" s="128"/>
      <c r="BR963" s="128"/>
      <c r="BS963" s="128"/>
    </row>
    <row r="964" spans="1:71" ht="15.75" customHeight="1" x14ac:dyDescent="0.35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  <c r="AO964" s="128"/>
      <c r="AP964" s="128"/>
      <c r="AQ964" s="128"/>
      <c r="AR964" s="128"/>
      <c r="AS964" s="128"/>
      <c r="AT964" s="128"/>
      <c r="AU964" s="128"/>
      <c r="AV964" s="128"/>
      <c r="AW964" s="128"/>
      <c r="AX964" s="128"/>
      <c r="AY964" s="128"/>
      <c r="AZ964" s="128"/>
      <c r="BA964" s="128"/>
      <c r="BB964" s="128"/>
      <c r="BC964" s="128"/>
      <c r="BD964" s="128"/>
      <c r="BE964" s="128"/>
      <c r="BF964" s="128"/>
      <c r="BG964" s="128"/>
      <c r="BH964" s="128"/>
      <c r="BI964" s="128"/>
      <c r="BJ964" s="128"/>
      <c r="BK964" s="128"/>
      <c r="BL964" s="128"/>
      <c r="BM964" s="128"/>
      <c r="BN964" s="128"/>
      <c r="BO964" s="128"/>
      <c r="BP964" s="128"/>
      <c r="BQ964" s="128"/>
      <c r="BR964" s="128"/>
      <c r="BS964" s="128"/>
    </row>
    <row r="965" spans="1:71" ht="15.75" customHeight="1" x14ac:dyDescent="0.3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  <c r="AN965" s="128"/>
      <c r="AO965" s="128"/>
      <c r="AP965" s="128"/>
      <c r="AQ965" s="128"/>
      <c r="AR965" s="128"/>
      <c r="AS965" s="128"/>
      <c r="AT965" s="128"/>
      <c r="AU965" s="128"/>
      <c r="AV965" s="128"/>
      <c r="AW965" s="128"/>
      <c r="AX965" s="128"/>
      <c r="AY965" s="128"/>
      <c r="AZ965" s="128"/>
      <c r="BA965" s="128"/>
      <c r="BB965" s="128"/>
      <c r="BC965" s="128"/>
      <c r="BD965" s="128"/>
      <c r="BE965" s="128"/>
      <c r="BF965" s="128"/>
      <c r="BG965" s="128"/>
      <c r="BH965" s="128"/>
      <c r="BI965" s="128"/>
      <c r="BJ965" s="128"/>
      <c r="BK965" s="128"/>
      <c r="BL965" s="128"/>
      <c r="BM965" s="128"/>
      <c r="BN965" s="128"/>
      <c r="BO965" s="128"/>
      <c r="BP965" s="128"/>
      <c r="BQ965" s="128"/>
      <c r="BR965" s="128"/>
      <c r="BS965" s="128"/>
    </row>
    <row r="966" spans="1:71" ht="15.75" customHeight="1" x14ac:dyDescent="0.35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  <c r="AO966" s="128"/>
      <c r="AP966" s="128"/>
      <c r="AQ966" s="128"/>
      <c r="AR966" s="128"/>
      <c r="AS966" s="128"/>
      <c r="AT966" s="128"/>
      <c r="AU966" s="128"/>
      <c r="AV966" s="128"/>
      <c r="AW966" s="128"/>
      <c r="AX966" s="128"/>
      <c r="AY966" s="128"/>
      <c r="AZ966" s="128"/>
      <c r="BA966" s="128"/>
      <c r="BB966" s="128"/>
      <c r="BC966" s="128"/>
      <c r="BD966" s="128"/>
      <c r="BE966" s="128"/>
      <c r="BF966" s="128"/>
      <c r="BG966" s="128"/>
      <c r="BH966" s="128"/>
      <c r="BI966" s="128"/>
      <c r="BJ966" s="128"/>
      <c r="BK966" s="128"/>
      <c r="BL966" s="128"/>
      <c r="BM966" s="128"/>
      <c r="BN966" s="128"/>
      <c r="BO966" s="128"/>
      <c r="BP966" s="128"/>
      <c r="BQ966" s="128"/>
      <c r="BR966" s="128"/>
      <c r="BS966" s="128"/>
    </row>
    <row r="967" spans="1:71" ht="15.75" customHeight="1" x14ac:dyDescent="0.35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  <c r="AO967" s="128"/>
      <c r="AP967" s="128"/>
      <c r="AQ967" s="128"/>
      <c r="AR967" s="128"/>
      <c r="AS967" s="128"/>
      <c r="AT967" s="128"/>
      <c r="AU967" s="128"/>
      <c r="AV967" s="128"/>
      <c r="AW967" s="128"/>
      <c r="AX967" s="128"/>
      <c r="AY967" s="128"/>
      <c r="AZ967" s="128"/>
      <c r="BA967" s="128"/>
      <c r="BB967" s="128"/>
      <c r="BC967" s="128"/>
      <c r="BD967" s="128"/>
      <c r="BE967" s="128"/>
      <c r="BF967" s="128"/>
      <c r="BG967" s="128"/>
      <c r="BH967" s="128"/>
      <c r="BI967" s="128"/>
      <c r="BJ967" s="128"/>
      <c r="BK967" s="128"/>
      <c r="BL967" s="128"/>
      <c r="BM967" s="128"/>
      <c r="BN967" s="128"/>
      <c r="BO967" s="128"/>
      <c r="BP967" s="128"/>
      <c r="BQ967" s="128"/>
      <c r="BR967" s="128"/>
      <c r="BS967" s="128"/>
    </row>
    <row r="968" spans="1:71" ht="15.75" customHeight="1" x14ac:dyDescent="0.35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  <c r="AO968" s="128"/>
      <c r="AP968" s="128"/>
      <c r="AQ968" s="128"/>
      <c r="AR968" s="128"/>
      <c r="AS968" s="128"/>
      <c r="AT968" s="128"/>
      <c r="AU968" s="128"/>
      <c r="AV968" s="128"/>
      <c r="AW968" s="128"/>
      <c r="AX968" s="128"/>
      <c r="AY968" s="128"/>
      <c r="AZ968" s="128"/>
      <c r="BA968" s="128"/>
      <c r="BB968" s="128"/>
      <c r="BC968" s="128"/>
      <c r="BD968" s="128"/>
      <c r="BE968" s="128"/>
      <c r="BF968" s="128"/>
      <c r="BG968" s="128"/>
      <c r="BH968" s="128"/>
      <c r="BI968" s="128"/>
      <c r="BJ968" s="128"/>
      <c r="BK968" s="128"/>
      <c r="BL968" s="128"/>
      <c r="BM968" s="128"/>
      <c r="BN968" s="128"/>
      <c r="BO968" s="128"/>
      <c r="BP968" s="128"/>
      <c r="BQ968" s="128"/>
      <c r="BR968" s="128"/>
      <c r="BS968" s="128"/>
    </row>
    <row r="969" spans="1:71" ht="15.75" customHeight="1" x14ac:dyDescent="0.35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  <c r="AO969" s="128"/>
      <c r="AP969" s="128"/>
      <c r="AQ969" s="128"/>
      <c r="AR969" s="128"/>
      <c r="AS969" s="128"/>
      <c r="AT969" s="128"/>
      <c r="AU969" s="128"/>
      <c r="AV969" s="128"/>
      <c r="AW969" s="128"/>
      <c r="AX969" s="128"/>
      <c r="AY969" s="128"/>
      <c r="AZ969" s="128"/>
      <c r="BA969" s="128"/>
      <c r="BB969" s="128"/>
      <c r="BC969" s="128"/>
      <c r="BD969" s="128"/>
      <c r="BE969" s="128"/>
      <c r="BF969" s="128"/>
      <c r="BG969" s="128"/>
      <c r="BH969" s="128"/>
      <c r="BI969" s="128"/>
      <c r="BJ969" s="128"/>
      <c r="BK969" s="128"/>
      <c r="BL969" s="128"/>
      <c r="BM969" s="128"/>
      <c r="BN969" s="128"/>
      <c r="BO969" s="128"/>
      <c r="BP969" s="128"/>
      <c r="BQ969" s="128"/>
      <c r="BR969" s="128"/>
      <c r="BS969" s="128"/>
    </row>
    <row r="970" spans="1:71" ht="15.75" customHeight="1" x14ac:dyDescent="0.35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  <c r="AO970" s="128"/>
      <c r="AP970" s="128"/>
      <c r="AQ970" s="128"/>
      <c r="AR970" s="128"/>
      <c r="AS970" s="128"/>
      <c r="AT970" s="128"/>
      <c r="AU970" s="128"/>
      <c r="AV970" s="128"/>
      <c r="AW970" s="128"/>
      <c r="AX970" s="128"/>
      <c r="AY970" s="128"/>
      <c r="AZ970" s="128"/>
      <c r="BA970" s="128"/>
      <c r="BB970" s="128"/>
      <c r="BC970" s="128"/>
      <c r="BD970" s="128"/>
      <c r="BE970" s="128"/>
      <c r="BF970" s="128"/>
      <c r="BG970" s="128"/>
      <c r="BH970" s="128"/>
      <c r="BI970" s="128"/>
      <c r="BJ970" s="128"/>
      <c r="BK970" s="128"/>
      <c r="BL970" s="128"/>
      <c r="BM970" s="128"/>
      <c r="BN970" s="128"/>
      <c r="BO970" s="128"/>
      <c r="BP970" s="128"/>
      <c r="BQ970" s="128"/>
      <c r="BR970" s="128"/>
      <c r="BS970" s="128"/>
    </row>
    <row r="971" spans="1:71" ht="15.75" customHeight="1" x14ac:dyDescent="0.35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  <c r="AO971" s="128"/>
      <c r="AP971" s="128"/>
      <c r="AQ971" s="128"/>
      <c r="AR971" s="128"/>
      <c r="AS971" s="128"/>
      <c r="AT971" s="128"/>
      <c r="AU971" s="128"/>
      <c r="AV971" s="128"/>
      <c r="AW971" s="128"/>
      <c r="AX971" s="128"/>
      <c r="AY971" s="128"/>
      <c r="AZ971" s="128"/>
      <c r="BA971" s="128"/>
      <c r="BB971" s="128"/>
      <c r="BC971" s="128"/>
      <c r="BD971" s="128"/>
      <c r="BE971" s="128"/>
      <c r="BF971" s="128"/>
      <c r="BG971" s="128"/>
      <c r="BH971" s="128"/>
      <c r="BI971" s="128"/>
      <c r="BJ971" s="128"/>
      <c r="BK971" s="128"/>
      <c r="BL971" s="128"/>
      <c r="BM971" s="128"/>
      <c r="BN971" s="128"/>
      <c r="BO971" s="128"/>
      <c r="BP971" s="128"/>
      <c r="BQ971" s="128"/>
      <c r="BR971" s="128"/>
      <c r="BS971" s="128"/>
    </row>
    <row r="972" spans="1:71" ht="15.75" customHeight="1" x14ac:dyDescent="0.35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  <c r="AO972" s="128"/>
      <c r="AP972" s="128"/>
      <c r="AQ972" s="128"/>
      <c r="AR972" s="128"/>
      <c r="AS972" s="128"/>
      <c r="AT972" s="128"/>
      <c r="AU972" s="128"/>
      <c r="AV972" s="128"/>
      <c r="AW972" s="128"/>
      <c r="AX972" s="128"/>
      <c r="AY972" s="128"/>
      <c r="AZ972" s="128"/>
      <c r="BA972" s="128"/>
      <c r="BB972" s="128"/>
      <c r="BC972" s="128"/>
      <c r="BD972" s="128"/>
      <c r="BE972" s="128"/>
      <c r="BF972" s="128"/>
      <c r="BG972" s="128"/>
      <c r="BH972" s="128"/>
      <c r="BI972" s="128"/>
      <c r="BJ972" s="128"/>
      <c r="BK972" s="128"/>
      <c r="BL972" s="128"/>
      <c r="BM972" s="128"/>
      <c r="BN972" s="128"/>
      <c r="BO972" s="128"/>
      <c r="BP972" s="128"/>
      <c r="BQ972" s="128"/>
      <c r="BR972" s="128"/>
      <c r="BS972" s="128"/>
    </row>
    <row r="973" spans="1:71" ht="15.75" customHeight="1" x14ac:dyDescent="0.35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  <c r="AO973" s="128"/>
      <c r="AP973" s="128"/>
      <c r="AQ973" s="128"/>
      <c r="AR973" s="128"/>
      <c r="AS973" s="128"/>
      <c r="AT973" s="128"/>
      <c r="AU973" s="128"/>
      <c r="AV973" s="128"/>
      <c r="AW973" s="128"/>
      <c r="AX973" s="128"/>
      <c r="AY973" s="128"/>
      <c r="AZ973" s="128"/>
      <c r="BA973" s="128"/>
      <c r="BB973" s="128"/>
      <c r="BC973" s="128"/>
      <c r="BD973" s="128"/>
      <c r="BE973" s="128"/>
      <c r="BF973" s="128"/>
      <c r="BG973" s="128"/>
      <c r="BH973" s="128"/>
      <c r="BI973" s="128"/>
      <c r="BJ973" s="128"/>
      <c r="BK973" s="128"/>
      <c r="BL973" s="128"/>
      <c r="BM973" s="128"/>
      <c r="BN973" s="128"/>
      <c r="BO973" s="128"/>
      <c r="BP973" s="128"/>
      <c r="BQ973" s="128"/>
      <c r="BR973" s="128"/>
      <c r="BS973" s="128"/>
    </row>
    <row r="974" spans="1:71" ht="15.75" customHeight="1" x14ac:dyDescent="0.35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  <c r="AN974" s="128"/>
      <c r="AO974" s="128"/>
      <c r="AP974" s="128"/>
      <c r="AQ974" s="128"/>
      <c r="AR974" s="128"/>
      <c r="AS974" s="128"/>
      <c r="AT974" s="128"/>
      <c r="AU974" s="128"/>
      <c r="AV974" s="128"/>
      <c r="AW974" s="128"/>
      <c r="AX974" s="128"/>
      <c r="AY974" s="128"/>
      <c r="AZ974" s="128"/>
      <c r="BA974" s="128"/>
      <c r="BB974" s="128"/>
      <c r="BC974" s="128"/>
      <c r="BD974" s="128"/>
      <c r="BE974" s="128"/>
      <c r="BF974" s="128"/>
      <c r="BG974" s="128"/>
      <c r="BH974" s="128"/>
      <c r="BI974" s="128"/>
      <c r="BJ974" s="128"/>
      <c r="BK974" s="128"/>
      <c r="BL974" s="128"/>
      <c r="BM974" s="128"/>
      <c r="BN974" s="128"/>
      <c r="BO974" s="128"/>
      <c r="BP974" s="128"/>
      <c r="BQ974" s="128"/>
      <c r="BR974" s="128"/>
      <c r="BS974" s="128"/>
    </row>
    <row r="975" spans="1:71" ht="15.75" customHeight="1" x14ac:dyDescent="0.3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  <c r="AO975" s="128"/>
      <c r="AP975" s="128"/>
      <c r="AQ975" s="128"/>
      <c r="AR975" s="128"/>
      <c r="AS975" s="128"/>
      <c r="AT975" s="128"/>
      <c r="AU975" s="128"/>
      <c r="AV975" s="128"/>
      <c r="AW975" s="128"/>
      <c r="AX975" s="128"/>
      <c r="AY975" s="128"/>
      <c r="AZ975" s="128"/>
      <c r="BA975" s="128"/>
      <c r="BB975" s="128"/>
      <c r="BC975" s="128"/>
      <c r="BD975" s="128"/>
      <c r="BE975" s="128"/>
      <c r="BF975" s="128"/>
      <c r="BG975" s="128"/>
      <c r="BH975" s="128"/>
      <c r="BI975" s="128"/>
      <c r="BJ975" s="128"/>
      <c r="BK975" s="128"/>
      <c r="BL975" s="128"/>
      <c r="BM975" s="128"/>
      <c r="BN975" s="128"/>
      <c r="BO975" s="128"/>
      <c r="BP975" s="128"/>
      <c r="BQ975" s="128"/>
      <c r="BR975" s="128"/>
      <c r="BS975" s="128"/>
    </row>
    <row r="976" spans="1:71" ht="15.75" customHeight="1" x14ac:dyDescent="0.35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  <c r="AO976" s="128"/>
      <c r="AP976" s="128"/>
      <c r="AQ976" s="128"/>
      <c r="AR976" s="128"/>
      <c r="AS976" s="128"/>
      <c r="AT976" s="128"/>
      <c r="AU976" s="128"/>
      <c r="AV976" s="128"/>
      <c r="AW976" s="128"/>
      <c r="AX976" s="128"/>
      <c r="AY976" s="128"/>
      <c r="AZ976" s="128"/>
      <c r="BA976" s="128"/>
      <c r="BB976" s="128"/>
      <c r="BC976" s="128"/>
      <c r="BD976" s="128"/>
      <c r="BE976" s="128"/>
      <c r="BF976" s="128"/>
      <c r="BG976" s="128"/>
      <c r="BH976" s="128"/>
      <c r="BI976" s="128"/>
      <c r="BJ976" s="128"/>
      <c r="BK976" s="128"/>
      <c r="BL976" s="128"/>
      <c r="BM976" s="128"/>
      <c r="BN976" s="128"/>
      <c r="BO976" s="128"/>
      <c r="BP976" s="128"/>
      <c r="BQ976" s="128"/>
      <c r="BR976" s="128"/>
      <c r="BS976" s="128"/>
    </row>
    <row r="977" spans="1:71" ht="15.75" customHeight="1" x14ac:dyDescent="0.35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  <c r="AO977" s="128"/>
      <c r="AP977" s="128"/>
      <c r="AQ977" s="128"/>
      <c r="AR977" s="128"/>
      <c r="AS977" s="128"/>
      <c r="AT977" s="128"/>
      <c r="AU977" s="128"/>
      <c r="AV977" s="128"/>
      <c r="AW977" s="128"/>
      <c r="AX977" s="128"/>
      <c r="AY977" s="128"/>
      <c r="AZ977" s="128"/>
      <c r="BA977" s="128"/>
      <c r="BB977" s="128"/>
      <c r="BC977" s="128"/>
      <c r="BD977" s="128"/>
      <c r="BE977" s="128"/>
      <c r="BF977" s="128"/>
      <c r="BG977" s="128"/>
      <c r="BH977" s="128"/>
      <c r="BI977" s="128"/>
      <c r="BJ977" s="128"/>
      <c r="BK977" s="128"/>
      <c r="BL977" s="128"/>
      <c r="BM977" s="128"/>
      <c r="BN977" s="128"/>
      <c r="BO977" s="128"/>
      <c r="BP977" s="128"/>
      <c r="BQ977" s="128"/>
      <c r="BR977" s="128"/>
      <c r="BS977" s="128"/>
    </row>
    <row r="978" spans="1:71" ht="15.75" customHeight="1" x14ac:dyDescent="0.35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  <c r="AO978" s="128"/>
      <c r="AP978" s="128"/>
      <c r="AQ978" s="128"/>
      <c r="AR978" s="128"/>
      <c r="AS978" s="128"/>
      <c r="AT978" s="128"/>
      <c r="AU978" s="128"/>
      <c r="AV978" s="128"/>
      <c r="AW978" s="128"/>
      <c r="AX978" s="128"/>
      <c r="AY978" s="128"/>
      <c r="AZ978" s="128"/>
      <c r="BA978" s="128"/>
      <c r="BB978" s="128"/>
      <c r="BC978" s="128"/>
      <c r="BD978" s="128"/>
      <c r="BE978" s="128"/>
      <c r="BF978" s="128"/>
      <c r="BG978" s="128"/>
      <c r="BH978" s="128"/>
      <c r="BI978" s="128"/>
      <c r="BJ978" s="128"/>
      <c r="BK978" s="128"/>
      <c r="BL978" s="128"/>
      <c r="BM978" s="128"/>
      <c r="BN978" s="128"/>
      <c r="BO978" s="128"/>
      <c r="BP978" s="128"/>
      <c r="BQ978" s="128"/>
      <c r="BR978" s="128"/>
      <c r="BS978" s="128"/>
    </row>
    <row r="979" spans="1:71" ht="15.75" customHeight="1" x14ac:dyDescent="0.35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  <c r="AO979" s="128"/>
      <c r="AP979" s="128"/>
      <c r="AQ979" s="128"/>
      <c r="AR979" s="128"/>
      <c r="AS979" s="128"/>
      <c r="AT979" s="128"/>
      <c r="AU979" s="128"/>
      <c r="AV979" s="128"/>
      <c r="AW979" s="128"/>
      <c r="AX979" s="128"/>
      <c r="AY979" s="128"/>
      <c r="AZ979" s="128"/>
      <c r="BA979" s="128"/>
      <c r="BB979" s="128"/>
      <c r="BC979" s="128"/>
      <c r="BD979" s="128"/>
      <c r="BE979" s="128"/>
      <c r="BF979" s="128"/>
      <c r="BG979" s="128"/>
      <c r="BH979" s="128"/>
      <c r="BI979" s="128"/>
      <c r="BJ979" s="128"/>
      <c r="BK979" s="128"/>
      <c r="BL979" s="128"/>
      <c r="BM979" s="128"/>
      <c r="BN979" s="128"/>
      <c r="BO979" s="128"/>
      <c r="BP979" s="128"/>
      <c r="BQ979" s="128"/>
      <c r="BR979" s="128"/>
      <c r="BS979" s="128"/>
    </row>
    <row r="980" spans="1:71" ht="15.75" customHeight="1" x14ac:dyDescent="0.35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  <c r="AO980" s="128"/>
      <c r="AP980" s="128"/>
      <c r="AQ980" s="128"/>
      <c r="AR980" s="128"/>
      <c r="AS980" s="128"/>
      <c r="AT980" s="128"/>
      <c r="AU980" s="128"/>
      <c r="AV980" s="128"/>
      <c r="AW980" s="128"/>
      <c r="AX980" s="128"/>
      <c r="AY980" s="128"/>
      <c r="AZ980" s="128"/>
      <c r="BA980" s="128"/>
      <c r="BB980" s="128"/>
      <c r="BC980" s="128"/>
      <c r="BD980" s="128"/>
      <c r="BE980" s="128"/>
      <c r="BF980" s="128"/>
      <c r="BG980" s="128"/>
      <c r="BH980" s="128"/>
      <c r="BI980" s="128"/>
      <c r="BJ980" s="128"/>
      <c r="BK980" s="128"/>
      <c r="BL980" s="128"/>
      <c r="BM980" s="128"/>
      <c r="BN980" s="128"/>
      <c r="BO980" s="128"/>
      <c r="BP980" s="128"/>
      <c r="BQ980" s="128"/>
      <c r="BR980" s="128"/>
      <c r="BS980" s="128"/>
    </row>
    <row r="981" spans="1:71" ht="15.75" customHeight="1" x14ac:dyDescent="0.35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  <c r="AO981" s="128"/>
      <c r="AP981" s="128"/>
      <c r="AQ981" s="128"/>
      <c r="AR981" s="128"/>
      <c r="AS981" s="128"/>
      <c r="AT981" s="128"/>
      <c r="AU981" s="128"/>
      <c r="AV981" s="128"/>
      <c r="AW981" s="128"/>
      <c r="AX981" s="128"/>
      <c r="AY981" s="128"/>
      <c r="AZ981" s="128"/>
      <c r="BA981" s="128"/>
      <c r="BB981" s="128"/>
      <c r="BC981" s="128"/>
      <c r="BD981" s="128"/>
      <c r="BE981" s="128"/>
      <c r="BF981" s="128"/>
      <c r="BG981" s="128"/>
      <c r="BH981" s="128"/>
      <c r="BI981" s="128"/>
      <c r="BJ981" s="128"/>
      <c r="BK981" s="128"/>
      <c r="BL981" s="128"/>
      <c r="BM981" s="128"/>
      <c r="BN981" s="128"/>
      <c r="BO981" s="128"/>
      <c r="BP981" s="128"/>
      <c r="BQ981" s="128"/>
      <c r="BR981" s="128"/>
      <c r="BS981" s="128"/>
    </row>
    <row r="982" spans="1:71" ht="15.75" customHeight="1" x14ac:dyDescent="0.35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  <c r="AO982" s="128"/>
      <c r="AP982" s="128"/>
      <c r="AQ982" s="128"/>
      <c r="AR982" s="128"/>
      <c r="AS982" s="128"/>
      <c r="AT982" s="128"/>
      <c r="AU982" s="128"/>
      <c r="AV982" s="128"/>
      <c r="AW982" s="128"/>
      <c r="AX982" s="128"/>
      <c r="AY982" s="128"/>
      <c r="AZ982" s="128"/>
      <c r="BA982" s="128"/>
      <c r="BB982" s="128"/>
      <c r="BC982" s="128"/>
      <c r="BD982" s="128"/>
      <c r="BE982" s="128"/>
      <c r="BF982" s="128"/>
      <c r="BG982" s="128"/>
      <c r="BH982" s="128"/>
      <c r="BI982" s="128"/>
      <c r="BJ982" s="128"/>
      <c r="BK982" s="128"/>
      <c r="BL982" s="128"/>
      <c r="BM982" s="128"/>
      <c r="BN982" s="128"/>
      <c r="BO982" s="128"/>
      <c r="BP982" s="128"/>
      <c r="BQ982" s="128"/>
      <c r="BR982" s="128"/>
      <c r="BS982" s="128"/>
    </row>
    <row r="983" spans="1:71" ht="15.75" customHeight="1" x14ac:dyDescent="0.35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  <c r="AO983" s="128"/>
      <c r="AP983" s="128"/>
      <c r="AQ983" s="128"/>
      <c r="AR983" s="128"/>
      <c r="AS983" s="128"/>
      <c r="AT983" s="128"/>
      <c r="AU983" s="128"/>
      <c r="AV983" s="128"/>
      <c r="AW983" s="128"/>
      <c r="AX983" s="128"/>
      <c r="AY983" s="128"/>
      <c r="AZ983" s="128"/>
      <c r="BA983" s="128"/>
      <c r="BB983" s="128"/>
      <c r="BC983" s="128"/>
      <c r="BD983" s="128"/>
      <c r="BE983" s="128"/>
      <c r="BF983" s="128"/>
      <c r="BG983" s="128"/>
      <c r="BH983" s="128"/>
      <c r="BI983" s="128"/>
      <c r="BJ983" s="128"/>
      <c r="BK983" s="128"/>
      <c r="BL983" s="128"/>
      <c r="BM983" s="128"/>
      <c r="BN983" s="128"/>
      <c r="BO983" s="128"/>
      <c r="BP983" s="128"/>
      <c r="BQ983" s="128"/>
      <c r="BR983" s="128"/>
      <c r="BS983" s="128"/>
    </row>
    <row r="984" spans="1:71" ht="15.75" customHeight="1" x14ac:dyDescent="0.35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  <c r="AO984" s="128"/>
      <c r="AP984" s="128"/>
      <c r="AQ984" s="128"/>
      <c r="AR984" s="128"/>
      <c r="AS984" s="128"/>
      <c r="AT984" s="128"/>
      <c r="AU984" s="128"/>
      <c r="AV984" s="128"/>
      <c r="AW984" s="128"/>
      <c r="AX984" s="128"/>
      <c r="AY984" s="128"/>
      <c r="AZ984" s="128"/>
      <c r="BA984" s="128"/>
      <c r="BB984" s="128"/>
      <c r="BC984" s="128"/>
      <c r="BD984" s="128"/>
      <c r="BE984" s="128"/>
      <c r="BF984" s="128"/>
      <c r="BG984" s="128"/>
      <c r="BH984" s="128"/>
      <c r="BI984" s="128"/>
      <c r="BJ984" s="128"/>
      <c r="BK984" s="128"/>
      <c r="BL984" s="128"/>
      <c r="BM984" s="128"/>
      <c r="BN984" s="128"/>
      <c r="BO984" s="128"/>
      <c r="BP984" s="128"/>
      <c r="BQ984" s="128"/>
      <c r="BR984" s="128"/>
      <c r="BS984" s="128"/>
    </row>
    <row r="985" spans="1:71" ht="15.75" customHeight="1" x14ac:dyDescent="0.3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  <c r="AK985" s="128"/>
      <c r="AL985" s="128"/>
      <c r="AM985" s="128"/>
      <c r="AN985" s="128"/>
      <c r="AO985" s="128"/>
      <c r="AP985" s="128"/>
      <c r="AQ985" s="128"/>
      <c r="AR985" s="128"/>
      <c r="AS985" s="128"/>
      <c r="AT985" s="128"/>
      <c r="AU985" s="128"/>
      <c r="AV985" s="128"/>
      <c r="AW985" s="128"/>
      <c r="AX985" s="128"/>
      <c r="AY985" s="128"/>
      <c r="AZ985" s="128"/>
      <c r="BA985" s="128"/>
      <c r="BB985" s="128"/>
      <c r="BC985" s="128"/>
      <c r="BD985" s="128"/>
      <c r="BE985" s="128"/>
      <c r="BF985" s="128"/>
      <c r="BG985" s="128"/>
      <c r="BH985" s="128"/>
      <c r="BI985" s="128"/>
      <c r="BJ985" s="128"/>
      <c r="BK985" s="128"/>
      <c r="BL985" s="128"/>
      <c r="BM985" s="128"/>
      <c r="BN985" s="128"/>
      <c r="BO985" s="128"/>
      <c r="BP985" s="128"/>
      <c r="BQ985" s="128"/>
      <c r="BR985" s="128"/>
      <c r="BS985" s="128"/>
    </row>
    <row r="986" spans="1:71" ht="15.75" customHeight="1" x14ac:dyDescent="0.35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I986" s="128"/>
      <c r="AJ986" s="128"/>
      <c r="AK986" s="128"/>
      <c r="AL986" s="128"/>
      <c r="AM986" s="128"/>
      <c r="AN986" s="128"/>
      <c r="AO986" s="128"/>
      <c r="AP986" s="128"/>
      <c r="AQ986" s="128"/>
      <c r="AR986" s="128"/>
      <c r="AS986" s="128"/>
      <c r="AT986" s="128"/>
      <c r="AU986" s="128"/>
      <c r="AV986" s="128"/>
      <c r="AW986" s="128"/>
      <c r="AX986" s="128"/>
      <c r="AY986" s="128"/>
      <c r="AZ986" s="128"/>
      <c r="BA986" s="128"/>
      <c r="BB986" s="128"/>
      <c r="BC986" s="128"/>
      <c r="BD986" s="128"/>
      <c r="BE986" s="128"/>
      <c r="BF986" s="128"/>
      <c r="BG986" s="128"/>
      <c r="BH986" s="128"/>
      <c r="BI986" s="128"/>
      <c r="BJ986" s="128"/>
      <c r="BK986" s="128"/>
      <c r="BL986" s="128"/>
      <c r="BM986" s="128"/>
      <c r="BN986" s="128"/>
      <c r="BO986" s="128"/>
      <c r="BP986" s="128"/>
      <c r="BQ986" s="128"/>
      <c r="BR986" s="128"/>
      <c r="BS986" s="128"/>
    </row>
  </sheetData>
  <mergeCells count="47">
    <mergeCell ref="AG7:AI7"/>
    <mergeCell ref="AG8:AI8"/>
    <mergeCell ref="AS7:AU7"/>
    <mergeCell ref="BQ7:BS7"/>
    <mergeCell ref="BQ8:BS8"/>
    <mergeCell ref="AS8:AU8"/>
    <mergeCell ref="AV8:AX8"/>
    <mergeCell ref="AY8:BA8"/>
    <mergeCell ref="BB8:BD8"/>
    <mergeCell ref="BH8:BJ8"/>
    <mergeCell ref="BK8:BM8"/>
    <mergeCell ref="O7:Q7"/>
    <mergeCell ref="O8:Q8"/>
    <mergeCell ref="C6:BS6"/>
    <mergeCell ref="C7:E7"/>
    <mergeCell ref="F7:H7"/>
    <mergeCell ref="I7:K7"/>
    <mergeCell ref="L7:N7"/>
    <mergeCell ref="R7:T7"/>
    <mergeCell ref="U7:W7"/>
    <mergeCell ref="AV7:AX7"/>
    <mergeCell ref="AY7:BA7"/>
    <mergeCell ref="BB7:BD7"/>
    <mergeCell ref="BH7:BJ7"/>
    <mergeCell ref="BK7:BM7"/>
    <mergeCell ref="AD7:AF7"/>
    <mergeCell ref="BE7:BG7"/>
    <mergeCell ref="AA8:AC8"/>
    <mergeCell ref="AD8:AF8"/>
    <mergeCell ref="AJ8:AL8"/>
    <mergeCell ref="AM8:AO8"/>
    <mergeCell ref="AP8:AR8"/>
    <mergeCell ref="U8:W8"/>
    <mergeCell ref="X8:Z8"/>
    <mergeCell ref="BE8:BG8"/>
    <mergeCell ref="BN7:BP7"/>
    <mergeCell ref="C8:E8"/>
    <mergeCell ref="F8:H8"/>
    <mergeCell ref="I8:K8"/>
    <mergeCell ref="L8:N8"/>
    <mergeCell ref="R8:T8"/>
    <mergeCell ref="X7:Z7"/>
    <mergeCell ref="AA7:AC7"/>
    <mergeCell ref="AM7:AO7"/>
    <mergeCell ref="AJ7:AL7"/>
    <mergeCell ref="BN8:BP8"/>
    <mergeCell ref="AP7:AR7"/>
  </mergeCells>
  <conditionalFormatting sqref="AJ3">
    <cfRule type="notContainsBlanks" dxfId="0" priority="1">
      <formula>LEN(TRIM(AJ3))&gt;0</formula>
    </cfRule>
  </conditionalFormatting>
  <hyperlinks>
    <hyperlink ref="A48" r:id="rId1" xr:uid="{6A537721-57CF-42C2-BA7E-0D9883652332}"/>
  </hyperlinks>
  <pageMargins left="0.7" right="0.7" top="0.75" bottom="0.75" header="0" footer="0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987"/>
  <sheetViews>
    <sheetView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58" sqref="A58"/>
    </sheetView>
  </sheetViews>
  <sheetFormatPr defaultColWidth="14.453125" defaultRowHeight="15" customHeight="1" x14ac:dyDescent="0.35"/>
  <cols>
    <col min="1" max="2" width="18.1796875" style="1" customWidth="1"/>
    <col min="3" max="71" width="20.7265625" style="1" customWidth="1"/>
    <col min="72" max="16384" width="14.453125" style="1"/>
  </cols>
  <sheetData>
    <row r="1" spans="1:71" ht="14.25" customHeight="1" x14ac:dyDescent="0.35">
      <c r="A1" s="172"/>
      <c r="B1" s="172"/>
      <c r="C1" s="191" t="s">
        <v>1</v>
      </c>
      <c r="D1" s="191" t="s">
        <v>2</v>
      </c>
      <c r="E1" s="172"/>
      <c r="F1" s="172"/>
      <c r="G1" s="172"/>
      <c r="H1" s="172"/>
      <c r="I1" s="174"/>
      <c r="J1" s="174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0"/>
      <c r="AU1" s="170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3"/>
      <c r="BS1" s="173"/>
    </row>
    <row r="2" spans="1:71" ht="14.25" customHeight="1" x14ac:dyDescent="0.35">
      <c r="A2" s="192" t="s">
        <v>3</v>
      </c>
      <c r="B2" s="187" t="str">
        <f>'China_TWN_SIN_HKG_KR Dry'!B4</f>
        <v>FAK</v>
      </c>
      <c r="C2" s="243">
        <f>'S.E.A_JPN_SA_AU_NZ Dry '!C4</f>
        <v>46249</v>
      </c>
      <c r="D2" s="243">
        <f>'S.E.A_JPN_SA_AU_NZ Dry '!D4</f>
        <v>46265</v>
      </c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4"/>
      <c r="BR2" s="185"/>
      <c r="BS2" s="173"/>
    </row>
    <row r="3" spans="1:71" ht="14.25" customHeight="1" x14ac:dyDescent="0.35">
      <c r="A3" s="172"/>
      <c r="B3" s="172"/>
      <c r="C3" s="175"/>
      <c r="D3" s="175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72"/>
      <c r="BQ3" s="172"/>
      <c r="BR3" s="173"/>
      <c r="BS3" s="173"/>
    </row>
    <row r="4" spans="1:71" ht="14.25" customHeight="1" x14ac:dyDescent="0.35">
      <c r="A4" s="176"/>
      <c r="B4" s="176"/>
      <c r="C4" s="374" t="s">
        <v>4</v>
      </c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366"/>
      <c r="AQ4" s="366"/>
      <c r="AR4" s="366"/>
      <c r="AS4" s="366"/>
      <c r="AT4" s="366"/>
      <c r="AU4" s="366"/>
      <c r="AV4" s="366"/>
      <c r="AW4" s="366"/>
      <c r="AX4" s="366"/>
      <c r="AY4" s="366"/>
      <c r="AZ4" s="366"/>
      <c r="BA4" s="366"/>
      <c r="BB4" s="366"/>
      <c r="BC4" s="366"/>
      <c r="BD4" s="366"/>
      <c r="BE4" s="366"/>
      <c r="BF4" s="366"/>
      <c r="BG4" s="366"/>
      <c r="BH4" s="366"/>
      <c r="BI4" s="366"/>
      <c r="BJ4" s="366"/>
      <c r="BK4" s="366"/>
      <c r="BL4" s="366"/>
      <c r="BM4" s="366"/>
      <c r="BN4" s="366"/>
      <c r="BO4" s="366"/>
      <c r="BP4" s="366"/>
      <c r="BQ4" s="366"/>
      <c r="BR4" s="366"/>
      <c r="BS4" s="367"/>
    </row>
    <row r="5" spans="1:71" ht="35.5" customHeight="1" x14ac:dyDescent="0.35">
      <c r="A5" s="177"/>
      <c r="B5" s="178"/>
      <c r="C5" s="364" t="s">
        <v>5</v>
      </c>
      <c r="D5" s="361"/>
      <c r="E5" s="361"/>
      <c r="F5" s="364" t="s">
        <v>291</v>
      </c>
      <c r="G5" s="361"/>
      <c r="H5" s="361"/>
      <c r="I5" s="364" t="s">
        <v>292</v>
      </c>
      <c r="J5" s="361"/>
      <c r="K5" s="361"/>
      <c r="L5" s="364" t="s">
        <v>10</v>
      </c>
      <c r="M5" s="361"/>
      <c r="N5" s="361"/>
      <c r="O5" s="364" t="s">
        <v>7</v>
      </c>
      <c r="P5" s="361"/>
      <c r="Q5" s="361"/>
      <c r="R5" s="364" t="s">
        <v>453</v>
      </c>
      <c r="S5" s="361"/>
      <c r="T5" s="361"/>
      <c r="U5" s="364" t="s">
        <v>451</v>
      </c>
      <c r="V5" s="361"/>
      <c r="W5" s="361"/>
      <c r="X5" s="364" t="s">
        <v>293</v>
      </c>
      <c r="Y5" s="361"/>
      <c r="Z5" s="361"/>
      <c r="AA5" s="364" t="s">
        <v>11</v>
      </c>
      <c r="AB5" s="361"/>
      <c r="AC5" s="361"/>
      <c r="AD5" s="364" t="s">
        <v>12</v>
      </c>
      <c r="AE5" s="361"/>
      <c r="AF5" s="361"/>
      <c r="AG5" s="364" t="s">
        <v>488</v>
      </c>
      <c r="AH5" s="361"/>
      <c r="AI5" s="361"/>
      <c r="AJ5" s="365" t="s">
        <v>13</v>
      </c>
      <c r="AK5" s="366"/>
      <c r="AL5" s="367"/>
      <c r="AM5" s="364" t="s">
        <v>14</v>
      </c>
      <c r="AN5" s="361"/>
      <c r="AO5" s="361"/>
      <c r="AP5" s="364" t="s">
        <v>15</v>
      </c>
      <c r="AQ5" s="361"/>
      <c r="AR5" s="361"/>
      <c r="AS5" s="364" t="s">
        <v>16</v>
      </c>
      <c r="AT5" s="361"/>
      <c r="AU5" s="362"/>
      <c r="AV5" s="364" t="s">
        <v>17</v>
      </c>
      <c r="AW5" s="361"/>
      <c r="AX5" s="362"/>
      <c r="AY5" s="375" t="s">
        <v>18</v>
      </c>
      <c r="AZ5" s="361"/>
      <c r="BA5" s="362"/>
      <c r="BB5" s="364" t="s">
        <v>19</v>
      </c>
      <c r="BC5" s="361"/>
      <c r="BD5" s="362"/>
      <c r="BE5" s="364" t="s">
        <v>412</v>
      </c>
      <c r="BF5" s="361"/>
      <c r="BG5" s="362"/>
      <c r="BH5" s="360" t="s">
        <v>294</v>
      </c>
      <c r="BI5" s="361"/>
      <c r="BJ5" s="362"/>
      <c r="BK5" s="360" t="s">
        <v>295</v>
      </c>
      <c r="BL5" s="361"/>
      <c r="BM5" s="362"/>
      <c r="BN5" s="360" t="s">
        <v>22</v>
      </c>
      <c r="BO5" s="361"/>
      <c r="BP5" s="362"/>
      <c r="BQ5" s="376" t="s">
        <v>476</v>
      </c>
      <c r="BR5" s="377"/>
      <c r="BS5" s="378"/>
    </row>
    <row r="6" spans="1:71" ht="22.5" customHeight="1" x14ac:dyDescent="0.35">
      <c r="A6" s="179"/>
      <c r="B6" s="180"/>
      <c r="C6" s="363" t="s">
        <v>23</v>
      </c>
      <c r="D6" s="361"/>
      <c r="E6" s="361"/>
      <c r="F6" s="363" t="s">
        <v>296</v>
      </c>
      <c r="G6" s="361"/>
      <c r="H6" s="361"/>
      <c r="I6" s="363" t="s">
        <v>297</v>
      </c>
      <c r="J6" s="361"/>
      <c r="K6" s="361"/>
      <c r="L6" s="363" t="s">
        <v>28</v>
      </c>
      <c r="M6" s="361"/>
      <c r="N6" s="361"/>
      <c r="O6" s="363" t="s">
        <v>298</v>
      </c>
      <c r="P6" s="361"/>
      <c r="Q6" s="361"/>
      <c r="R6" s="363" t="s">
        <v>454</v>
      </c>
      <c r="S6" s="361"/>
      <c r="T6" s="361"/>
      <c r="U6" s="363" t="s">
        <v>452</v>
      </c>
      <c r="V6" s="361"/>
      <c r="W6" s="361"/>
      <c r="X6" s="363" t="s">
        <v>26</v>
      </c>
      <c r="Y6" s="361"/>
      <c r="Z6" s="361"/>
      <c r="AA6" s="363" t="s">
        <v>29</v>
      </c>
      <c r="AB6" s="361"/>
      <c r="AC6" s="361"/>
      <c r="AD6" s="363" t="s">
        <v>30</v>
      </c>
      <c r="AE6" s="361"/>
      <c r="AF6" s="361"/>
      <c r="AG6" s="363" t="s">
        <v>489</v>
      </c>
      <c r="AH6" s="361"/>
      <c r="AI6" s="361"/>
      <c r="AJ6" s="369" t="s">
        <v>31</v>
      </c>
      <c r="AK6" s="366"/>
      <c r="AL6" s="367"/>
      <c r="AM6" s="363" t="s">
        <v>32</v>
      </c>
      <c r="AN6" s="361"/>
      <c r="AO6" s="361"/>
      <c r="AP6" s="363" t="s">
        <v>33</v>
      </c>
      <c r="AQ6" s="361"/>
      <c r="AR6" s="361"/>
      <c r="AS6" s="363" t="s">
        <v>34</v>
      </c>
      <c r="AT6" s="361"/>
      <c r="AU6" s="362"/>
      <c r="AV6" s="363" t="s">
        <v>35</v>
      </c>
      <c r="AW6" s="361"/>
      <c r="AX6" s="362"/>
      <c r="AY6" s="370" t="s">
        <v>36</v>
      </c>
      <c r="AZ6" s="361"/>
      <c r="BA6" s="362"/>
      <c r="BB6" s="370" t="s">
        <v>37</v>
      </c>
      <c r="BC6" s="361"/>
      <c r="BD6" s="362"/>
      <c r="BE6" s="370" t="s">
        <v>411</v>
      </c>
      <c r="BF6" s="361"/>
      <c r="BG6" s="362"/>
      <c r="BH6" s="368" t="s">
        <v>299</v>
      </c>
      <c r="BI6" s="361"/>
      <c r="BJ6" s="362"/>
      <c r="BK6" s="368" t="s">
        <v>39</v>
      </c>
      <c r="BL6" s="361"/>
      <c r="BM6" s="362"/>
      <c r="BN6" s="368" t="s">
        <v>40</v>
      </c>
      <c r="BO6" s="361"/>
      <c r="BP6" s="362"/>
      <c r="BQ6" s="371" t="s">
        <v>41</v>
      </c>
      <c r="BR6" s="372"/>
      <c r="BS6" s="373"/>
    </row>
    <row r="7" spans="1:71" ht="14.25" customHeight="1" x14ac:dyDescent="0.35">
      <c r="A7" s="181" t="s">
        <v>42</v>
      </c>
      <c r="B7" s="181" t="s">
        <v>44</v>
      </c>
      <c r="C7" s="186" t="s">
        <v>45</v>
      </c>
      <c r="D7" s="186" t="s">
        <v>46</v>
      </c>
      <c r="E7" s="186" t="s">
        <v>47</v>
      </c>
      <c r="F7" s="188" t="s">
        <v>45</v>
      </c>
      <c r="G7" s="188" t="s">
        <v>46</v>
      </c>
      <c r="H7" s="186" t="s">
        <v>47</v>
      </c>
      <c r="I7" s="186" t="s">
        <v>45</v>
      </c>
      <c r="J7" s="186" t="s">
        <v>46</v>
      </c>
      <c r="K7" s="186" t="s">
        <v>47</v>
      </c>
      <c r="L7" s="186" t="s">
        <v>45</v>
      </c>
      <c r="M7" s="186" t="s">
        <v>46</v>
      </c>
      <c r="N7" s="186" t="s">
        <v>47</v>
      </c>
      <c r="O7" s="186" t="s">
        <v>45</v>
      </c>
      <c r="P7" s="186" t="s">
        <v>46</v>
      </c>
      <c r="Q7" s="186" t="s">
        <v>47</v>
      </c>
      <c r="R7" s="186" t="s">
        <v>45</v>
      </c>
      <c r="S7" s="186" t="s">
        <v>46</v>
      </c>
      <c r="T7" s="186" t="s">
        <v>47</v>
      </c>
      <c r="U7" s="186" t="s">
        <v>45</v>
      </c>
      <c r="V7" s="186" t="s">
        <v>46</v>
      </c>
      <c r="W7" s="186" t="s">
        <v>47</v>
      </c>
      <c r="X7" s="186" t="s">
        <v>45</v>
      </c>
      <c r="Y7" s="186" t="s">
        <v>46</v>
      </c>
      <c r="Z7" s="186" t="s">
        <v>47</v>
      </c>
      <c r="AA7" s="186" t="s">
        <v>45</v>
      </c>
      <c r="AB7" s="186" t="s">
        <v>46</v>
      </c>
      <c r="AC7" s="186" t="s">
        <v>47</v>
      </c>
      <c r="AD7" s="186" t="s">
        <v>45</v>
      </c>
      <c r="AE7" s="186" t="s">
        <v>46</v>
      </c>
      <c r="AF7" s="186" t="s">
        <v>47</v>
      </c>
      <c r="AG7" s="186" t="s">
        <v>45</v>
      </c>
      <c r="AH7" s="186" t="s">
        <v>46</v>
      </c>
      <c r="AI7" s="186" t="s">
        <v>47</v>
      </c>
      <c r="AJ7" s="186" t="s">
        <v>45</v>
      </c>
      <c r="AK7" s="186" t="s">
        <v>46</v>
      </c>
      <c r="AL7" s="186" t="s">
        <v>47</v>
      </c>
      <c r="AM7" s="186" t="s">
        <v>45</v>
      </c>
      <c r="AN7" s="186" t="s">
        <v>46</v>
      </c>
      <c r="AO7" s="186" t="s">
        <v>47</v>
      </c>
      <c r="AP7" s="186" t="s">
        <v>45</v>
      </c>
      <c r="AQ7" s="186" t="s">
        <v>46</v>
      </c>
      <c r="AR7" s="186" t="s">
        <v>47</v>
      </c>
      <c r="AS7" s="186" t="s">
        <v>45</v>
      </c>
      <c r="AT7" s="186" t="s">
        <v>46</v>
      </c>
      <c r="AU7" s="186" t="s">
        <v>47</v>
      </c>
      <c r="AV7" s="186" t="s">
        <v>45</v>
      </c>
      <c r="AW7" s="186" t="s">
        <v>46</v>
      </c>
      <c r="AX7" s="186" t="s">
        <v>47</v>
      </c>
      <c r="AY7" s="186" t="s">
        <v>45</v>
      </c>
      <c r="AZ7" s="186" t="s">
        <v>46</v>
      </c>
      <c r="BA7" s="186" t="s">
        <v>47</v>
      </c>
      <c r="BB7" s="186" t="s">
        <v>45</v>
      </c>
      <c r="BC7" s="186" t="s">
        <v>46</v>
      </c>
      <c r="BD7" s="186" t="s">
        <v>47</v>
      </c>
      <c r="BE7" s="186" t="s">
        <v>45</v>
      </c>
      <c r="BF7" s="186" t="s">
        <v>46</v>
      </c>
      <c r="BG7" s="186" t="s">
        <v>47</v>
      </c>
      <c r="BH7" s="189" t="s">
        <v>45</v>
      </c>
      <c r="BI7" s="189" t="s">
        <v>46</v>
      </c>
      <c r="BJ7" s="189" t="s">
        <v>47</v>
      </c>
      <c r="BK7" s="189" t="s">
        <v>45</v>
      </c>
      <c r="BL7" s="189" t="s">
        <v>46</v>
      </c>
      <c r="BM7" s="189" t="s">
        <v>47</v>
      </c>
      <c r="BN7" s="189" t="s">
        <v>45</v>
      </c>
      <c r="BO7" s="189" t="s">
        <v>46</v>
      </c>
      <c r="BP7" s="189" t="s">
        <v>47</v>
      </c>
      <c r="BQ7" s="190" t="s">
        <v>45</v>
      </c>
      <c r="BR7" s="190" t="s">
        <v>46</v>
      </c>
      <c r="BS7" s="190" t="s">
        <v>47</v>
      </c>
    </row>
    <row r="8" spans="1:71" ht="14.5" x14ac:dyDescent="0.35">
      <c r="A8" s="169" t="s">
        <v>300</v>
      </c>
      <c r="B8" s="171" t="s">
        <v>301</v>
      </c>
      <c r="C8" s="244">
        <v>5300</v>
      </c>
      <c r="D8" s="244">
        <v>5700</v>
      </c>
      <c r="E8" s="244">
        <v>5700</v>
      </c>
      <c r="F8" s="244">
        <v>5300</v>
      </c>
      <c r="G8" s="244">
        <v>5700</v>
      </c>
      <c r="H8" s="244">
        <v>5700</v>
      </c>
      <c r="I8" s="244">
        <v>5300</v>
      </c>
      <c r="J8" s="244">
        <v>5700</v>
      </c>
      <c r="K8" s="244">
        <v>5700</v>
      </c>
      <c r="L8" s="244">
        <v>5300</v>
      </c>
      <c r="M8" s="244">
        <v>5700</v>
      </c>
      <c r="N8" s="244">
        <v>5700</v>
      </c>
      <c r="O8" s="244">
        <v>5300</v>
      </c>
      <c r="P8" s="244">
        <v>5700</v>
      </c>
      <c r="Q8" s="244">
        <v>5700</v>
      </c>
      <c r="R8" s="244">
        <v>5375</v>
      </c>
      <c r="S8" s="244">
        <v>5875</v>
      </c>
      <c r="T8" s="244">
        <v>5875</v>
      </c>
      <c r="U8" s="244">
        <v>5375</v>
      </c>
      <c r="V8" s="244">
        <v>5875</v>
      </c>
      <c r="W8" s="244">
        <v>5875</v>
      </c>
      <c r="X8" s="244">
        <v>5375</v>
      </c>
      <c r="Y8" s="244">
        <v>5875</v>
      </c>
      <c r="Z8" s="244">
        <v>5875</v>
      </c>
      <c r="AA8" s="244">
        <v>5300</v>
      </c>
      <c r="AB8" s="244">
        <v>5700</v>
      </c>
      <c r="AC8" s="244">
        <v>5700</v>
      </c>
      <c r="AD8" s="244">
        <v>5300</v>
      </c>
      <c r="AE8" s="244">
        <v>5700</v>
      </c>
      <c r="AF8" s="244">
        <v>5700</v>
      </c>
      <c r="AG8" s="244">
        <v>5100</v>
      </c>
      <c r="AH8" s="244">
        <v>5500</v>
      </c>
      <c r="AI8" s="244">
        <v>5500</v>
      </c>
      <c r="AJ8" s="244">
        <v>5550</v>
      </c>
      <c r="AK8" s="244">
        <v>6000</v>
      </c>
      <c r="AL8" s="244">
        <v>6000</v>
      </c>
      <c r="AM8" s="245">
        <v>325</v>
      </c>
      <c r="AN8" s="245">
        <v>450</v>
      </c>
      <c r="AO8" s="245">
        <v>450</v>
      </c>
      <c r="AP8" s="244">
        <v>5790</v>
      </c>
      <c r="AQ8" s="244">
        <v>6240</v>
      </c>
      <c r="AR8" s="244">
        <v>6240</v>
      </c>
      <c r="AS8" s="244">
        <v>5550</v>
      </c>
      <c r="AT8" s="244">
        <v>6000</v>
      </c>
      <c r="AU8" s="244">
        <v>6000</v>
      </c>
      <c r="AV8" s="244">
        <v>5550</v>
      </c>
      <c r="AW8" s="244">
        <v>6000</v>
      </c>
      <c r="AX8" s="244">
        <v>6000</v>
      </c>
      <c r="AY8" s="244">
        <v>5550</v>
      </c>
      <c r="AZ8" s="244">
        <v>6150</v>
      </c>
      <c r="BA8" s="244">
        <v>6150</v>
      </c>
      <c r="BB8" s="244">
        <v>5700</v>
      </c>
      <c r="BC8" s="244">
        <v>6200</v>
      </c>
      <c r="BD8" s="244">
        <v>6200</v>
      </c>
      <c r="BE8" s="244">
        <v>6050</v>
      </c>
      <c r="BF8" s="244">
        <v>6700</v>
      </c>
      <c r="BG8" s="244">
        <v>6700</v>
      </c>
      <c r="BH8" s="244">
        <v>6050</v>
      </c>
      <c r="BI8" s="244">
        <v>6700</v>
      </c>
      <c r="BJ8" s="268">
        <v>6700</v>
      </c>
      <c r="BK8" s="244">
        <v>6050</v>
      </c>
      <c r="BL8" s="244">
        <v>6700</v>
      </c>
      <c r="BM8" s="244">
        <v>6700</v>
      </c>
      <c r="BN8" s="269">
        <v>6050</v>
      </c>
      <c r="BO8" s="244">
        <v>6700</v>
      </c>
      <c r="BP8" s="244">
        <v>6700</v>
      </c>
      <c r="BQ8" s="244">
        <f>BN8+2791</f>
        <v>8841</v>
      </c>
      <c r="BR8" s="244">
        <f>BO8+2791</f>
        <v>9491</v>
      </c>
      <c r="BS8" s="244">
        <f>BP8+2791</f>
        <v>9491</v>
      </c>
    </row>
    <row r="9" spans="1:71" ht="14.5" x14ac:dyDescent="0.35">
      <c r="A9" s="169" t="s">
        <v>302</v>
      </c>
      <c r="B9" s="193" t="s">
        <v>303</v>
      </c>
      <c r="C9" s="270">
        <v>7000</v>
      </c>
      <c r="D9" s="270">
        <v>7300</v>
      </c>
      <c r="E9" s="270">
        <v>7300</v>
      </c>
      <c r="F9" s="270">
        <v>7000</v>
      </c>
      <c r="G9" s="270">
        <v>7300</v>
      </c>
      <c r="H9" s="270">
        <v>7300</v>
      </c>
      <c r="I9" s="270">
        <v>7000</v>
      </c>
      <c r="J9" s="270">
        <v>7300</v>
      </c>
      <c r="K9" s="270">
        <v>7300</v>
      </c>
      <c r="L9" s="270">
        <v>7000</v>
      </c>
      <c r="M9" s="270">
        <v>7300</v>
      </c>
      <c r="N9" s="270">
        <v>7300</v>
      </c>
      <c r="O9" s="270">
        <v>7000</v>
      </c>
      <c r="P9" s="270">
        <v>7300</v>
      </c>
      <c r="Q9" s="270">
        <v>7300</v>
      </c>
      <c r="R9" s="270">
        <v>7100</v>
      </c>
      <c r="S9" s="270">
        <v>7400</v>
      </c>
      <c r="T9" s="270">
        <v>7400</v>
      </c>
      <c r="U9" s="270">
        <v>7100</v>
      </c>
      <c r="V9" s="270">
        <v>7400</v>
      </c>
      <c r="W9" s="270">
        <v>7400</v>
      </c>
      <c r="X9" s="270">
        <v>7100</v>
      </c>
      <c r="Y9" s="270">
        <v>7400</v>
      </c>
      <c r="Z9" s="270">
        <v>7400</v>
      </c>
      <c r="AA9" s="270">
        <v>7000</v>
      </c>
      <c r="AB9" s="270">
        <v>7300</v>
      </c>
      <c r="AC9" s="270">
        <v>7300</v>
      </c>
      <c r="AD9" s="270">
        <v>7000</v>
      </c>
      <c r="AE9" s="270">
        <v>7300</v>
      </c>
      <c r="AF9" s="270">
        <v>7300</v>
      </c>
      <c r="AG9" s="270">
        <v>6800</v>
      </c>
      <c r="AH9" s="270">
        <v>7100</v>
      </c>
      <c r="AI9" s="270">
        <v>7100</v>
      </c>
      <c r="AJ9" s="270">
        <v>7600</v>
      </c>
      <c r="AK9" s="270">
        <v>8100</v>
      </c>
      <c r="AL9" s="270">
        <v>8100</v>
      </c>
      <c r="AM9" s="271">
        <v>2025</v>
      </c>
      <c r="AN9" s="271">
        <v>2050</v>
      </c>
      <c r="AO9" s="271">
        <v>2050</v>
      </c>
      <c r="AP9" s="270">
        <v>7600</v>
      </c>
      <c r="AQ9" s="270">
        <v>8100</v>
      </c>
      <c r="AR9" s="270">
        <v>8100</v>
      </c>
      <c r="AS9" s="270">
        <v>7600</v>
      </c>
      <c r="AT9" s="270">
        <v>8100</v>
      </c>
      <c r="AU9" s="270">
        <v>8100</v>
      </c>
      <c r="AV9" s="244">
        <v>7600</v>
      </c>
      <c r="AW9" s="244">
        <v>8100</v>
      </c>
      <c r="AX9" s="244">
        <v>8100</v>
      </c>
      <c r="AY9" s="270">
        <v>7700</v>
      </c>
      <c r="AZ9" s="270">
        <v>8300</v>
      </c>
      <c r="BA9" s="270">
        <v>8300</v>
      </c>
      <c r="BB9" s="270">
        <v>7850</v>
      </c>
      <c r="BC9" s="270">
        <v>8350</v>
      </c>
      <c r="BD9" s="270">
        <v>8350</v>
      </c>
      <c r="BE9" s="244">
        <v>7700</v>
      </c>
      <c r="BF9" s="244">
        <v>8200</v>
      </c>
      <c r="BG9" s="244">
        <v>8200</v>
      </c>
      <c r="BH9" s="270">
        <v>7700</v>
      </c>
      <c r="BI9" s="270">
        <v>8100</v>
      </c>
      <c r="BJ9" s="272">
        <v>8100</v>
      </c>
      <c r="BK9" s="244">
        <v>7700</v>
      </c>
      <c r="BL9" s="244">
        <v>8100</v>
      </c>
      <c r="BM9" s="244">
        <v>8100</v>
      </c>
      <c r="BN9" s="273">
        <v>7700</v>
      </c>
      <c r="BO9" s="270">
        <v>8100</v>
      </c>
      <c r="BP9" s="270">
        <v>8100</v>
      </c>
      <c r="BQ9" s="244">
        <f t="shared" ref="BQ9:BQ24" si="0">BN9+2791</f>
        <v>10491</v>
      </c>
      <c r="BR9" s="244">
        <f t="shared" ref="BR9:BR24" si="1">BO9+2791</f>
        <v>10891</v>
      </c>
      <c r="BS9" s="244">
        <f t="shared" ref="BS9:BS24" si="2">BP9+2791</f>
        <v>10891</v>
      </c>
    </row>
    <row r="10" spans="1:71" ht="14.5" x14ac:dyDescent="0.35">
      <c r="A10" s="169" t="s">
        <v>304</v>
      </c>
      <c r="B10" s="193" t="s">
        <v>305</v>
      </c>
      <c r="C10" s="270">
        <v>7000</v>
      </c>
      <c r="D10" s="270">
        <v>7300</v>
      </c>
      <c r="E10" s="270">
        <v>7300</v>
      </c>
      <c r="F10" s="270">
        <v>7000</v>
      </c>
      <c r="G10" s="270">
        <v>7300</v>
      </c>
      <c r="H10" s="270">
        <v>7300</v>
      </c>
      <c r="I10" s="270">
        <v>7000</v>
      </c>
      <c r="J10" s="270">
        <v>7300</v>
      </c>
      <c r="K10" s="270">
        <v>7300</v>
      </c>
      <c r="L10" s="270">
        <v>7000</v>
      </c>
      <c r="M10" s="270">
        <v>7300</v>
      </c>
      <c r="N10" s="270">
        <v>7300</v>
      </c>
      <c r="O10" s="270">
        <v>7000</v>
      </c>
      <c r="P10" s="270">
        <v>7300</v>
      </c>
      <c r="Q10" s="270">
        <v>7300</v>
      </c>
      <c r="R10" s="270">
        <v>7100</v>
      </c>
      <c r="S10" s="270">
        <v>7400</v>
      </c>
      <c r="T10" s="270">
        <v>7400</v>
      </c>
      <c r="U10" s="270">
        <v>7100</v>
      </c>
      <c r="V10" s="270">
        <v>7400</v>
      </c>
      <c r="W10" s="270">
        <v>7400</v>
      </c>
      <c r="X10" s="270">
        <v>7100</v>
      </c>
      <c r="Y10" s="270">
        <v>7400</v>
      </c>
      <c r="Z10" s="270">
        <v>7400</v>
      </c>
      <c r="AA10" s="270">
        <v>7000</v>
      </c>
      <c r="AB10" s="270">
        <v>7300</v>
      </c>
      <c r="AC10" s="270">
        <v>7300</v>
      </c>
      <c r="AD10" s="270">
        <v>7000</v>
      </c>
      <c r="AE10" s="270">
        <v>7300</v>
      </c>
      <c r="AF10" s="270">
        <v>7300</v>
      </c>
      <c r="AG10" s="270">
        <v>6800</v>
      </c>
      <c r="AH10" s="270">
        <v>7100</v>
      </c>
      <c r="AI10" s="270">
        <v>7100</v>
      </c>
      <c r="AJ10" s="270">
        <v>7600</v>
      </c>
      <c r="AK10" s="270">
        <v>8100</v>
      </c>
      <c r="AL10" s="270">
        <v>8100</v>
      </c>
      <c r="AM10" s="271">
        <v>2025</v>
      </c>
      <c r="AN10" s="271">
        <v>2050</v>
      </c>
      <c r="AO10" s="271">
        <v>2050</v>
      </c>
      <c r="AP10" s="270">
        <v>7600</v>
      </c>
      <c r="AQ10" s="270">
        <v>8100</v>
      </c>
      <c r="AR10" s="270">
        <v>8100</v>
      </c>
      <c r="AS10" s="270">
        <v>7600</v>
      </c>
      <c r="AT10" s="270">
        <v>8100</v>
      </c>
      <c r="AU10" s="270">
        <v>8100</v>
      </c>
      <c r="AV10" s="244">
        <v>7600</v>
      </c>
      <c r="AW10" s="244">
        <v>8100</v>
      </c>
      <c r="AX10" s="244">
        <v>8100</v>
      </c>
      <c r="AY10" s="270">
        <v>7700</v>
      </c>
      <c r="AZ10" s="270">
        <v>8300</v>
      </c>
      <c r="BA10" s="270">
        <v>8300</v>
      </c>
      <c r="BB10" s="270">
        <v>7850</v>
      </c>
      <c r="BC10" s="270">
        <v>8350</v>
      </c>
      <c r="BD10" s="270">
        <v>8350</v>
      </c>
      <c r="BE10" s="244">
        <v>7700</v>
      </c>
      <c r="BF10" s="244">
        <v>8200</v>
      </c>
      <c r="BG10" s="244">
        <v>8200</v>
      </c>
      <c r="BH10" s="270">
        <v>7700</v>
      </c>
      <c r="BI10" s="270">
        <v>8100</v>
      </c>
      <c r="BJ10" s="272">
        <v>8100</v>
      </c>
      <c r="BK10" s="244">
        <v>7700</v>
      </c>
      <c r="BL10" s="244">
        <v>8100</v>
      </c>
      <c r="BM10" s="244">
        <v>8100</v>
      </c>
      <c r="BN10" s="273">
        <v>7700</v>
      </c>
      <c r="BO10" s="270">
        <v>8100</v>
      </c>
      <c r="BP10" s="270">
        <v>8100</v>
      </c>
      <c r="BQ10" s="244">
        <f t="shared" si="0"/>
        <v>10491</v>
      </c>
      <c r="BR10" s="244">
        <f t="shared" si="1"/>
        <v>10891</v>
      </c>
      <c r="BS10" s="244">
        <f t="shared" si="2"/>
        <v>10891</v>
      </c>
    </row>
    <row r="11" spans="1:71" ht="14.5" x14ac:dyDescent="0.35">
      <c r="A11" s="169" t="s">
        <v>306</v>
      </c>
      <c r="B11" s="193" t="s">
        <v>307</v>
      </c>
      <c r="C11" s="270">
        <v>7000</v>
      </c>
      <c r="D11" s="270">
        <v>7300</v>
      </c>
      <c r="E11" s="270">
        <v>7300</v>
      </c>
      <c r="F11" s="270">
        <v>7000</v>
      </c>
      <c r="G11" s="270">
        <v>7300</v>
      </c>
      <c r="H11" s="270">
        <v>7300</v>
      </c>
      <c r="I11" s="270">
        <v>7000</v>
      </c>
      <c r="J11" s="270">
        <v>7300</v>
      </c>
      <c r="K11" s="270">
        <v>7300</v>
      </c>
      <c r="L11" s="270">
        <v>7000</v>
      </c>
      <c r="M11" s="270">
        <v>7300</v>
      </c>
      <c r="N11" s="270">
        <v>7300</v>
      </c>
      <c r="O11" s="270">
        <v>7000</v>
      </c>
      <c r="P11" s="270">
        <v>7300</v>
      </c>
      <c r="Q11" s="270">
        <v>7300</v>
      </c>
      <c r="R11" s="270">
        <v>7100</v>
      </c>
      <c r="S11" s="270">
        <v>7400</v>
      </c>
      <c r="T11" s="270">
        <v>7400</v>
      </c>
      <c r="U11" s="270">
        <v>7100</v>
      </c>
      <c r="V11" s="270">
        <v>7400</v>
      </c>
      <c r="W11" s="270">
        <v>7400</v>
      </c>
      <c r="X11" s="270">
        <v>7100</v>
      </c>
      <c r="Y11" s="270">
        <v>7400</v>
      </c>
      <c r="Z11" s="270">
        <v>7400</v>
      </c>
      <c r="AA11" s="270">
        <v>7000</v>
      </c>
      <c r="AB11" s="270">
        <v>7300</v>
      </c>
      <c r="AC11" s="270">
        <v>7300</v>
      </c>
      <c r="AD11" s="270">
        <v>7000</v>
      </c>
      <c r="AE11" s="270">
        <v>7300</v>
      </c>
      <c r="AF11" s="270">
        <v>7300</v>
      </c>
      <c r="AG11" s="270">
        <v>6800</v>
      </c>
      <c r="AH11" s="270">
        <v>7100</v>
      </c>
      <c r="AI11" s="270">
        <v>7100</v>
      </c>
      <c r="AJ11" s="270">
        <v>7300</v>
      </c>
      <c r="AK11" s="270">
        <v>8100</v>
      </c>
      <c r="AL11" s="270">
        <v>8100</v>
      </c>
      <c r="AM11" s="271">
        <v>2125</v>
      </c>
      <c r="AN11" s="271">
        <v>2050</v>
      </c>
      <c r="AO11" s="271">
        <v>2050</v>
      </c>
      <c r="AP11" s="270">
        <v>7300</v>
      </c>
      <c r="AQ11" s="270">
        <v>8100</v>
      </c>
      <c r="AR11" s="270">
        <v>8100</v>
      </c>
      <c r="AS11" s="270">
        <v>7300</v>
      </c>
      <c r="AT11" s="270">
        <v>8100</v>
      </c>
      <c r="AU11" s="270">
        <v>8100</v>
      </c>
      <c r="AV11" s="244">
        <v>7300</v>
      </c>
      <c r="AW11" s="244">
        <v>8100</v>
      </c>
      <c r="AX11" s="244">
        <v>8100</v>
      </c>
      <c r="AY11" s="270">
        <v>7400</v>
      </c>
      <c r="AZ11" s="270">
        <v>8300</v>
      </c>
      <c r="BA11" s="270">
        <v>8300</v>
      </c>
      <c r="BB11" s="270">
        <v>7550</v>
      </c>
      <c r="BC11" s="270">
        <v>8350</v>
      </c>
      <c r="BD11" s="270">
        <v>8350</v>
      </c>
      <c r="BE11" s="244">
        <v>7400</v>
      </c>
      <c r="BF11" s="244">
        <v>8200</v>
      </c>
      <c r="BG11" s="244">
        <v>8200</v>
      </c>
      <c r="BH11" s="270">
        <v>7400</v>
      </c>
      <c r="BI11" s="270">
        <v>8100</v>
      </c>
      <c r="BJ11" s="272">
        <v>8100</v>
      </c>
      <c r="BK11" s="244">
        <v>7400</v>
      </c>
      <c r="BL11" s="244">
        <v>8100</v>
      </c>
      <c r="BM11" s="244">
        <v>8100</v>
      </c>
      <c r="BN11" s="273">
        <v>7400</v>
      </c>
      <c r="BO11" s="270">
        <v>8100</v>
      </c>
      <c r="BP11" s="270">
        <v>8100</v>
      </c>
      <c r="BQ11" s="244">
        <f t="shared" si="0"/>
        <v>10191</v>
      </c>
      <c r="BR11" s="244">
        <f t="shared" si="1"/>
        <v>10891</v>
      </c>
      <c r="BS11" s="244">
        <f t="shared" si="2"/>
        <v>10891</v>
      </c>
    </row>
    <row r="12" spans="1:71" ht="14.5" x14ac:dyDescent="0.35">
      <c r="A12" s="201" t="s">
        <v>308</v>
      </c>
      <c r="B12" s="193" t="s">
        <v>309</v>
      </c>
      <c r="C12" s="270">
        <v>7200</v>
      </c>
      <c r="D12" s="270">
        <v>7500</v>
      </c>
      <c r="E12" s="270">
        <v>7500</v>
      </c>
      <c r="F12" s="270">
        <v>7200</v>
      </c>
      <c r="G12" s="270">
        <v>7500</v>
      </c>
      <c r="H12" s="270">
        <v>7500</v>
      </c>
      <c r="I12" s="270">
        <v>7200</v>
      </c>
      <c r="J12" s="270">
        <v>7500</v>
      </c>
      <c r="K12" s="270">
        <v>7500</v>
      </c>
      <c r="L12" s="270">
        <v>7200</v>
      </c>
      <c r="M12" s="270">
        <v>7500</v>
      </c>
      <c r="N12" s="270">
        <v>7500</v>
      </c>
      <c r="O12" s="270">
        <v>7200</v>
      </c>
      <c r="P12" s="270">
        <v>7500</v>
      </c>
      <c r="Q12" s="270">
        <v>7500</v>
      </c>
      <c r="R12" s="270">
        <v>7300</v>
      </c>
      <c r="S12" s="270">
        <v>7600</v>
      </c>
      <c r="T12" s="270">
        <v>7600</v>
      </c>
      <c r="U12" s="270">
        <v>7300</v>
      </c>
      <c r="V12" s="270">
        <v>7600</v>
      </c>
      <c r="W12" s="270">
        <v>7600</v>
      </c>
      <c r="X12" s="270">
        <v>7300</v>
      </c>
      <c r="Y12" s="270">
        <v>7600</v>
      </c>
      <c r="Z12" s="270">
        <v>7600</v>
      </c>
      <c r="AA12" s="270">
        <v>7200</v>
      </c>
      <c r="AB12" s="270">
        <v>7500</v>
      </c>
      <c r="AC12" s="270">
        <v>7500</v>
      </c>
      <c r="AD12" s="270">
        <v>7200</v>
      </c>
      <c r="AE12" s="270">
        <v>7500</v>
      </c>
      <c r="AF12" s="270">
        <v>7500</v>
      </c>
      <c r="AG12" s="270">
        <v>7000</v>
      </c>
      <c r="AH12" s="270">
        <v>7300</v>
      </c>
      <c r="AI12" s="270">
        <v>7300</v>
      </c>
      <c r="AJ12" s="270">
        <v>7500</v>
      </c>
      <c r="AK12" s="270">
        <v>8300</v>
      </c>
      <c r="AL12" s="270">
        <v>8300</v>
      </c>
      <c r="AM12" s="271">
        <v>2125</v>
      </c>
      <c r="AN12" s="271">
        <v>1250</v>
      </c>
      <c r="AO12" s="271">
        <v>1250</v>
      </c>
      <c r="AP12" s="270">
        <v>7500</v>
      </c>
      <c r="AQ12" s="270">
        <v>8300</v>
      </c>
      <c r="AR12" s="270">
        <v>8300</v>
      </c>
      <c r="AS12" s="270">
        <v>7500</v>
      </c>
      <c r="AT12" s="270">
        <v>8300</v>
      </c>
      <c r="AU12" s="270">
        <v>8300</v>
      </c>
      <c r="AV12" s="244">
        <v>7500</v>
      </c>
      <c r="AW12" s="244">
        <v>8300</v>
      </c>
      <c r="AX12" s="244">
        <v>8300</v>
      </c>
      <c r="AY12" s="270">
        <v>7600</v>
      </c>
      <c r="AZ12" s="270">
        <v>8500</v>
      </c>
      <c r="BA12" s="270">
        <v>8500</v>
      </c>
      <c r="BB12" s="270">
        <v>7750</v>
      </c>
      <c r="BC12" s="270">
        <v>8550</v>
      </c>
      <c r="BD12" s="270">
        <v>8550</v>
      </c>
      <c r="BE12" s="244">
        <v>7600</v>
      </c>
      <c r="BF12" s="244">
        <v>8400</v>
      </c>
      <c r="BG12" s="244">
        <v>8400</v>
      </c>
      <c r="BH12" s="270">
        <v>7650</v>
      </c>
      <c r="BI12" s="270">
        <v>8250</v>
      </c>
      <c r="BJ12" s="272">
        <v>8250</v>
      </c>
      <c r="BK12" s="244">
        <v>7650</v>
      </c>
      <c r="BL12" s="244">
        <v>8250</v>
      </c>
      <c r="BM12" s="244">
        <v>8250</v>
      </c>
      <c r="BN12" s="273">
        <v>7650</v>
      </c>
      <c r="BO12" s="270">
        <v>8250</v>
      </c>
      <c r="BP12" s="270">
        <v>8250</v>
      </c>
      <c r="BQ12" s="244">
        <f t="shared" si="0"/>
        <v>10441</v>
      </c>
      <c r="BR12" s="244">
        <f t="shared" si="1"/>
        <v>11041</v>
      </c>
      <c r="BS12" s="244">
        <f t="shared" si="2"/>
        <v>11041</v>
      </c>
    </row>
    <row r="13" spans="1:71" ht="14.5" x14ac:dyDescent="0.35">
      <c r="A13" s="169" t="s">
        <v>310</v>
      </c>
      <c r="B13" s="193" t="s">
        <v>311</v>
      </c>
      <c r="C13" s="244">
        <v>7100</v>
      </c>
      <c r="D13" s="244">
        <v>7400</v>
      </c>
      <c r="E13" s="244">
        <v>7400</v>
      </c>
      <c r="F13" s="244">
        <v>7100</v>
      </c>
      <c r="G13" s="244">
        <v>7400</v>
      </c>
      <c r="H13" s="244">
        <v>7400</v>
      </c>
      <c r="I13" s="244">
        <v>7100</v>
      </c>
      <c r="J13" s="244">
        <v>7400</v>
      </c>
      <c r="K13" s="244">
        <v>7400</v>
      </c>
      <c r="L13" s="244">
        <v>7100</v>
      </c>
      <c r="M13" s="244">
        <v>7400</v>
      </c>
      <c r="N13" s="244">
        <v>7400</v>
      </c>
      <c r="O13" s="244">
        <v>7100</v>
      </c>
      <c r="P13" s="244">
        <v>7400</v>
      </c>
      <c r="Q13" s="244">
        <v>7400</v>
      </c>
      <c r="R13" s="244">
        <v>7200</v>
      </c>
      <c r="S13" s="244">
        <v>7500</v>
      </c>
      <c r="T13" s="244">
        <v>7500</v>
      </c>
      <c r="U13" s="244">
        <v>7200</v>
      </c>
      <c r="V13" s="244">
        <v>7500</v>
      </c>
      <c r="W13" s="244">
        <v>7500</v>
      </c>
      <c r="X13" s="244">
        <v>7200</v>
      </c>
      <c r="Y13" s="244">
        <v>7500</v>
      </c>
      <c r="Z13" s="244">
        <v>7500</v>
      </c>
      <c r="AA13" s="244">
        <v>7100</v>
      </c>
      <c r="AB13" s="244">
        <v>7400</v>
      </c>
      <c r="AC13" s="244">
        <v>7400</v>
      </c>
      <c r="AD13" s="244">
        <v>7100</v>
      </c>
      <c r="AE13" s="244">
        <v>7400</v>
      </c>
      <c r="AF13" s="244">
        <v>7400</v>
      </c>
      <c r="AG13" s="244">
        <v>6900</v>
      </c>
      <c r="AH13" s="244">
        <v>7200</v>
      </c>
      <c r="AI13" s="244">
        <v>7200</v>
      </c>
      <c r="AJ13" s="244">
        <v>7900</v>
      </c>
      <c r="AK13" s="244">
        <v>8500</v>
      </c>
      <c r="AL13" s="244">
        <v>8500</v>
      </c>
      <c r="AM13" s="245">
        <v>1500</v>
      </c>
      <c r="AN13" s="245">
        <v>1400</v>
      </c>
      <c r="AO13" s="245">
        <v>1400</v>
      </c>
      <c r="AP13" s="244">
        <v>7900</v>
      </c>
      <c r="AQ13" s="244">
        <v>8500</v>
      </c>
      <c r="AR13" s="244">
        <v>8500</v>
      </c>
      <c r="AS13" s="244">
        <v>7900</v>
      </c>
      <c r="AT13" s="244">
        <v>8500</v>
      </c>
      <c r="AU13" s="244">
        <v>8500</v>
      </c>
      <c r="AV13" s="244">
        <v>7900</v>
      </c>
      <c r="AW13" s="244">
        <v>8500</v>
      </c>
      <c r="AX13" s="244">
        <v>8500</v>
      </c>
      <c r="AY13" s="244">
        <v>8000</v>
      </c>
      <c r="AZ13" s="244">
        <v>8700</v>
      </c>
      <c r="BA13" s="244">
        <v>8700</v>
      </c>
      <c r="BB13" s="244">
        <v>8150</v>
      </c>
      <c r="BC13" s="244">
        <v>8750</v>
      </c>
      <c r="BD13" s="244">
        <v>8750</v>
      </c>
      <c r="BE13" s="244">
        <v>7500</v>
      </c>
      <c r="BF13" s="244">
        <v>8300</v>
      </c>
      <c r="BG13" s="244">
        <v>8300</v>
      </c>
      <c r="BH13" s="244">
        <v>6575</v>
      </c>
      <c r="BI13" s="244">
        <v>7450</v>
      </c>
      <c r="BJ13" s="268">
        <v>7450</v>
      </c>
      <c r="BK13" s="244">
        <v>6575</v>
      </c>
      <c r="BL13" s="244">
        <v>7450</v>
      </c>
      <c r="BM13" s="244">
        <v>7450</v>
      </c>
      <c r="BN13" s="269">
        <v>6575</v>
      </c>
      <c r="BO13" s="244">
        <v>7450</v>
      </c>
      <c r="BP13" s="244">
        <v>7450</v>
      </c>
      <c r="BQ13" s="244">
        <f t="shared" si="0"/>
        <v>9366</v>
      </c>
      <c r="BR13" s="244">
        <f t="shared" si="1"/>
        <v>10241</v>
      </c>
      <c r="BS13" s="244">
        <f t="shared" si="2"/>
        <v>10241</v>
      </c>
    </row>
    <row r="14" spans="1:71" ht="14.5" x14ac:dyDescent="0.35">
      <c r="A14" s="169" t="s">
        <v>312</v>
      </c>
      <c r="B14" s="193" t="s">
        <v>313</v>
      </c>
      <c r="C14" s="244">
        <v>6100</v>
      </c>
      <c r="D14" s="244">
        <v>6500</v>
      </c>
      <c r="E14" s="244">
        <v>6500</v>
      </c>
      <c r="F14" s="244">
        <v>6100</v>
      </c>
      <c r="G14" s="244">
        <v>6500</v>
      </c>
      <c r="H14" s="244">
        <v>6500</v>
      </c>
      <c r="I14" s="244">
        <v>6100</v>
      </c>
      <c r="J14" s="244">
        <v>6500</v>
      </c>
      <c r="K14" s="244">
        <v>6500</v>
      </c>
      <c r="L14" s="244">
        <v>6100</v>
      </c>
      <c r="M14" s="244">
        <v>6500</v>
      </c>
      <c r="N14" s="244">
        <v>6500</v>
      </c>
      <c r="O14" s="244">
        <v>6100</v>
      </c>
      <c r="P14" s="244">
        <v>6500</v>
      </c>
      <c r="Q14" s="244">
        <v>6500</v>
      </c>
      <c r="R14" s="244">
        <v>6200</v>
      </c>
      <c r="S14" s="244">
        <v>6600</v>
      </c>
      <c r="T14" s="244">
        <v>6600</v>
      </c>
      <c r="U14" s="244">
        <v>6200</v>
      </c>
      <c r="V14" s="244">
        <v>6600</v>
      </c>
      <c r="W14" s="244">
        <v>6600</v>
      </c>
      <c r="X14" s="244">
        <v>6200</v>
      </c>
      <c r="Y14" s="244">
        <v>6600</v>
      </c>
      <c r="Z14" s="244">
        <v>6600</v>
      </c>
      <c r="AA14" s="244">
        <v>6100</v>
      </c>
      <c r="AB14" s="244">
        <v>6500</v>
      </c>
      <c r="AC14" s="244">
        <v>6500</v>
      </c>
      <c r="AD14" s="244">
        <v>6100</v>
      </c>
      <c r="AE14" s="244">
        <v>6500</v>
      </c>
      <c r="AF14" s="244">
        <v>6500</v>
      </c>
      <c r="AG14" s="244">
        <v>5900</v>
      </c>
      <c r="AH14" s="244">
        <v>6300</v>
      </c>
      <c r="AI14" s="244">
        <v>6300</v>
      </c>
      <c r="AJ14" s="244">
        <v>6900</v>
      </c>
      <c r="AK14" s="244">
        <v>7600</v>
      </c>
      <c r="AL14" s="244">
        <v>7600</v>
      </c>
      <c r="AM14" s="245">
        <v>1025</v>
      </c>
      <c r="AN14" s="245">
        <v>0</v>
      </c>
      <c r="AO14" s="245">
        <v>0</v>
      </c>
      <c r="AP14" s="244">
        <v>6900</v>
      </c>
      <c r="AQ14" s="244">
        <v>7600</v>
      </c>
      <c r="AR14" s="244">
        <v>7600</v>
      </c>
      <c r="AS14" s="244">
        <v>6900</v>
      </c>
      <c r="AT14" s="244">
        <v>7600</v>
      </c>
      <c r="AU14" s="244">
        <v>7600</v>
      </c>
      <c r="AV14" s="244">
        <v>6900</v>
      </c>
      <c r="AW14" s="244">
        <v>7600</v>
      </c>
      <c r="AX14" s="244">
        <v>7600</v>
      </c>
      <c r="AY14" s="244">
        <v>7000</v>
      </c>
      <c r="AZ14" s="244">
        <v>7800</v>
      </c>
      <c r="BA14" s="244">
        <v>7800</v>
      </c>
      <c r="BB14" s="244">
        <v>7150</v>
      </c>
      <c r="BC14" s="244">
        <v>7850</v>
      </c>
      <c r="BD14" s="244">
        <v>7850</v>
      </c>
      <c r="BE14" s="244">
        <v>6500</v>
      </c>
      <c r="BF14" s="244">
        <v>7400</v>
      </c>
      <c r="BG14" s="244">
        <v>7400</v>
      </c>
      <c r="BH14" s="244">
        <v>6300</v>
      </c>
      <c r="BI14" s="244">
        <v>7500</v>
      </c>
      <c r="BJ14" s="268">
        <v>7500</v>
      </c>
      <c r="BK14" s="244">
        <v>6300</v>
      </c>
      <c r="BL14" s="244">
        <v>7500</v>
      </c>
      <c r="BM14" s="244">
        <v>7500</v>
      </c>
      <c r="BN14" s="269">
        <v>6300</v>
      </c>
      <c r="BO14" s="244">
        <v>7500</v>
      </c>
      <c r="BP14" s="244">
        <v>7500</v>
      </c>
      <c r="BQ14" s="244">
        <f t="shared" si="0"/>
        <v>9091</v>
      </c>
      <c r="BR14" s="244">
        <f t="shared" si="1"/>
        <v>10291</v>
      </c>
      <c r="BS14" s="244">
        <f t="shared" si="2"/>
        <v>10291</v>
      </c>
    </row>
    <row r="15" spans="1:71" ht="14.5" x14ac:dyDescent="0.35">
      <c r="A15" s="169" t="s">
        <v>314</v>
      </c>
      <c r="B15" s="193" t="s">
        <v>315</v>
      </c>
      <c r="C15" s="244">
        <v>6100</v>
      </c>
      <c r="D15" s="244">
        <v>6500</v>
      </c>
      <c r="E15" s="244">
        <v>6500</v>
      </c>
      <c r="F15" s="244">
        <v>6100</v>
      </c>
      <c r="G15" s="244">
        <v>6500</v>
      </c>
      <c r="H15" s="244">
        <v>6500</v>
      </c>
      <c r="I15" s="244">
        <v>6100</v>
      </c>
      <c r="J15" s="244">
        <v>6500</v>
      </c>
      <c r="K15" s="244">
        <v>6500</v>
      </c>
      <c r="L15" s="244">
        <v>6100</v>
      </c>
      <c r="M15" s="244">
        <v>6500</v>
      </c>
      <c r="N15" s="244">
        <v>6500</v>
      </c>
      <c r="O15" s="244">
        <v>6100</v>
      </c>
      <c r="P15" s="244">
        <v>6500</v>
      </c>
      <c r="Q15" s="244">
        <v>6500</v>
      </c>
      <c r="R15" s="244">
        <v>6200</v>
      </c>
      <c r="S15" s="244">
        <v>6600</v>
      </c>
      <c r="T15" s="244">
        <v>6600</v>
      </c>
      <c r="U15" s="244">
        <v>6200</v>
      </c>
      <c r="V15" s="244">
        <v>6600</v>
      </c>
      <c r="W15" s="244">
        <v>6600</v>
      </c>
      <c r="X15" s="244">
        <v>6200</v>
      </c>
      <c r="Y15" s="244">
        <v>6600</v>
      </c>
      <c r="Z15" s="244">
        <v>6600</v>
      </c>
      <c r="AA15" s="244">
        <v>6100</v>
      </c>
      <c r="AB15" s="244">
        <v>6500</v>
      </c>
      <c r="AC15" s="244">
        <v>6500</v>
      </c>
      <c r="AD15" s="244">
        <v>6100</v>
      </c>
      <c r="AE15" s="244">
        <v>6500</v>
      </c>
      <c r="AF15" s="244">
        <v>6500</v>
      </c>
      <c r="AG15" s="244">
        <v>5900</v>
      </c>
      <c r="AH15" s="244">
        <v>6300</v>
      </c>
      <c r="AI15" s="244">
        <v>6300</v>
      </c>
      <c r="AJ15" s="244">
        <v>6200</v>
      </c>
      <c r="AK15" s="244">
        <v>7100</v>
      </c>
      <c r="AL15" s="244">
        <v>7100</v>
      </c>
      <c r="AM15" s="245">
        <v>975</v>
      </c>
      <c r="AN15" s="245">
        <v>1100</v>
      </c>
      <c r="AO15" s="245">
        <v>1100</v>
      </c>
      <c r="AP15" s="244">
        <v>6200</v>
      </c>
      <c r="AQ15" s="244">
        <v>7100</v>
      </c>
      <c r="AR15" s="244">
        <v>7100</v>
      </c>
      <c r="AS15" s="244">
        <v>6200</v>
      </c>
      <c r="AT15" s="244">
        <v>7100</v>
      </c>
      <c r="AU15" s="244">
        <v>7100</v>
      </c>
      <c r="AV15" s="244">
        <v>6200</v>
      </c>
      <c r="AW15" s="244">
        <v>7100</v>
      </c>
      <c r="AX15" s="244">
        <v>7100</v>
      </c>
      <c r="AY15" s="244">
        <v>6300</v>
      </c>
      <c r="AZ15" s="244">
        <v>7300</v>
      </c>
      <c r="BA15" s="244">
        <v>7300</v>
      </c>
      <c r="BB15" s="244">
        <v>6450</v>
      </c>
      <c r="BC15" s="244">
        <v>7350</v>
      </c>
      <c r="BD15" s="244">
        <v>7350</v>
      </c>
      <c r="BE15" s="244">
        <v>6500</v>
      </c>
      <c r="BF15" s="244">
        <v>7400</v>
      </c>
      <c r="BG15" s="244">
        <v>7400</v>
      </c>
      <c r="BH15" s="244">
        <v>6475</v>
      </c>
      <c r="BI15" s="244">
        <v>7600</v>
      </c>
      <c r="BJ15" s="268">
        <v>7600</v>
      </c>
      <c r="BK15" s="244">
        <v>6475</v>
      </c>
      <c r="BL15" s="244">
        <v>7600</v>
      </c>
      <c r="BM15" s="244">
        <v>7600</v>
      </c>
      <c r="BN15" s="269">
        <v>6475</v>
      </c>
      <c r="BO15" s="244">
        <v>7600</v>
      </c>
      <c r="BP15" s="244">
        <v>7600</v>
      </c>
      <c r="BQ15" s="244">
        <f t="shared" si="0"/>
        <v>9266</v>
      </c>
      <c r="BR15" s="244">
        <f t="shared" si="1"/>
        <v>10391</v>
      </c>
      <c r="BS15" s="244">
        <f t="shared" si="2"/>
        <v>10391</v>
      </c>
    </row>
    <row r="16" spans="1:71" ht="14.5" x14ac:dyDescent="0.35">
      <c r="A16" s="169" t="s">
        <v>316</v>
      </c>
      <c r="B16" s="193" t="s">
        <v>317</v>
      </c>
      <c r="C16" s="244">
        <v>7200</v>
      </c>
      <c r="D16" s="244">
        <v>7700</v>
      </c>
      <c r="E16" s="244">
        <v>7700</v>
      </c>
      <c r="F16" s="244">
        <v>7200</v>
      </c>
      <c r="G16" s="244">
        <v>7700</v>
      </c>
      <c r="H16" s="244">
        <v>7700</v>
      </c>
      <c r="I16" s="244">
        <v>7200</v>
      </c>
      <c r="J16" s="244">
        <v>7700</v>
      </c>
      <c r="K16" s="244">
        <v>7700</v>
      </c>
      <c r="L16" s="244">
        <v>7200</v>
      </c>
      <c r="M16" s="244">
        <v>7700</v>
      </c>
      <c r="N16" s="244">
        <v>7700</v>
      </c>
      <c r="O16" s="244">
        <v>7200</v>
      </c>
      <c r="P16" s="244">
        <v>7700</v>
      </c>
      <c r="Q16" s="244">
        <v>7700</v>
      </c>
      <c r="R16" s="244">
        <v>7300</v>
      </c>
      <c r="S16" s="244">
        <v>7800</v>
      </c>
      <c r="T16" s="244">
        <v>7800</v>
      </c>
      <c r="U16" s="244">
        <v>7300</v>
      </c>
      <c r="V16" s="244">
        <v>7800</v>
      </c>
      <c r="W16" s="244">
        <v>7800</v>
      </c>
      <c r="X16" s="244">
        <v>7300</v>
      </c>
      <c r="Y16" s="244">
        <v>7800</v>
      </c>
      <c r="Z16" s="244">
        <v>7800</v>
      </c>
      <c r="AA16" s="244">
        <v>7200</v>
      </c>
      <c r="AB16" s="244">
        <v>7700</v>
      </c>
      <c r="AC16" s="244">
        <v>7700</v>
      </c>
      <c r="AD16" s="244">
        <v>7200</v>
      </c>
      <c r="AE16" s="244">
        <v>7700</v>
      </c>
      <c r="AF16" s="244">
        <v>7700</v>
      </c>
      <c r="AG16" s="244">
        <v>7000</v>
      </c>
      <c r="AH16" s="244">
        <v>7500</v>
      </c>
      <c r="AI16" s="244">
        <v>7500</v>
      </c>
      <c r="AJ16" s="244">
        <v>7500</v>
      </c>
      <c r="AK16" s="244">
        <v>8500</v>
      </c>
      <c r="AL16" s="244">
        <v>8500</v>
      </c>
      <c r="AM16" s="245">
        <v>200</v>
      </c>
      <c r="AN16" s="245">
        <v>200</v>
      </c>
      <c r="AO16" s="245">
        <v>200</v>
      </c>
      <c r="AP16" s="244">
        <v>7500</v>
      </c>
      <c r="AQ16" s="244">
        <v>8500</v>
      </c>
      <c r="AR16" s="244">
        <v>8500</v>
      </c>
      <c r="AS16" s="244">
        <v>7500</v>
      </c>
      <c r="AT16" s="244">
        <v>8500</v>
      </c>
      <c r="AU16" s="244">
        <v>8500</v>
      </c>
      <c r="AV16" s="244">
        <v>7500</v>
      </c>
      <c r="AW16" s="244">
        <v>8500</v>
      </c>
      <c r="AX16" s="244">
        <v>8500</v>
      </c>
      <c r="AY16" s="244">
        <v>7600</v>
      </c>
      <c r="AZ16" s="244">
        <v>8700</v>
      </c>
      <c r="BA16" s="244">
        <v>8700</v>
      </c>
      <c r="BB16" s="244">
        <v>7750</v>
      </c>
      <c r="BC16" s="244">
        <v>8750</v>
      </c>
      <c r="BD16" s="244">
        <v>8750</v>
      </c>
      <c r="BE16" s="244">
        <v>7600</v>
      </c>
      <c r="BF16" s="244">
        <v>8600</v>
      </c>
      <c r="BG16" s="244">
        <v>8600</v>
      </c>
      <c r="BH16" s="244">
        <v>7400</v>
      </c>
      <c r="BI16" s="244">
        <v>7900</v>
      </c>
      <c r="BJ16" s="268">
        <v>7900</v>
      </c>
      <c r="BK16" s="244">
        <v>7400</v>
      </c>
      <c r="BL16" s="244">
        <v>7900</v>
      </c>
      <c r="BM16" s="244">
        <v>7900</v>
      </c>
      <c r="BN16" s="269">
        <v>7400</v>
      </c>
      <c r="BO16" s="244">
        <v>7900</v>
      </c>
      <c r="BP16" s="244">
        <v>7900</v>
      </c>
      <c r="BQ16" s="244">
        <f t="shared" si="0"/>
        <v>10191</v>
      </c>
      <c r="BR16" s="244">
        <f t="shared" si="1"/>
        <v>10691</v>
      </c>
      <c r="BS16" s="244">
        <f t="shared" si="2"/>
        <v>10691</v>
      </c>
    </row>
    <row r="17" spans="1:71" ht="14.5" x14ac:dyDescent="0.35">
      <c r="A17" s="169" t="s">
        <v>318</v>
      </c>
      <c r="B17" s="193" t="s">
        <v>319</v>
      </c>
      <c r="C17" s="244">
        <v>7200</v>
      </c>
      <c r="D17" s="244">
        <v>7700</v>
      </c>
      <c r="E17" s="244">
        <v>7700</v>
      </c>
      <c r="F17" s="244">
        <v>7200</v>
      </c>
      <c r="G17" s="244">
        <v>7700</v>
      </c>
      <c r="H17" s="244">
        <v>7700</v>
      </c>
      <c r="I17" s="244">
        <v>7200</v>
      </c>
      <c r="J17" s="244">
        <v>7700</v>
      </c>
      <c r="K17" s="244">
        <v>7700</v>
      </c>
      <c r="L17" s="244">
        <v>7200</v>
      </c>
      <c r="M17" s="244">
        <v>7700</v>
      </c>
      <c r="N17" s="244">
        <v>7700</v>
      </c>
      <c r="O17" s="244">
        <v>7200</v>
      </c>
      <c r="P17" s="244">
        <v>7700</v>
      </c>
      <c r="Q17" s="244">
        <v>7700</v>
      </c>
      <c r="R17" s="244">
        <v>7300</v>
      </c>
      <c r="S17" s="244">
        <v>7800</v>
      </c>
      <c r="T17" s="244">
        <v>7800</v>
      </c>
      <c r="U17" s="244">
        <v>7300</v>
      </c>
      <c r="V17" s="244">
        <v>7800</v>
      </c>
      <c r="W17" s="244">
        <v>7800</v>
      </c>
      <c r="X17" s="244">
        <v>7300</v>
      </c>
      <c r="Y17" s="244">
        <v>7800</v>
      </c>
      <c r="Z17" s="244">
        <v>7800</v>
      </c>
      <c r="AA17" s="244">
        <v>7200</v>
      </c>
      <c r="AB17" s="244">
        <v>7700</v>
      </c>
      <c r="AC17" s="244">
        <v>7700</v>
      </c>
      <c r="AD17" s="244">
        <v>7200</v>
      </c>
      <c r="AE17" s="244">
        <v>7700</v>
      </c>
      <c r="AF17" s="244">
        <v>7700</v>
      </c>
      <c r="AG17" s="244">
        <v>7000</v>
      </c>
      <c r="AH17" s="244">
        <v>7500</v>
      </c>
      <c r="AI17" s="244">
        <v>7500</v>
      </c>
      <c r="AJ17" s="244">
        <v>7500</v>
      </c>
      <c r="AK17" s="244">
        <v>8500</v>
      </c>
      <c r="AL17" s="244">
        <v>8500</v>
      </c>
      <c r="AM17" s="245">
        <v>200</v>
      </c>
      <c r="AN17" s="245">
        <v>200</v>
      </c>
      <c r="AO17" s="245">
        <v>200</v>
      </c>
      <c r="AP17" s="244">
        <v>7500</v>
      </c>
      <c r="AQ17" s="244">
        <v>8500</v>
      </c>
      <c r="AR17" s="244">
        <v>8500</v>
      </c>
      <c r="AS17" s="244">
        <v>7500</v>
      </c>
      <c r="AT17" s="244">
        <v>8500</v>
      </c>
      <c r="AU17" s="244">
        <v>8500</v>
      </c>
      <c r="AV17" s="244">
        <v>7500</v>
      </c>
      <c r="AW17" s="244">
        <v>8500</v>
      </c>
      <c r="AX17" s="244">
        <v>8500</v>
      </c>
      <c r="AY17" s="244">
        <v>7600</v>
      </c>
      <c r="AZ17" s="244">
        <v>8700</v>
      </c>
      <c r="BA17" s="244">
        <v>8700</v>
      </c>
      <c r="BB17" s="244">
        <v>7750</v>
      </c>
      <c r="BC17" s="244">
        <v>8750</v>
      </c>
      <c r="BD17" s="244">
        <v>8750</v>
      </c>
      <c r="BE17" s="244">
        <v>7600</v>
      </c>
      <c r="BF17" s="244">
        <v>8600</v>
      </c>
      <c r="BG17" s="244">
        <v>8600</v>
      </c>
      <c r="BH17" s="244">
        <v>7400</v>
      </c>
      <c r="BI17" s="244">
        <v>7900</v>
      </c>
      <c r="BJ17" s="268">
        <v>7900</v>
      </c>
      <c r="BK17" s="244">
        <v>7400</v>
      </c>
      <c r="BL17" s="244">
        <v>7900</v>
      </c>
      <c r="BM17" s="244">
        <v>7900</v>
      </c>
      <c r="BN17" s="269">
        <v>7400</v>
      </c>
      <c r="BO17" s="244">
        <v>7900</v>
      </c>
      <c r="BP17" s="244">
        <v>7900</v>
      </c>
      <c r="BQ17" s="244">
        <f t="shared" si="0"/>
        <v>10191</v>
      </c>
      <c r="BR17" s="244">
        <f t="shared" si="1"/>
        <v>10691</v>
      </c>
      <c r="BS17" s="244">
        <f t="shared" si="2"/>
        <v>10691</v>
      </c>
    </row>
    <row r="18" spans="1:71" ht="14.5" x14ac:dyDescent="0.35">
      <c r="A18" s="169" t="s">
        <v>320</v>
      </c>
      <c r="B18" s="193" t="s">
        <v>321</v>
      </c>
      <c r="C18" s="270">
        <v>6100</v>
      </c>
      <c r="D18" s="270">
        <v>6500</v>
      </c>
      <c r="E18" s="270">
        <v>6500</v>
      </c>
      <c r="F18" s="270">
        <v>6100</v>
      </c>
      <c r="G18" s="270">
        <v>6500</v>
      </c>
      <c r="H18" s="270">
        <v>6500</v>
      </c>
      <c r="I18" s="270">
        <v>6100</v>
      </c>
      <c r="J18" s="270">
        <v>6500</v>
      </c>
      <c r="K18" s="270">
        <v>6500</v>
      </c>
      <c r="L18" s="270">
        <v>6100</v>
      </c>
      <c r="M18" s="270">
        <v>6500</v>
      </c>
      <c r="N18" s="270">
        <v>6500</v>
      </c>
      <c r="O18" s="270">
        <v>6100</v>
      </c>
      <c r="P18" s="270">
        <v>6500</v>
      </c>
      <c r="Q18" s="270">
        <v>6500</v>
      </c>
      <c r="R18" s="270">
        <v>6200</v>
      </c>
      <c r="S18" s="270">
        <v>6600</v>
      </c>
      <c r="T18" s="270">
        <v>6600</v>
      </c>
      <c r="U18" s="270">
        <v>6200</v>
      </c>
      <c r="V18" s="270">
        <v>6600</v>
      </c>
      <c r="W18" s="270">
        <v>6600</v>
      </c>
      <c r="X18" s="270">
        <v>6200</v>
      </c>
      <c r="Y18" s="270">
        <v>6600</v>
      </c>
      <c r="Z18" s="270">
        <v>6600</v>
      </c>
      <c r="AA18" s="270">
        <v>6100</v>
      </c>
      <c r="AB18" s="270">
        <v>6500</v>
      </c>
      <c r="AC18" s="270">
        <v>6500</v>
      </c>
      <c r="AD18" s="270">
        <v>6100</v>
      </c>
      <c r="AE18" s="270">
        <v>6500</v>
      </c>
      <c r="AF18" s="270">
        <v>6500</v>
      </c>
      <c r="AG18" s="270">
        <v>5900</v>
      </c>
      <c r="AH18" s="270">
        <v>6300</v>
      </c>
      <c r="AI18" s="270">
        <v>6300</v>
      </c>
      <c r="AJ18" s="270">
        <v>6700</v>
      </c>
      <c r="AK18" s="270">
        <v>7300</v>
      </c>
      <c r="AL18" s="270">
        <v>7300</v>
      </c>
      <c r="AM18" s="271">
        <v>1125</v>
      </c>
      <c r="AN18" s="271">
        <v>1250</v>
      </c>
      <c r="AO18" s="271">
        <v>1250</v>
      </c>
      <c r="AP18" s="270">
        <v>6700</v>
      </c>
      <c r="AQ18" s="270">
        <v>7300</v>
      </c>
      <c r="AR18" s="270">
        <v>7300</v>
      </c>
      <c r="AS18" s="270">
        <v>6700</v>
      </c>
      <c r="AT18" s="270">
        <v>7300</v>
      </c>
      <c r="AU18" s="270">
        <v>7300</v>
      </c>
      <c r="AV18" s="244">
        <v>6700</v>
      </c>
      <c r="AW18" s="244">
        <v>7300</v>
      </c>
      <c r="AX18" s="244">
        <v>7300</v>
      </c>
      <c r="AY18" s="270">
        <v>6800</v>
      </c>
      <c r="AZ18" s="270">
        <v>7500</v>
      </c>
      <c r="BA18" s="270">
        <v>7500</v>
      </c>
      <c r="BB18" s="270">
        <v>6950</v>
      </c>
      <c r="BC18" s="270">
        <v>7550</v>
      </c>
      <c r="BD18" s="270">
        <v>7550</v>
      </c>
      <c r="BE18" s="244">
        <v>6800</v>
      </c>
      <c r="BF18" s="244">
        <v>7400</v>
      </c>
      <c r="BG18" s="244">
        <v>7400</v>
      </c>
      <c r="BH18" s="270">
        <v>6800</v>
      </c>
      <c r="BI18" s="270">
        <v>7300</v>
      </c>
      <c r="BJ18" s="272">
        <v>7300</v>
      </c>
      <c r="BK18" s="244">
        <v>6800</v>
      </c>
      <c r="BL18" s="244">
        <v>7300</v>
      </c>
      <c r="BM18" s="244">
        <v>7300</v>
      </c>
      <c r="BN18" s="273">
        <v>6800</v>
      </c>
      <c r="BO18" s="270">
        <v>7300</v>
      </c>
      <c r="BP18" s="270">
        <v>7300</v>
      </c>
      <c r="BQ18" s="244">
        <f t="shared" si="0"/>
        <v>9591</v>
      </c>
      <c r="BR18" s="244">
        <f t="shared" si="1"/>
        <v>10091</v>
      </c>
      <c r="BS18" s="244">
        <f t="shared" si="2"/>
        <v>10091</v>
      </c>
    </row>
    <row r="19" spans="1:71" ht="14.5" x14ac:dyDescent="0.35">
      <c r="A19" s="169" t="s">
        <v>322</v>
      </c>
      <c r="B19" s="193" t="s">
        <v>323</v>
      </c>
      <c r="C19" s="244">
        <v>7200</v>
      </c>
      <c r="D19" s="244">
        <v>7700</v>
      </c>
      <c r="E19" s="244">
        <v>7700</v>
      </c>
      <c r="F19" s="244">
        <v>7200</v>
      </c>
      <c r="G19" s="244">
        <v>7700</v>
      </c>
      <c r="H19" s="244">
        <v>7700</v>
      </c>
      <c r="I19" s="244">
        <v>7200</v>
      </c>
      <c r="J19" s="244">
        <v>7700</v>
      </c>
      <c r="K19" s="244">
        <v>7700</v>
      </c>
      <c r="L19" s="244">
        <v>7200</v>
      </c>
      <c r="M19" s="244">
        <v>7700</v>
      </c>
      <c r="N19" s="244">
        <v>7700</v>
      </c>
      <c r="O19" s="244">
        <v>7200</v>
      </c>
      <c r="P19" s="244">
        <v>7700</v>
      </c>
      <c r="Q19" s="244">
        <v>7700</v>
      </c>
      <c r="R19" s="244">
        <v>7300</v>
      </c>
      <c r="S19" s="244">
        <v>7800</v>
      </c>
      <c r="T19" s="244">
        <v>7800</v>
      </c>
      <c r="U19" s="244">
        <v>7300</v>
      </c>
      <c r="V19" s="244">
        <v>7800</v>
      </c>
      <c r="W19" s="244">
        <v>7800</v>
      </c>
      <c r="X19" s="244">
        <v>7300</v>
      </c>
      <c r="Y19" s="244">
        <v>7800</v>
      </c>
      <c r="Z19" s="244">
        <v>7800</v>
      </c>
      <c r="AA19" s="244">
        <v>7200</v>
      </c>
      <c r="AB19" s="244">
        <v>7700</v>
      </c>
      <c r="AC19" s="244">
        <v>7700</v>
      </c>
      <c r="AD19" s="244">
        <v>7200</v>
      </c>
      <c r="AE19" s="244">
        <v>7700</v>
      </c>
      <c r="AF19" s="244">
        <v>7700</v>
      </c>
      <c r="AG19" s="244">
        <v>7000</v>
      </c>
      <c r="AH19" s="244">
        <v>7500</v>
      </c>
      <c r="AI19" s="244">
        <v>7500</v>
      </c>
      <c r="AJ19" s="244">
        <v>7500</v>
      </c>
      <c r="AK19" s="244">
        <v>8500</v>
      </c>
      <c r="AL19" s="244">
        <v>8500</v>
      </c>
      <c r="AM19" s="245">
        <v>200</v>
      </c>
      <c r="AN19" s="245">
        <v>200</v>
      </c>
      <c r="AO19" s="245">
        <v>200</v>
      </c>
      <c r="AP19" s="244">
        <v>7500</v>
      </c>
      <c r="AQ19" s="244">
        <v>8500</v>
      </c>
      <c r="AR19" s="244">
        <v>8500</v>
      </c>
      <c r="AS19" s="244">
        <v>7500</v>
      </c>
      <c r="AT19" s="244">
        <v>8500</v>
      </c>
      <c r="AU19" s="244">
        <v>8500</v>
      </c>
      <c r="AV19" s="244">
        <v>7500</v>
      </c>
      <c r="AW19" s="244">
        <v>8500</v>
      </c>
      <c r="AX19" s="244">
        <v>8500</v>
      </c>
      <c r="AY19" s="244">
        <v>7600</v>
      </c>
      <c r="AZ19" s="244">
        <v>8700</v>
      </c>
      <c r="BA19" s="244">
        <v>8700</v>
      </c>
      <c r="BB19" s="244">
        <v>7750</v>
      </c>
      <c r="BC19" s="244">
        <v>8750</v>
      </c>
      <c r="BD19" s="244">
        <v>8750</v>
      </c>
      <c r="BE19" s="244">
        <v>7600</v>
      </c>
      <c r="BF19" s="244">
        <v>8600</v>
      </c>
      <c r="BG19" s="244">
        <v>8600</v>
      </c>
      <c r="BH19" s="244">
        <v>7400</v>
      </c>
      <c r="BI19" s="244">
        <v>7900</v>
      </c>
      <c r="BJ19" s="268">
        <v>7900</v>
      </c>
      <c r="BK19" s="244">
        <v>7400</v>
      </c>
      <c r="BL19" s="244">
        <v>7900</v>
      </c>
      <c r="BM19" s="244">
        <v>7900</v>
      </c>
      <c r="BN19" s="269">
        <v>7400</v>
      </c>
      <c r="BO19" s="244">
        <v>7900</v>
      </c>
      <c r="BP19" s="244">
        <v>7900</v>
      </c>
      <c r="BQ19" s="244">
        <f t="shared" si="0"/>
        <v>10191</v>
      </c>
      <c r="BR19" s="244">
        <f t="shared" si="1"/>
        <v>10691</v>
      </c>
      <c r="BS19" s="244">
        <f t="shared" si="2"/>
        <v>10691</v>
      </c>
    </row>
    <row r="20" spans="1:71" ht="14.5" x14ac:dyDescent="0.35">
      <c r="A20" s="169" t="s">
        <v>407</v>
      </c>
      <c r="B20" s="193" t="s">
        <v>408</v>
      </c>
      <c r="C20" s="244">
        <v>7200</v>
      </c>
      <c r="D20" s="244">
        <v>7700</v>
      </c>
      <c r="E20" s="244">
        <v>7700</v>
      </c>
      <c r="F20" s="244">
        <v>7200</v>
      </c>
      <c r="G20" s="244">
        <v>7700</v>
      </c>
      <c r="H20" s="244">
        <v>7700</v>
      </c>
      <c r="I20" s="244">
        <v>7200</v>
      </c>
      <c r="J20" s="244">
        <v>7700</v>
      </c>
      <c r="K20" s="244">
        <v>7700</v>
      </c>
      <c r="L20" s="244">
        <v>7200</v>
      </c>
      <c r="M20" s="244">
        <v>7700</v>
      </c>
      <c r="N20" s="244">
        <v>7700</v>
      </c>
      <c r="O20" s="244">
        <v>7200</v>
      </c>
      <c r="P20" s="244">
        <v>7700</v>
      </c>
      <c r="Q20" s="244">
        <v>7700</v>
      </c>
      <c r="R20" s="244">
        <v>7300</v>
      </c>
      <c r="S20" s="244">
        <v>7800</v>
      </c>
      <c r="T20" s="244">
        <v>7800</v>
      </c>
      <c r="U20" s="244">
        <v>7300</v>
      </c>
      <c r="V20" s="244">
        <v>7800</v>
      </c>
      <c r="W20" s="244">
        <v>7800</v>
      </c>
      <c r="X20" s="244">
        <v>7300</v>
      </c>
      <c r="Y20" s="244">
        <v>7800</v>
      </c>
      <c r="Z20" s="244">
        <v>7800</v>
      </c>
      <c r="AA20" s="244">
        <v>7200</v>
      </c>
      <c r="AB20" s="244">
        <v>7700</v>
      </c>
      <c r="AC20" s="244">
        <v>7700</v>
      </c>
      <c r="AD20" s="244">
        <v>7200</v>
      </c>
      <c r="AE20" s="244">
        <v>7700</v>
      </c>
      <c r="AF20" s="244">
        <v>7700</v>
      </c>
      <c r="AG20" s="244">
        <v>7000</v>
      </c>
      <c r="AH20" s="244">
        <v>7500</v>
      </c>
      <c r="AI20" s="244">
        <v>7500</v>
      </c>
      <c r="AJ20" s="244">
        <v>7500</v>
      </c>
      <c r="AK20" s="244">
        <v>8500</v>
      </c>
      <c r="AL20" s="244">
        <v>8500</v>
      </c>
      <c r="AM20" s="245">
        <v>200</v>
      </c>
      <c r="AN20" s="245">
        <v>200</v>
      </c>
      <c r="AO20" s="245">
        <v>200</v>
      </c>
      <c r="AP20" s="244">
        <v>7500</v>
      </c>
      <c r="AQ20" s="244">
        <v>8500</v>
      </c>
      <c r="AR20" s="244">
        <v>8500</v>
      </c>
      <c r="AS20" s="244">
        <v>7500</v>
      </c>
      <c r="AT20" s="244">
        <v>8500</v>
      </c>
      <c r="AU20" s="244">
        <v>8500</v>
      </c>
      <c r="AV20" s="244">
        <v>7500</v>
      </c>
      <c r="AW20" s="244">
        <v>8500</v>
      </c>
      <c r="AX20" s="244">
        <v>8500</v>
      </c>
      <c r="AY20" s="244">
        <v>7600</v>
      </c>
      <c r="AZ20" s="244">
        <v>8700</v>
      </c>
      <c r="BA20" s="244">
        <v>8700</v>
      </c>
      <c r="BB20" s="244">
        <v>7750</v>
      </c>
      <c r="BC20" s="244">
        <v>8750</v>
      </c>
      <c r="BD20" s="244">
        <v>8750</v>
      </c>
      <c r="BE20" s="244">
        <v>7600</v>
      </c>
      <c r="BF20" s="244">
        <v>8600</v>
      </c>
      <c r="BG20" s="244">
        <v>8600</v>
      </c>
      <c r="BH20" s="244">
        <v>7400</v>
      </c>
      <c r="BI20" s="244">
        <v>7900</v>
      </c>
      <c r="BJ20" s="244">
        <v>7900</v>
      </c>
      <c r="BK20" s="244">
        <v>7400</v>
      </c>
      <c r="BL20" s="244">
        <v>7900</v>
      </c>
      <c r="BM20" s="244">
        <v>7900</v>
      </c>
      <c r="BN20" s="269">
        <v>7400</v>
      </c>
      <c r="BO20" s="244">
        <v>7900</v>
      </c>
      <c r="BP20" s="244">
        <v>7900</v>
      </c>
      <c r="BQ20" s="244">
        <f t="shared" si="0"/>
        <v>10191</v>
      </c>
      <c r="BR20" s="244">
        <f t="shared" si="1"/>
        <v>10691</v>
      </c>
      <c r="BS20" s="244">
        <f t="shared" si="2"/>
        <v>10691</v>
      </c>
    </row>
    <row r="21" spans="1:71" ht="14.5" x14ac:dyDescent="0.35">
      <c r="A21" s="169" t="s">
        <v>324</v>
      </c>
      <c r="B21" s="193" t="s">
        <v>325</v>
      </c>
      <c r="C21" s="244">
        <v>5700</v>
      </c>
      <c r="D21" s="244">
        <v>6000</v>
      </c>
      <c r="E21" s="244">
        <v>6000</v>
      </c>
      <c r="F21" s="244">
        <v>5700</v>
      </c>
      <c r="G21" s="244">
        <v>6000</v>
      </c>
      <c r="H21" s="244">
        <v>6000</v>
      </c>
      <c r="I21" s="244">
        <v>5700</v>
      </c>
      <c r="J21" s="244">
        <v>6000</v>
      </c>
      <c r="K21" s="244">
        <v>6000</v>
      </c>
      <c r="L21" s="244">
        <v>5700</v>
      </c>
      <c r="M21" s="244">
        <v>6000</v>
      </c>
      <c r="N21" s="244">
        <v>6000</v>
      </c>
      <c r="O21" s="244">
        <v>5700</v>
      </c>
      <c r="P21" s="244">
        <v>6000</v>
      </c>
      <c r="Q21" s="244">
        <v>6000</v>
      </c>
      <c r="R21" s="244">
        <v>5775</v>
      </c>
      <c r="S21" s="244">
        <v>6100</v>
      </c>
      <c r="T21" s="244">
        <v>6100</v>
      </c>
      <c r="U21" s="244">
        <v>5775</v>
      </c>
      <c r="V21" s="244">
        <v>6100</v>
      </c>
      <c r="W21" s="244">
        <v>6100</v>
      </c>
      <c r="X21" s="244">
        <v>5775</v>
      </c>
      <c r="Y21" s="244">
        <v>6100</v>
      </c>
      <c r="Z21" s="244">
        <v>6100</v>
      </c>
      <c r="AA21" s="244">
        <v>5700</v>
      </c>
      <c r="AB21" s="244">
        <v>6000</v>
      </c>
      <c r="AC21" s="244">
        <v>6000</v>
      </c>
      <c r="AD21" s="244">
        <v>5700</v>
      </c>
      <c r="AE21" s="244">
        <v>6000</v>
      </c>
      <c r="AF21" s="244">
        <v>6000</v>
      </c>
      <c r="AG21" s="244">
        <v>5500</v>
      </c>
      <c r="AH21" s="244">
        <v>5800</v>
      </c>
      <c r="AI21" s="244">
        <v>5800</v>
      </c>
      <c r="AJ21" s="244">
        <v>5950</v>
      </c>
      <c r="AK21" s="244">
        <v>8050</v>
      </c>
      <c r="AL21" s="244">
        <v>8050</v>
      </c>
      <c r="AM21" s="245">
        <v>200</v>
      </c>
      <c r="AN21" s="245">
        <v>200</v>
      </c>
      <c r="AO21" s="245">
        <v>200</v>
      </c>
      <c r="AP21" s="244">
        <v>6190</v>
      </c>
      <c r="AQ21" s="244">
        <v>8290</v>
      </c>
      <c r="AR21" s="244">
        <v>8290</v>
      </c>
      <c r="AS21" s="244">
        <v>5950</v>
      </c>
      <c r="AT21" s="244">
        <v>8050</v>
      </c>
      <c r="AU21" s="244">
        <v>8050</v>
      </c>
      <c r="AV21" s="244">
        <v>5950</v>
      </c>
      <c r="AW21" s="244">
        <v>8050</v>
      </c>
      <c r="AX21" s="244">
        <v>8050</v>
      </c>
      <c r="AY21" s="244">
        <v>5950</v>
      </c>
      <c r="AZ21" s="244">
        <v>8200</v>
      </c>
      <c r="BA21" s="244">
        <v>8200</v>
      </c>
      <c r="BB21" s="244">
        <v>6100</v>
      </c>
      <c r="BC21" s="244">
        <v>8250</v>
      </c>
      <c r="BD21" s="244">
        <v>8250</v>
      </c>
      <c r="BE21" s="244">
        <v>6400</v>
      </c>
      <c r="BF21" s="244">
        <v>7300</v>
      </c>
      <c r="BG21" s="244">
        <v>7300</v>
      </c>
      <c r="BH21" s="244">
        <v>6275</v>
      </c>
      <c r="BI21" s="244">
        <v>6450</v>
      </c>
      <c r="BJ21" s="268">
        <v>6450</v>
      </c>
      <c r="BK21" s="244">
        <v>6275</v>
      </c>
      <c r="BL21" s="244">
        <v>6450</v>
      </c>
      <c r="BM21" s="244">
        <v>6450</v>
      </c>
      <c r="BN21" s="269">
        <v>6275</v>
      </c>
      <c r="BO21" s="244">
        <v>6450</v>
      </c>
      <c r="BP21" s="244">
        <v>6450</v>
      </c>
      <c r="BQ21" s="244">
        <f t="shared" si="0"/>
        <v>9066</v>
      </c>
      <c r="BR21" s="244">
        <f t="shared" si="1"/>
        <v>9241</v>
      </c>
      <c r="BS21" s="244">
        <f t="shared" si="2"/>
        <v>9241</v>
      </c>
    </row>
    <row r="22" spans="1:71" ht="14.5" x14ac:dyDescent="0.35">
      <c r="A22" s="169" t="s">
        <v>326</v>
      </c>
      <c r="B22" s="193" t="s">
        <v>327</v>
      </c>
      <c r="C22" s="244">
        <v>5700</v>
      </c>
      <c r="D22" s="244">
        <v>6000</v>
      </c>
      <c r="E22" s="244">
        <v>6000</v>
      </c>
      <c r="F22" s="244">
        <v>5700</v>
      </c>
      <c r="G22" s="244">
        <v>6000</v>
      </c>
      <c r="H22" s="244">
        <v>6000</v>
      </c>
      <c r="I22" s="244">
        <v>5700</v>
      </c>
      <c r="J22" s="244">
        <v>6000</v>
      </c>
      <c r="K22" s="244">
        <v>6000</v>
      </c>
      <c r="L22" s="244">
        <v>5700</v>
      </c>
      <c r="M22" s="244">
        <v>6000</v>
      </c>
      <c r="N22" s="244">
        <v>6000</v>
      </c>
      <c r="O22" s="244">
        <v>5700</v>
      </c>
      <c r="P22" s="244">
        <v>6000</v>
      </c>
      <c r="Q22" s="244">
        <v>6000</v>
      </c>
      <c r="R22" s="244">
        <v>5775</v>
      </c>
      <c r="S22" s="244">
        <v>6100</v>
      </c>
      <c r="T22" s="244">
        <v>6100</v>
      </c>
      <c r="U22" s="244">
        <v>5775</v>
      </c>
      <c r="V22" s="244">
        <v>6100</v>
      </c>
      <c r="W22" s="244">
        <v>6100</v>
      </c>
      <c r="X22" s="244">
        <v>5775</v>
      </c>
      <c r="Y22" s="244">
        <v>6100</v>
      </c>
      <c r="Z22" s="244">
        <v>6100</v>
      </c>
      <c r="AA22" s="244">
        <v>5700</v>
      </c>
      <c r="AB22" s="244">
        <v>6000</v>
      </c>
      <c r="AC22" s="244">
        <v>6000</v>
      </c>
      <c r="AD22" s="244">
        <v>5700</v>
      </c>
      <c r="AE22" s="244">
        <v>6000</v>
      </c>
      <c r="AF22" s="244">
        <v>6000</v>
      </c>
      <c r="AG22" s="244">
        <v>5500</v>
      </c>
      <c r="AH22" s="244">
        <v>5800</v>
      </c>
      <c r="AI22" s="244">
        <v>5800</v>
      </c>
      <c r="AJ22" s="244">
        <v>5950</v>
      </c>
      <c r="AK22" s="244">
        <v>8050</v>
      </c>
      <c r="AL22" s="244">
        <v>8050</v>
      </c>
      <c r="AM22" s="245">
        <v>200</v>
      </c>
      <c r="AN22" s="245">
        <v>200</v>
      </c>
      <c r="AO22" s="245">
        <v>200</v>
      </c>
      <c r="AP22" s="244">
        <v>6190</v>
      </c>
      <c r="AQ22" s="244">
        <v>8290</v>
      </c>
      <c r="AR22" s="244">
        <v>8290</v>
      </c>
      <c r="AS22" s="244">
        <v>5950</v>
      </c>
      <c r="AT22" s="244">
        <v>8050</v>
      </c>
      <c r="AU22" s="244">
        <v>8050</v>
      </c>
      <c r="AV22" s="244">
        <v>5950</v>
      </c>
      <c r="AW22" s="244">
        <v>8050</v>
      </c>
      <c r="AX22" s="244">
        <v>8050</v>
      </c>
      <c r="AY22" s="244">
        <v>5950</v>
      </c>
      <c r="AZ22" s="244">
        <v>8200</v>
      </c>
      <c r="BA22" s="244">
        <v>8200</v>
      </c>
      <c r="BB22" s="244">
        <v>6100</v>
      </c>
      <c r="BC22" s="244">
        <v>8250</v>
      </c>
      <c r="BD22" s="244">
        <v>8250</v>
      </c>
      <c r="BE22" s="244">
        <v>6400</v>
      </c>
      <c r="BF22" s="244">
        <v>7300</v>
      </c>
      <c r="BG22" s="244">
        <v>7300</v>
      </c>
      <c r="BH22" s="244">
        <v>6275</v>
      </c>
      <c r="BI22" s="244">
        <v>6450</v>
      </c>
      <c r="BJ22" s="268">
        <v>6450</v>
      </c>
      <c r="BK22" s="244">
        <v>6275</v>
      </c>
      <c r="BL22" s="244">
        <v>6450</v>
      </c>
      <c r="BM22" s="244">
        <v>6450</v>
      </c>
      <c r="BN22" s="269">
        <v>6275</v>
      </c>
      <c r="BO22" s="244">
        <v>6450</v>
      </c>
      <c r="BP22" s="244">
        <v>6450</v>
      </c>
      <c r="BQ22" s="244">
        <f t="shared" si="0"/>
        <v>9066</v>
      </c>
      <c r="BR22" s="244">
        <f t="shared" si="1"/>
        <v>9241</v>
      </c>
      <c r="BS22" s="244">
        <f t="shared" si="2"/>
        <v>9241</v>
      </c>
    </row>
    <row r="23" spans="1:71" ht="14.5" x14ac:dyDescent="0.35">
      <c r="A23" s="169" t="s">
        <v>328</v>
      </c>
      <c r="B23" s="193" t="s">
        <v>329</v>
      </c>
      <c r="C23" s="274">
        <v>200</v>
      </c>
      <c r="D23" s="274">
        <v>200</v>
      </c>
      <c r="E23" s="274">
        <v>200</v>
      </c>
      <c r="F23" s="274">
        <v>200</v>
      </c>
      <c r="G23" s="274">
        <v>200</v>
      </c>
      <c r="H23" s="274">
        <v>200</v>
      </c>
      <c r="I23" s="274">
        <v>200</v>
      </c>
      <c r="J23" s="274">
        <v>200</v>
      </c>
      <c r="K23" s="274">
        <v>200</v>
      </c>
      <c r="L23" s="274">
        <v>200</v>
      </c>
      <c r="M23" s="274">
        <v>200</v>
      </c>
      <c r="N23" s="274">
        <v>200</v>
      </c>
      <c r="O23" s="274">
        <v>200</v>
      </c>
      <c r="P23" s="274">
        <v>200</v>
      </c>
      <c r="Q23" s="274">
        <v>200</v>
      </c>
      <c r="R23" s="274">
        <v>200</v>
      </c>
      <c r="S23" s="274">
        <v>200</v>
      </c>
      <c r="T23" s="274">
        <v>200</v>
      </c>
      <c r="U23" s="274">
        <v>200</v>
      </c>
      <c r="V23" s="274">
        <v>200</v>
      </c>
      <c r="W23" s="274">
        <v>200</v>
      </c>
      <c r="X23" s="274">
        <v>200</v>
      </c>
      <c r="Y23" s="274">
        <v>200</v>
      </c>
      <c r="Z23" s="274">
        <v>200</v>
      </c>
      <c r="AA23" s="274">
        <v>200</v>
      </c>
      <c r="AB23" s="274">
        <v>200</v>
      </c>
      <c r="AC23" s="274">
        <v>200</v>
      </c>
      <c r="AD23" s="274">
        <v>200</v>
      </c>
      <c r="AE23" s="274">
        <v>200</v>
      </c>
      <c r="AF23" s="274">
        <v>200</v>
      </c>
      <c r="AG23" s="274">
        <v>200</v>
      </c>
      <c r="AH23" s="274">
        <v>200</v>
      </c>
      <c r="AI23" s="274">
        <v>200</v>
      </c>
      <c r="AJ23" s="274">
        <v>200</v>
      </c>
      <c r="AK23" s="274">
        <v>200</v>
      </c>
      <c r="AL23" s="274">
        <v>200</v>
      </c>
      <c r="AM23" s="274">
        <v>200</v>
      </c>
      <c r="AN23" s="274">
        <v>200</v>
      </c>
      <c r="AO23" s="274">
        <v>200</v>
      </c>
      <c r="AP23" s="274">
        <v>200</v>
      </c>
      <c r="AQ23" s="274">
        <v>200</v>
      </c>
      <c r="AR23" s="274">
        <v>200</v>
      </c>
      <c r="AS23" s="274">
        <v>200</v>
      </c>
      <c r="AT23" s="274">
        <v>200</v>
      </c>
      <c r="AU23" s="274">
        <v>200</v>
      </c>
      <c r="AV23" s="245">
        <v>200</v>
      </c>
      <c r="AW23" s="245">
        <v>200</v>
      </c>
      <c r="AX23" s="245">
        <v>200</v>
      </c>
      <c r="AY23" s="274">
        <v>200</v>
      </c>
      <c r="AZ23" s="274">
        <v>200</v>
      </c>
      <c r="BA23" s="274">
        <v>200</v>
      </c>
      <c r="BB23" s="274">
        <v>200</v>
      </c>
      <c r="BC23" s="274">
        <v>200</v>
      </c>
      <c r="BD23" s="274">
        <v>200</v>
      </c>
      <c r="BE23" s="245">
        <v>200</v>
      </c>
      <c r="BF23" s="245">
        <v>200</v>
      </c>
      <c r="BG23" s="245">
        <v>200</v>
      </c>
      <c r="BH23" s="274">
        <v>200</v>
      </c>
      <c r="BI23" s="274">
        <v>200</v>
      </c>
      <c r="BJ23" s="275">
        <v>200</v>
      </c>
      <c r="BK23" s="245">
        <v>200</v>
      </c>
      <c r="BL23" s="245">
        <v>200</v>
      </c>
      <c r="BM23" s="245">
        <v>200</v>
      </c>
      <c r="BN23" s="276">
        <v>200</v>
      </c>
      <c r="BO23" s="274">
        <v>200</v>
      </c>
      <c r="BP23" s="274">
        <v>200</v>
      </c>
      <c r="BQ23" s="245"/>
      <c r="BR23" s="245"/>
      <c r="BS23" s="245"/>
    </row>
    <row r="24" spans="1:71" ht="14.5" x14ac:dyDescent="0.35">
      <c r="A24" s="169" t="s">
        <v>330</v>
      </c>
      <c r="B24" s="194" t="s">
        <v>331</v>
      </c>
      <c r="C24" s="244">
        <v>8400</v>
      </c>
      <c r="D24" s="244">
        <v>8500</v>
      </c>
      <c r="E24" s="244">
        <v>8500</v>
      </c>
      <c r="F24" s="244">
        <v>8400</v>
      </c>
      <c r="G24" s="244">
        <v>8500</v>
      </c>
      <c r="H24" s="244">
        <v>8500</v>
      </c>
      <c r="I24" s="244">
        <v>8400</v>
      </c>
      <c r="J24" s="244">
        <v>8500</v>
      </c>
      <c r="K24" s="244">
        <v>8500</v>
      </c>
      <c r="L24" s="244">
        <v>8400</v>
      </c>
      <c r="M24" s="244">
        <v>8500</v>
      </c>
      <c r="N24" s="244">
        <v>8500</v>
      </c>
      <c r="O24" s="244">
        <v>8400</v>
      </c>
      <c r="P24" s="244">
        <v>8500</v>
      </c>
      <c r="Q24" s="244">
        <v>8500</v>
      </c>
      <c r="R24" s="244">
        <v>8425</v>
      </c>
      <c r="S24" s="244">
        <v>8575</v>
      </c>
      <c r="T24" s="244">
        <v>8575</v>
      </c>
      <c r="U24" s="244">
        <v>8425</v>
      </c>
      <c r="V24" s="244">
        <v>8575</v>
      </c>
      <c r="W24" s="244">
        <v>8575</v>
      </c>
      <c r="X24" s="244">
        <v>8425</v>
      </c>
      <c r="Y24" s="244">
        <v>8575</v>
      </c>
      <c r="Z24" s="244">
        <v>8575</v>
      </c>
      <c r="AA24" s="244">
        <v>8400</v>
      </c>
      <c r="AB24" s="244">
        <v>8500</v>
      </c>
      <c r="AC24" s="244">
        <v>8500</v>
      </c>
      <c r="AD24" s="244">
        <v>8400</v>
      </c>
      <c r="AE24" s="244">
        <v>8500</v>
      </c>
      <c r="AF24" s="244">
        <v>8500</v>
      </c>
      <c r="AG24" s="244">
        <v>8200</v>
      </c>
      <c r="AH24" s="244">
        <v>8300</v>
      </c>
      <c r="AI24" s="244">
        <v>8300</v>
      </c>
      <c r="AJ24" s="244">
        <v>8600</v>
      </c>
      <c r="AK24" s="244">
        <v>8600</v>
      </c>
      <c r="AL24" s="244">
        <v>8650</v>
      </c>
      <c r="AM24" s="245">
        <v>200</v>
      </c>
      <c r="AN24" s="245">
        <v>200</v>
      </c>
      <c r="AO24" s="245">
        <v>200</v>
      </c>
      <c r="AP24" s="244">
        <v>8740</v>
      </c>
      <c r="AQ24" s="244">
        <v>8650</v>
      </c>
      <c r="AR24" s="244">
        <v>8650</v>
      </c>
      <c r="AS24" s="244">
        <v>8600</v>
      </c>
      <c r="AT24" s="244">
        <v>8600</v>
      </c>
      <c r="AU24" s="244">
        <v>8650</v>
      </c>
      <c r="AV24" s="244">
        <v>8600</v>
      </c>
      <c r="AW24" s="244">
        <v>8600</v>
      </c>
      <c r="AX24" s="244">
        <v>8650</v>
      </c>
      <c r="AY24" s="244">
        <v>8650</v>
      </c>
      <c r="AZ24" s="244">
        <v>8850</v>
      </c>
      <c r="BA24" s="244">
        <v>8850</v>
      </c>
      <c r="BB24" s="244">
        <v>8800</v>
      </c>
      <c r="BC24" s="244">
        <v>8900</v>
      </c>
      <c r="BD24" s="244">
        <v>8900</v>
      </c>
      <c r="BE24" s="244">
        <v>9275</v>
      </c>
      <c r="BF24" s="244">
        <v>9875</v>
      </c>
      <c r="BG24" s="244">
        <v>9875</v>
      </c>
      <c r="BH24" s="244">
        <v>8600</v>
      </c>
      <c r="BI24" s="244">
        <v>8700</v>
      </c>
      <c r="BJ24" s="268">
        <v>8700</v>
      </c>
      <c r="BK24" s="244">
        <v>8600</v>
      </c>
      <c r="BL24" s="244">
        <v>8700</v>
      </c>
      <c r="BM24" s="244">
        <v>8700</v>
      </c>
      <c r="BN24" s="269">
        <v>8600</v>
      </c>
      <c r="BO24" s="244">
        <v>8700</v>
      </c>
      <c r="BP24" s="244">
        <v>8700</v>
      </c>
      <c r="BQ24" s="244">
        <f t="shared" si="0"/>
        <v>11391</v>
      </c>
      <c r="BR24" s="244">
        <f t="shared" si="1"/>
        <v>11491</v>
      </c>
      <c r="BS24" s="244">
        <f t="shared" si="2"/>
        <v>11491</v>
      </c>
    </row>
    <row r="25" spans="1:71" ht="14.25" customHeight="1" x14ac:dyDescent="0.3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3"/>
      <c r="BS25" s="173"/>
    </row>
    <row r="26" spans="1:71" s="126" customFormat="1" ht="72.75" customHeight="1" x14ac:dyDescent="0.85">
      <c r="A26" s="195"/>
      <c r="B26" s="195"/>
      <c r="C26" s="196"/>
      <c r="D26" s="196"/>
      <c r="E26" s="196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  <c r="BQ26" s="195"/>
      <c r="BR26" s="197"/>
      <c r="BS26" s="197"/>
    </row>
    <row r="27" spans="1:71" ht="14.5" x14ac:dyDescent="0.35">
      <c r="A27" s="172" t="s">
        <v>477</v>
      </c>
      <c r="B27" s="172"/>
      <c r="C27" s="174"/>
      <c r="D27" s="174"/>
      <c r="E27" s="174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3"/>
      <c r="BS27" s="173"/>
    </row>
    <row r="28" spans="1:71" ht="14.25" customHeight="1" x14ac:dyDescent="0.3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3"/>
      <c r="BS28" s="173"/>
    </row>
    <row r="29" spans="1:71" ht="14.25" customHeight="1" x14ac:dyDescent="0.35">
      <c r="A29" s="182" t="s">
        <v>494</v>
      </c>
      <c r="B29" s="172"/>
      <c r="C29" s="172"/>
      <c r="D29" s="172"/>
      <c r="E29" s="172"/>
      <c r="F29" s="172"/>
      <c r="G29" s="172"/>
      <c r="H29" s="172"/>
      <c r="I29" s="172"/>
      <c r="J29" s="246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3"/>
      <c r="BS29" s="173"/>
    </row>
    <row r="30" spans="1:71" ht="14.25" customHeight="1" x14ac:dyDescent="0.35">
      <c r="A30" s="172" t="s">
        <v>190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3"/>
      <c r="BS30" s="173"/>
    </row>
    <row r="31" spans="1:71" ht="14.25" customHeight="1" x14ac:dyDescent="0.35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3"/>
      <c r="BS31" s="173"/>
    </row>
    <row r="32" spans="1:71" ht="14.25" customHeight="1" x14ac:dyDescent="0.3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3"/>
      <c r="BS32" s="173"/>
    </row>
    <row r="33" spans="1:71" ht="14.25" customHeight="1" x14ac:dyDescent="0.35">
      <c r="A33" s="172" t="s">
        <v>191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3"/>
      <c r="BS33" s="173"/>
    </row>
    <row r="34" spans="1:71" ht="14.25" customHeight="1" x14ac:dyDescent="0.35">
      <c r="A34" s="172" t="s">
        <v>192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3"/>
      <c r="BS34" s="173"/>
    </row>
    <row r="35" spans="1:71" ht="14.25" customHeight="1" x14ac:dyDescent="0.35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3"/>
      <c r="BS35" s="173"/>
    </row>
    <row r="36" spans="1:71" ht="15.75" customHeight="1" x14ac:dyDescent="0.35">
      <c r="A36" s="170" t="s">
        <v>503</v>
      </c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  <c r="BG36" s="170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84"/>
      <c r="BS36" s="184"/>
    </row>
    <row r="37" spans="1:71" ht="15.75" customHeight="1" x14ac:dyDescent="0.35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70"/>
      <c r="BG37" s="170"/>
      <c r="BH37" s="170"/>
      <c r="BI37" s="170"/>
      <c r="BJ37" s="170"/>
      <c r="BK37" s="170"/>
      <c r="BL37" s="170"/>
      <c r="BM37" s="170"/>
      <c r="BN37" s="170"/>
      <c r="BO37" s="170"/>
      <c r="BP37" s="170"/>
      <c r="BQ37" s="170"/>
      <c r="BR37" s="170"/>
      <c r="BS37" s="170"/>
    </row>
    <row r="38" spans="1:71" ht="15.75" customHeight="1" x14ac:dyDescent="0.35">
      <c r="A38" s="170" t="s">
        <v>288</v>
      </c>
      <c r="B38" s="183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0"/>
      <c r="BK38" s="170"/>
      <c r="BL38" s="170"/>
      <c r="BM38" s="170"/>
      <c r="BN38" s="170"/>
      <c r="BO38" s="170"/>
      <c r="BP38" s="170"/>
      <c r="BQ38" s="170"/>
      <c r="BR38" s="170"/>
      <c r="BS38" s="170"/>
    </row>
    <row r="39" spans="1:71" ht="15.75" customHeight="1" x14ac:dyDescent="0.35">
      <c r="A39" s="170" t="s">
        <v>289</v>
      </c>
      <c r="B39" s="183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0"/>
      <c r="BK39" s="170"/>
      <c r="BL39" s="170"/>
      <c r="BM39" s="170"/>
      <c r="BN39" s="170"/>
      <c r="BO39" s="170"/>
      <c r="BP39" s="170"/>
      <c r="BQ39" s="170"/>
      <c r="BR39" s="170"/>
      <c r="BS39" s="170"/>
    </row>
    <row r="40" spans="1:71" ht="15.75" customHeight="1" x14ac:dyDescent="0.35">
      <c r="A40" s="170" t="s">
        <v>290</v>
      </c>
      <c r="B40" s="183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  <c r="BG40" s="170"/>
      <c r="BH40" s="170"/>
      <c r="BI40" s="170"/>
      <c r="BJ40" s="170"/>
      <c r="BK40" s="170"/>
      <c r="BL40" s="170"/>
      <c r="BM40" s="170"/>
      <c r="BN40" s="170"/>
      <c r="BO40" s="170"/>
      <c r="BP40" s="170"/>
      <c r="BQ40" s="170"/>
      <c r="BR40" s="170"/>
      <c r="BS40" s="170"/>
    </row>
    <row r="41" spans="1:71" ht="15.75" customHeight="1" x14ac:dyDescent="0.35">
      <c r="A41" s="183"/>
      <c r="B41" s="183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  <c r="BG41" s="170"/>
      <c r="BH41" s="170"/>
      <c r="BI41" s="170"/>
      <c r="BJ41" s="170"/>
      <c r="BK41" s="170"/>
      <c r="BL41" s="170"/>
      <c r="BM41" s="170"/>
      <c r="BN41" s="170"/>
      <c r="BO41" s="170"/>
      <c r="BP41" s="170"/>
      <c r="BQ41" s="170"/>
      <c r="BR41" s="170"/>
      <c r="BS41" s="170"/>
    </row>
    <row r="42" spans="1:71" ht="15.75" customHeight="1" x14ac:dyDescent="0.35">
      <c r="A42" s="172" t="s">
        <v>204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0"/>
      <c r="BK42" s="170"/>
      <c r="BL42" s="170"/>
      <c r="BM42" s="170"/>
      <c r="BN42" s="170"/>
      <c r="BO42" s="170"/>
      <c r="BP42" s="170"/>
      <c r="BQ42" s="170"/>
      <c r="BR42" s="170"/>
      <c r="BS42" s="170"/>
    </row>
    <row r="43" spans="1:71" ht="15.75" customHeight="1" x14ac:dyDescent="0.35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</row>
    <row r="44" spans="1:71" ht="15.75" customHeight="1" x14ac:dyDescent="0.35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</row>
    <row r="45" spans="1:71" ht="15.75" customHeight="1" x14ac:dyDescent="0.3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  <c r="BG45" s="170"/>
      <c r="BH45" s="170"/>
      <c r="BI45" s="170"/>
      <c r="BJ45" s="170"/>
      <c r="BK45" s="170"/>
      <c r="BL45" s="170"/>
      <c r="BM45" s="170"/>
      <c r="BN45" s="170"/>
      <c r="BO45" s="170"/>
      <c r="BP45" s="170"/>
      <c r="BQ45" s="170"/>
      <c r="BR45" s="170"/>
      <c r="BS45" s="170"/>
    </row>
    <row r="46" spans="1:71" ht="15.75" customHeight="1" x14ac:dyDescent="0.35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</row>
    <row r="47" spans="1:71" ht="15.75" customHeight="1" x14ac:dyDescent="0.35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0"/>
      <c r="BS47" s="170"/>
    </row>
    <row r="48" spans="1:71" ht="15.75" customHeight="1" x14ac:dyDescent="0.35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</row>
    <row r="49" spans="1:71" ht="15.75" customHeight="1" x14ac:dyDescent="0.35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</row>
    <row r="50" spans="1:71" ht="15.75" customHeight="1" x14ac:dyDescent="0.35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</row>
    <row r="51" spans="1:71" ht="15.75" customHeight="1" x14ac:dyDescent="0.35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</row>
    <row r="52" spans="1:71" ht="15.75" customHeight="1" x14ac:dyDescent="0.35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</row>
    <row r="53" spans="1:71" ht="15.75" customHeight="1" x14ac:dyDescent="0.35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</row>
    <row r="54" spans="1:71" ht="15.75" customHeight="1" x14ac:dyDescent="0.35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</row>
    <row r="55" spans="1:71" ht="15.75" customHeight="1" x14ac:dyDescent="0.3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</row>
    <row r="56" spans="1:71" ht="15.75" customHeight="1" x14ac:dyDescent="0.35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</row>
    <row r="57" spans="1:71" ht="15.75" customHeight="1" x14ac:dyDescent="0.35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</row>
    <row r="58" spans="1:71" ht="15.75" customHeight="1" x14ac:dyDescent="0.35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</row>
    <row r="59" spans="1:71" ht="15.75" customHeight="1" x14ac:dyDescent="0.35">
      <c r="A59" s="170" t="s">
        <v>449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</row>
    <row r="60" spans="1:71" ht="15.75" customHeight="1" x14ac:dyDescent="0.35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</row>
    <row r="61" spans="1:71" ht="15.75" customHeight="1" x14ac:dyDescent="0.35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0"/>
      <c r="AX61" s="170"/>
      <c r="AY61" s="170"/>
      <c r="AZ61" s="170"/>
      <c r="BA61" s="170"/>
      <c r="BB61" s="170"/>
      <c r="BC61" s="170"/>
      <c r="BD61" s="170"/>
      <c r="BE61" s="170"/>
      <c r="BF61" s="170"/>
      <c r="BG61" s="170"/>
      <c r="BH61" s="170"/>
      <c r="BI61" s="170"/>
      <c r="BJ61" s="170"/>
      <c r="BK61" s="170"/>
      <c r="BL61" s="170"/>
      <c r="BM61" s="170"/>
      <c r="BN61" s="170"/>
      <c r="BO61" s="170"/>
      <c r="BP61" s="170"/>
      <c r="BQ61" s="170"/>
      <c r="BR61" s="170"/>
      <c r="BS61" s="170"/>
    </row>
    <row r="62" spans="1:71" ht="15.75" customHeight="1" x14ac:dyDescent="0.35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70"/>
      <c r="BS62" s="170"/>
    </row>
    <row r="63" spans="1:71" ht="15.75" customHeight="1" x14ac:dyDescent="0.35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70"/>
      <c r="BS63" s="170"/>
    </row>
    <row r="64" spans="1:71" ht="15.75" customHeight="1" x14ac:dyDescent="0.35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0"/>
    </row>
    <row r="65" spans="1:71" ht="15.75" customHeight="1" x14ac:dyDescent="0.3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0"/>
    </row>
    <row r="66" spans="1:71" ht="15.75" customHeight="1" x14ac:dyDescent="0.35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0"/>
    </row>
    <row r="67" spans="1:71" ht="15.75" customHeight="1" x14ac:dyDescent="0.35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</row>
    <row r="68" spans="1:71" ht="15.75" customHeight="1" x14ac:dyDescent="0.35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</row>
    <row r="69" spans="1:71" ht="15.75" customHeight="1" x14ac:dyDescent="0.35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0"/>
      <c r="AW69" s="170"/>
      <c r="AX69" s="170"/>
      <c r="AY69" s="170"/>
      <c r="AZ69" s="170"/>
      <c r="BA69" s="170"/>
      <c r="BB69" s="170"/>
      <c r="BC69" s="170"/>
      <c r="BD69" s="170"/>
      <c r="BE69" s="170"/>
      <c r="BF69" s="170"/>
      <c r="BG69" s="170"/>
      <c r="BH69" s="170"/>
      <c r="BI69" s="170"/>
      <c r="BJ69" s="170"/>
      <c r="BK69" s="170"/>
      <c r="BL69" s="170"/>
      <c r="BM69" s="170"/>
      <c r="BN69" s="170"/>
      <c r="BO69" s="170"/>
      <c r="BP69" s="170"/>
      <c r="BQ69" s="170"/>
      <c r="BR69" s="170"/>
      <c r="BS69" s="170"/>
    </row>
    <row r="70" spans="1:71" ht="15.75" customHeight="1" x14ac:dyDescent="0.35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0"/>
      <c r="AK70" s="170"/>
      <c r="AL70" s="170"/>
      <c r="AM70" s="170"/>
      <c r="AN70" s="170"/>
      <c r="AO70" s="170"/>
      <c r="AP70" s="170"/>
      <c r="AQ70" s="170"/>
      <c r="AR70" s="170"/>
      <c r="AS70" s="170"/>
      <c r="AT70" s="170"/>
      <c r="AU70" s="170"/>
      <c r="AV70" s="170"/>
      <c r="AW70" s="170"/>
      <c r="AX70" s="170"/>
      <c r="AY70" s="170"/>
      <c r="AZ70" s="170"/>
      <c r="BA70" s="170"/>
      <c r="BB70" s="170"/>
      <c r="BC70" s="170"/>
      <c r="BD70" s="170"/>
      <c r="BE70" s="170"/>
      <c r="BF70" s="170"/>
      <c r="BG70" s="170"/>
      <c r="BH70" s="170"/>
      <c r="BI70" s="170"/>
      <c r="BJ70" s="170"/>
      <c r="BK70" s="170"/>
      <c r="BL70" s="170"/>
      <c r="BM70" s="170"/>
      <c r="BN70" s="170"/>
      <c r="BO70" s="170"/>
      <c r="BP70" s="170"/>
      <c r="BQ70" s="170"/>
      <c r="BR70" s="170"/>
      <c r="BS70" s="170"/>
    </row>
    <row r="71" spans="1:71" ht="15.75" customHeight="1" x14ac:dyDescent="0.35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</row>
    <row r="72" spans="1:71" ht="15.75" customHeight="1" x14ac:dyDescent="0.35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70"/>
      <c r="AV72" s="170"/>
      <c r="AW72" s="170"/>
      <c r="AX72" s="170"/>
      <c r="AY72" s="170"/>
      <c r="AZ72" s="170"/>
      <c r="BA72" s="170"/>
      <c r="BB72" s="170"/>
      <c r="BC72" s="170"/>
      <c r="BD72" s="170"/>
      <c r="BE72" s="170"/>
      <c r="BF72" s="170"/>
      <c r="BG72" s="170"/>
      <c r="BH72" s="170"/>
      <c r="BI72" s="170"/>
      <c r="BJ72" s="170"/>
      <c r="BK72" s="170"/>
      <c r="BL72" s="170"/>
      <c r="BM72" s="170"/>
      <c r="BN72" s="170"/>
      <c r="BO72" s="170"/>
      <c r="BP72" s="170"/>
      <c r="BQ72" s="170"/>
      <c r="BR72" s="170"/>
      <c r="BS72" s="170"/>
    </row>
    <row r="73" spans="1:71" ht="15.75" customHeight="1" x14ac:dyDescent="0.35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0"/>
      <c r="AO73" s="170"/>
      <c r="AP73" s="170"/>
      <c r="AQ73" s="170"/>
      <c r="AR73" s="170"/>
      <c r="AS73" s="170"/>
      <c r="AT73" s="170"/>
      <c r="AU73" s="170"/>
      <c r="AV73" s="170"/>
      <c r="AW73" s="170"/>
      <c r="AX73" s="170"/>
      <c r="AY73" s="170"/>
      <c r="AZ73" s="170"/>
      <c r="BA73" s="170"/>
      <c r="BB73" s="170"/>
      <c r="BC73" s="170"/>
      <c r="BD73" s="170"/>
      <c r="BE73" s="170"/>
      <c r="BF73" s="170"/>
      <c r="BG73" s="170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</row>
    <row r="74" spans="1:71" ht="15.75" customHeight="1" x14ac:dyDescent="0.35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0"/>
      <c r="AX74" s="170"/>
      <c r="AY74" s="170"/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  <c r="BK74" s="170"/>
      <c r="BL74" s="170"/>
      <c r="BM74" s="170"/>
      <c r="BN74" s="170"/>
      <c r="BO74" s="170"/>
      <c r="BP74" s="170"/>
      <c r="BQ74" s="170"/>
      <c r="BR74" s="170"/>
      <c r="BS74" s="170"/>
    </row>
    <row r="75" spans="1:71" ht="15.75" customHeight="1" x14ac:dyDescent="0.3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170"/>
      <c r="AU75" s="170"/>
      <c r="AV75" s="170"/>
      <c r="AW75" s="170"/>
      <c r="AX75" s="170"/>
      <c r="AY75" s="170"/>
      <c r="AZ75" s="170"/>
      <c r="BA75" s="170"/>
      <c r="BB75" s="170"/>
      <c r="BC75" s="170"/>
      <c r="BD75" s="170"/>
      <c r="BE75" s="170"/>
      <c r="BF75" s="170"/>
      <c r="BG75" s="170"/>
      <c r="BH75" s="170"/>
      <c r="BI75" s="170"/>
      <c r="BJ75" s="170"/>
      <c r="BK75" s="170"/>
      <c r="BL75" s="170"/>
      <c r="BM75" s="170"/>
      <c r="BN75" s="170"/>
      <c r="BO75" s="170"/>
      <c r="BP75" s="170"/>
      <c r="BQ75" s="170"/>
      <c r="BR75" s="170"/>
      <c r="BS75" s="170"/>
    </row>
    <row r="76" spans="1:71" ht="15.75" customHeight="1" x14ac:dyDescent="0.35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170"/>
      <c r="AU76" s="170"/>
      <c r="AV76" s="170"/>
      <c r="AW76" s="170"/>
      <c r="AX76" s="170"/>
      <c r="AY76" s="170"/>
      <c r="AZ76" s="170"/>
      <c r="BA76" s="170"/>
      <c r="BB76" s="170"/>
      <c r="BC76" s="170"/>
      <c r="BD76" s="170"/>
      <c r="BE76" s="170"/>
      <c r="BF76" s="170"/>
      <c r="BG76" s="170"/>
      <c r="BH76" s="170"/>
      <c r="BI76" s="170"/>
      <c r="BJ76" s="170"/>
      <c r="BK76" s="170"/>
      <c r="BL76" s="170"/>
      <c r="BM76" s="170"/>
      <c r="BN76" s="170"/>
      <c r="BO76" s="170"/>
      <c r="BP76" s="170"/>
      <c r="BQ76" s="170"/>
      <c r="BR76" s="170"/>
      <c r="BS76" s="170"/>
    </row>
    <row r="77" spans="1:71" ht="15.75" customHeight="1" x14ac:dyDescent="0.35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0"/>
      <c r="AU77" s="170"/>
      <c r="AV77" s="170"/>
      <c r="AW77" s="170"/>
      <c r="AX77" s="170"/>
      <c r="AY77" s="170"/>
      <c r="AZ77" s="170"/>
      <c r="BA77" s="170"/>
      <c r="BB77" s="170"/>
      <c r="BC77" s="170"/>
      <c r="BD77" s="170"/>
      <c r="BE77" s="170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0"/>
    </row>
    <row r="78" spans="1:71" ht="15.75" customHeight="1" x14ac:dyDescent="0.35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70"/>
      <c r="BG78" s="170"/>
      <c r="BH78" s="170"/>
      <c r="BI78" s="170"/>
      <c r="BJ78" s="170"/>
      <c r="BK78" s="170"/>
      <c r="BL78" s="170"/>
      <c r="BM78" s="170"/>
      <c r="BN78" s="170"/>
      <c r="BO78" s="170"/>
      <c r="BP78" s="170"/>
      <c r="BQ78" s="170"/>
      <c r="BR78" s="170"/>
      <c r="BS78" s="170"/>
    </row>
    <row r="79" spans="1:71" ht="15.75" customHeight="1" x14ac:dyDescent="0.35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  <c r="AM79" s="170"/>
      <c r="AN79" s="170"/>
      <c r="AO79" s="170"/>
      <c r="AP79" s="170"/>
      <c r="AQ79" s="170"/>
      <c r="AR79" s="170"/>
      <c r="AS79" s="170"/>
      <c r="AT79" s="170"/>
      <c r="AU79" s="170"/>
      <c r="AV79" s="170"/>
      <c r="AW79" s="170"/>
      <c r="AX79" s="170"/>
      <c r="AY79" s="170"/>
      <c r="AZ79" s="170"/>
      <c r="BA79" s="170"/>
      <c r="BB79" s="170"/>
      <c r="BC79" s="170"/>
      <c r="BD79" s="170"/>
      <c r="BE79" s="170"/>
      <c r="BF79" s="170"/>
      <c r="BG79" s="170"/>
      <c r="BH79" s="170"/>
      <c r="BI79" s="170"/>
      <c r="BJ79" s="170"/>
      <c r="BK79" s="170"/>
      <c r="BL79" s="170"/>
      <c r="BM79" s="170"/>
      <c r="BN79" s="170"/>
      <c r="BO79" s="170"/>
      <c r="BP79" s="170"/>
      <c r="BQ79" s="170"/>
      <c r="BR79" s="170"/>
      <c r="BS79" s="170"/>
    </row>
    <row r="80" spans="1:71" ht="15.75" customHeight="1" x14ac:dyDescent="0.35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0"/>
      <c r="BD80" s="170"/>
      <c r="BE80" s="170"/>
      <c r="BF80" s="170"/>
      <c r="BG80" s="170"/>
      <c r="BH80" s="170"/>
      <c r="BI80" s="170"/>
      <c r="BJ80" s="170"/>
      <c r="BK80" s="170"/>
      <c r="BL80" s="170"/>
      <c r="BM80" s="170"/>
      <c r="BN80" s="170"/>
      <c r="BO80" s="170"/>
      <c r="BP80" s="170"/>
      <c r="BQ80" s="170"/>
      <c r="BR80" s="170"/>
      <c r="BS80" s="170"/>
    </row>
    <row r="81" spans="1:71" ht="15.75" customHeight="1" x14ac:dyDescent="0.35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</row>
    <row r="82" spans="1:71" ht="15.75" customHeight="1" x14ac:dyDescent="0.35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  <c r="AT82" s="170"/>
      <c r="AU82" s="170"/>
      <c r="AV82" s="170"/>
      <c r="AW82" s="170"/>
      <c r="AX82" s="170"/>
      <c r="AY82" s="170"/>
      <c r="AZ82" s="170"/>
      <c r="BA82" s="170"/>
      <c r="BB82" s="170"/>
      <c r="BC82" s="170"/>
      <c r="BD82" s="170"/>
      <c r="BE82" s="170"/>
      <c r="BF82" s="170"/>
      <c r="BG82" s="170"/>
      <c r="BH82" s="170"/>
      <c r="BI82" s="170"/>
      <c r="BJ82" s="170"/>
      <c r="BK82" s="170"/>
      <c r="BL82" s="170"/>
      <c r="BM82" s="170"/>
      <c r="BN82" s="170"/>
      <c r="BO82" s="170"/>
      <c r="BP82" s="170"/>
      <c r="BQ82" s="170"/>
      <c r="BR82" s="170"/>
      <c r="BS82" s="170"/>
    </row>
    <row r="83" spans="1:71" ht="15.75" customHeight="1" x14ac:dyDescent="0.35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70"/>
      <c r="AK83" s="170"/>
      <c r="AL83" s="170"/>
      <c r="AM83" s="170"/>
      <c r="AN83" s="170"/>
      <c r="AO83" s="170"/>
      <c r="AP83" s="170"/>
      <c r="AQ83" s="170"/>
      <c r="AR83" s="170"/>
      <c r="AS83" s="170"/>
      <c r="AT83" s="170"/>
      <c r="AU83" s="170"/>
      <c r="AV83" s="170"/>
      <c r="AW83" s="170"/>
      <c r="AX83" s="170"/>
      <c r="AY83" s="170"/>
      <c r="AZ83" s="170"/>
      <c r="BA83" s="170"/>
      <c r="BB83" s="170"/>
      <c r="BC83" s="170"/>
      <c r="BD83" s="170"/>
      <c r="BE83" s="170"/>
      <c r="BF83" s="170"/>
      <c r="BG83" s="170"/>
      <c r="BH83" s="170"/>
      <c r="BI83" s="170"/>
      <c r="BJ83" s="170"/>
      <c r="BK83" s="170"/>
      <c r="BL83" s="170"/>
      <c r="BM83" s="170"/>
      <c r="BN83" s="170"/>
      <c r="BO83" s="170"/>
      <c r="BP83" s="170"/>
      <c r="BQ83" s="170"/>
      <c r="BR83" s="170"/>
      <c r="BS83" s="170"/>
    </row>
    <row r="84" spans="1:71" ht="15.75" customHeight="1" x14ac:dyDescent="0.35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70"/>
      <c r="AK84" s="170"/>
      <c r="AL84" s="170"/>
      <c r="AM84" s="170"/>
      <c r="AN84" s="170"/>
      <c r="AO84" s="170"/>
      <c r="AP84" s="170"/>
      <c r="AQ84" s="170"/>
      <c r="AR84" s="170"/>
      <c r="AS84" s="170"/>
      <c r="AT84" s="170"/>
      <c r="AU84" s="170"/>
      <c r="AV84" s="170"/>
      <c r="AW84" s="170"/>
      <c r="AX84" s="170"/>
      <c r="AY84" s="170"/>
      <c r="AZ84" s="170"/>
      <c r="BA84" s="170"/>
      <c r="BB84" s="170"/>
      <c r="BC84" s="170"/>
      <c r="BD84" s="170"/>
      <c r="BE84" s="170"/>
      <c r="BF84" s="170"/>
      <c r="BG84" s="170"/>
      <c r="BH84" s="170"/>
      <c r="BI84" s="170"/>
      <c r="BJ84" s="170"/>
      <c r="BK84" s="170"/>
      <c r="BL84" s="170"/>
      <c r="BM84" s="170"/>
      <c r="BN84" s="170"/>
      <c r="BO84" s="170"/>
      <c r="BP84" s="170"/>
      <c r="BQ84" s="170"/>
      <c r="BR84" s="170"/>
      <c r="BS84" s="170"/>
    </row>
    <row r="85" spans="1:71" ht="15.75" customHeight="1" x14ac:dyDescent="0.3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0"/>
      <c r="AI85" s="170"/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0"/>
      <c r="AU85" s="170"/>
      <c r="AV85" s="170"/>
      <c r="AW85" s="170"/>
      <c r="AX85" s="170"/>
      <c r="AY85" s="170"/>
      <c r="AZ85" s="170"/>
      <c r="BA85" s="170"/>
      <c r="BB85" s="170"/>
      <c r="BC85" s="170"/>
      <c r="BD85" s="170"/>
      <c r="BE85" s="170"/>
      <c r="BF85" s="170"/>
      <c r="BG85" s="170"/>
      <c r="BH85" s="170"/>
      <c r="BI85" s="170"/>
      <c r="BJ85" s="170"/>
      <c r="BK85" s="170"/>
      <c r="BL85" s="170"/>
      <c r="BM85" s="170"/>
      <c r="BN85" s="170"/>
      <c r="BO85" s="170"/>
      <c r="BP85" s="170"/>
      <c r="BQ85" s="170"/>
      <c r="BR85" s="170"/>
      <c r="BS85" s="170"/>
    </row>
    <row r="86" spans="1:71" ht="15.75" customHeight="1" x14ac:dyDescent="0.35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0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0"/>
      <c r="AU86" s="170"/>
      <c r="AV86" s="170"/>
      <c r="AW86" s="170"/>
      <c r="AX86" s="170"/>
      <c r="AY86" s="170"/>
      <c r="AZ86" s="170"/>
      <c r="BA86" s="170"/>
      <c r="BB86" s="170"/>
      <c r="BC86" s="170"/>
      <c r="BD86" s="170"/>
      <c r="BE86" s="170"/>
      <c r="BF86" s="170"/>
      <c r="BG86" s="170"/>
      <c r="BH86" s="170"/>
      <c r="BI86" s="170"/>
      <c r="BJ86" s="170"/>
      <c r="BK86" s="170"/>
      <c r="BL86" s="170"/>
      <c r="BM86" s="170"/>
      <c r="BN86" s="170"/>
      <c r="BO86" s="170"/>
      <c r="BP86" s="170"/>
      <c r="BQ86" s="170"/>
      <c r="BR86" s="170"/>
      <c r="BS86" s="170"/>
    </row>
    <row r="87" spans="1:71" ht="15.75" customHeight="1" x14ac:dyDescent="0.35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70"/>
      <c r="BG87" s="170"/>
      <c r="BH87" s="170"/>
      <c r="BI87" s="170"/>
      <c r="BJ87" s="170"/>
      <c r="BK87" s="170"/>
      <c r="BL87" s="170"/>
      <c r="BM87" s="170"/>
      <c r="BN87" s="170"/>
      <c r="BO87" s="170"/>
      <c r="BP87" s="170"/>
      <c r="BQ87" s="170"/>
      <c r="BR87" s="170"/>
      <c r="BS87" s="170"/>
    </row>
    <row r="88" spans="1:71" ht="15.75" customHeight="1" x14ac:dyDescent="0.35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0"/>
      <c r="AU88" s="170"/>
      <c r="AV88" s="170"/>
      <c r="AW88" s="170"/>
      <c r="AX88" s="170"/>
      <c r="AY88" s="170"/>
      <c r="AZ88" s="170"/>
      <c r="BA88" s="170"/>
      <c r="BB88" s="170"/>
      <c r="BC88" s="170"/>
      <c r="BD88" s="170"/>
      <c r="BE88" s="170"/>
      <c r="BF88" s="170"/>
      <c r="BG88" s="170"/>
      <c r="BH88" s="170"/>
      <c r="BI88" s="170"/>
      <c r="BJ88" s="170"/>
      <c r="BK88" s="170"/>
      <c r="BL88" s="170"/>
      <c r="BM88" s="170"/>
      <c r="BN88" s="170"/>
      <c r="BO88" s="170"/>
      <c r="BP88" s="170"/>
      <c r="BQ88" s="170"/>
      <c r="BR88" s="170"/>
      <c r="BS88" s="170"/>
    </row>
    <row r="89" spans="1:71" ht="15.75" customHeight="1" x14ac:dyDescent="0.35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0"/>
      <c r="BA89" s="170"/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70"/>
      <c r="BM89" s="170"/>
      <c r="BN89" s="170"/>
      <c r="BO89" s="170"/>
      <c r="BP89" s="170"/>
      <c r="BQ89" s="170"/>
      <c r="BR89" s="170"/>
      <c r="BS89" s="170"/>
    </row>
    <row r="90" spans="1:71" ht="15.75" customHeight="1" x14ac:dyDescent="0.35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0"/>
      <c r="AX90" s="170"/>
      <c r="AY90" s="170"/>
      <c r="AZ90" s="170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</row>
    <row r="91" spans="1:71" ht="15.75" customHeight="1" x14ac:dyDescent="0.35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0"/>
      <c r="AU91" s="170"/>
      <c r="AV91" s="170"/>
      <c r="AW91" s="170"/>
      <c r="AX91" s="170"/>
      <c r="AY91" s="170"/>
      <c r="AZ91" s="170"/>
      <c r="BA91" s="170"/>
      <c r="BB91" s="170"/>
      <c r="BC91" s="170"/>
      <c r="BD91" s="170"/>
      <c r="BE91" s="170"/>
      <c r="BF91" s="170"/>
      <c r="BG91" s="170"/>
      <c r="BH91" s="170"/>
      <c r="BI91" s="170"/>
      <c r="BJ91" s="170"/>
      <c r="BK91" s="170"/>
      <c r="BL91" s="170"/>
      <c r="BM91" s="170"/>
      <c r="BN91" s="170"/>
      <c r="BO91" s="170"/>
      <c r="BP91" s="170"/>
      <c r="BQ91" s="170"/>
      <c r="BR91" s="170"/>
      <c r="BS91" s="170"/>
    </row>
    <row r="92" spans="1:71" ht="15.75" customHeight="1" x14ac:dyDescent="0.35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170"/>
      <c r="AO92" s="170"/>
      <c r="AP92" s="170"/>
      <c r="AQ92" s="170"/>
      <c r="AR92" s="170"/>
      <c r="AS92" s="170"/>
      <c r="AT92" s="170"/>
      <c r="AU92" s="170"/>
      <c r="AV92" s="170"/>
      <c r="AW92" s="170"/>
      <c r="AX92" s="170"/>
      <c r="AY92" s="170"/>
      <c r="AZ92" s="170"/>
      <c r="BA92" s="170"/>
      <c r="BB92" s="170"/>
      <c r="BC92" s="170"/>
      <c r="BD92" s="170"/>
      <c r="BE92" s="170"/>
      <c r="BF92" s="170"/>
      <c r="BG92" s="170"/>
      <c r="BH92" s="170"/>
      <c r="BI92" s="170"/>
      <c r="BJ92" s="170"/>
      <c r="BK92" s="170"/>
      <c r="BL92" s="170"/>
      <c r="BM92" s="170"/>
      <c r="BN92" s="170"/>
      <c r="BO92" s="170"/>
      <c r="BP92" s="170"/>
      <c r="BQ92" s="170"/>
      <c r="BR92" s="170"/>
      <c r="BS92" s="170"/>
    </row>
    <row r="93" spans="1:71" ht="15.75" customHeight="1" x14ac:dyDescent="0.35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70"/>
      <c r="AV93" s="170"/>
      <c r="AW93" s="170"/>
      <c r="AX93" s="170"/>
      <c r="AY93" s="170"/>
      <c r="AZ93" s="170"/>
      <c r="BA93" s="170"/>
      <c r="BB93" s="170"/>
      <c r="BC93" s="170"/>
      <c r="BD93" s="170"/>
      <c r="BE93" s="170"/>
      <c r="BF93" s="170"/>
      <c r="BG93" s="170"/>
      <c r="BH93" s="170"/>
      <c r="BI93" s="170"/>
      <c r="BJ93" s="170"/>
      <c r="BK93" s="170"/>
      <c r="BL93" s="170"/>
      <c r="BM93" s="170"/>
      <c r="BN93" s="170"/>
      <c r="BO93" s="170"/>
      <c r="BP93" s="170"/>
      <c r="BQ93" s="170"/>
      <c r="BR93" s="170"/>
      <c r="BS93" s="170"/>
    </row>
    <row r="94" spans="1:71" ht="15.75" customHeight="1" x14ac:dyDescent="0.35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0"/>
      <c r="AQ94" s="170"/>
      <c r="AR94" s="170"/>
      <c r="AS94" s="170"/>
      <c r="AT94" s="170"/>
      <c r="AU94" s="170"/>
      <c r="AV94" s="170"/>
      <c r="AW94" s="170"/>
      <c r="AX94" s="170"/>
      <c r="AY94" s="170"/>
      <c r="AZ94" s="170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  <c r="BK94" s="170"/>
      <c r="BL94" s="170"/>
      <c r="BM94" s="170"/>
      <c r="BN94" s="170"/>
      <c r="BO94" s="170"/>
      <c r="BP94" s="170"/>
      <c r="BQ94" s="170"/>
      <c r="BR94" s="170"/>
      <c r="BS94" s="170"/>
    </row>
    <row r="95" spans="1:71" ht="15.75" customHeight="1" x14ac:dyDescent="0.3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170"/>
      <c r="AL95" s="170"/>
      <c r="AM95" s="170"/>
      <c r="AN95" s="170"/>
      <c r="AO95" s="170"/>
      <c r="AP95" s="170"/>
      <c r="AQ95" s="170"/>
      <c r="AR95" s="170"/>
      <c r="AS95" s="170"/>
      <c r="AT95" s="170"/>
      <c r="AU95" s="170"/>
      <c r="AV95" s="170"/>
      <c r="AW95" s="170"/>
      <c r="AX95" s="170"/>
      <c r="AY95" s="170"/>
      <c r="AZ95" s="170"/>
      <c r="BA95" s="170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0"/>
      <c r="BM95" s="170"/>
      <c r="BN95" s="170"/>
      <c r="BO95" s="170"/>
      <c r="BP95" s="170"/>
      <c r="BQ95" s="170"/>
      <c r="BR95" s="170"/>
      <c r="BS95" s="170"/>
    </row>
    <row r="96" spans="1:71" ht="15.75" customHeight="1" x14ac:dyDescent="0.35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  <c r="AG96" s="170"/>
      <c r="AH96" s="170"/>
      <c r="AI96" s="170"/>
      <c r="AJ96" s="170"/>
      <c r="AK96" s="170"/>
      <c r="AL96" s="170"/>
      <c r="AM96" s="170"/>
      <c r="AN96" s="170"/>
      <c r="AO96" s="170"/>
      <c r="AP96" s="170"/>
      <c r="AQ96" s="170"/>
      <c r="AR96" s="170"/>
      <c r="AS96" s="170"/>
      <c r="AT96" s="170"/>
      <c r="AU96" s="170"/>
      <c r="AV96" s="170"/>
      <c r="AW96" s="170"/>
      <c r="AX96" s="170"/>
      <c r="AY96" s="170"/>
      <c r="AZ96" s="170"/>
      <c r="BA96" s="170"/>
      <c r="BB96" s="170"/>
      <c r="BC96" s="170"/>
      <c r="BD96" s="170"/>
      <c r="BE96" s="170"/>
      <c r="BF96" s="170"/>
      <c r="BG96" s="170"/>
      <c r="BH96" s="170"/>
      <c r="BI96" s="170"/>
      <c r="BJ96" s="170"/>
      <c r="BK96" s="170"/>
      <c r="BL96" s="170"/>
      <c r="BM96" s="170"/>
      <c r="BN96" s="170"/>
      <c r="BO96" s="170"/>
      <c r="BP96" s="170"/>
      <c r="BQ96" s="170"/>
      <c r="BR96" s="170"/>
      <c r="BS96" s="170"/>
    </row>
    <row r="97" spans="1:71" ht="15.75" customHeight="1" x14ac:dyDescent="0.35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70"/>
      <c r="AV97" s="170"/>
      <c r="AW97" s="170"/>
      <c r="AX97" s="170"/>
      <c r="AY97" s="170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</row>
    <row r="98" spans="1:71" ht="15.75" customHeight="1" x14ac:dyDescent="0.35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0"/>
      <c r="AY98" s="170"/>
      <c r="AZ98" s="170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70"/>
      <c r="BS98" s="170"/>
    </row>
    <row r="99" spans="1:71" ht="15.75" customHeight="1" x14ac:dyDescent="0.35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G99" s="170"/>
      <c r="AH99" s="170"/>
      <c r="AI99" s="170"/>
      <c r="AJ99" s="170"/>
      <c r="AK99" s="170"/>
      <c r="AL99" s="170"/>
      <c r="AM99" s="170"/>
      <c r="AN99" s="170"/>
      <c r="AO99" s="170"/>
      <c r="AP99" s="170"/>
      <c r="AQ99" s="170"/>
      <c r="AR99" s="170"/>
      <c r="AS99" s="170"/>
      <c r="AT99" s="170"/>
      <c r="AU99" s="170"/>
      <c r="AV99" s="170"/>
      <c r="AW99" s="170"/>
      <c r="AX99" s="170"/>
      <c r="AY99" s="170"/>
      <c r="AZ99" s="170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  <c r="BK99" s="170"/>
      <c r="BL99" s="170"/>
      <c r="BM99" s="170"/>
      <c r="BN99" s="170"/>
      <c r="BO99" s="170"/>
      <c r="BP99" s="170"/>
      <c r="BQ99" s="170"/>
      <c r="BR99" s="170"/>
      <c r="BS99" s="170"/>
    </row>
    <row r="100" spans="1:71" ht="15.75" customHeight="1" x14ac:dyDescent="0.35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0"/>
      <c r="AL100" s="170"/>
      <c r="AM100" s="170"/>
      <c r="AN100" s="170"/>
      <c r="AO100" s="170"/>
      <c r="AP100" s="170"/>
      <c r="AQ100" s="170"/>
      <c r="AR100" s="170"/>
      <c r="AS100" s="170"/>
      <c r="AT100" s="170"/>
      <c r="AU100" s="170"/>
      <c r="AV100" s="170"/>
      <c r="AW100" s="170"/>
      <c r="AX100" s="170"/>
      <c r="AY100" s="170"/>
      <c r="AZ100" s="170"/>
      <c r="BA100" s="170"/>
      <c r="BB100" s="170"/>
      <c r="BC100" s="170"/>
      <c r="BD100" s="170"/>
      <c r="BE100" s="170"/>
      <c r="BF100" s="170"/>
      <c r="BG100" s="170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70"/>
      <c r="BS100" s="170"/>
    </row>
    <row r="101" spans="1:71" ht="15.75" customHeight="1" x14ac:dyDescent="0.35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/>
      <c r="AH101" s="170"/>
      <c r="AI101" s="170"/>
      <c r="AJ101" s="170"/>
      <c r="AK101" s="170"/>
      <c r="AL101" s="170"/>
      <c r="AM101" s="170"/>
      <c r="AN101" s="170"/>
      <c r="AO101" s="170"/>
      <c r="AP101" s="170"/>
      <c r="AQ101" s="170"/>
      <c r="AR101" s="170"/>
      <c r="AS101" s="170"/>
      <c r="AT101" s="170"/>
      <c r="AU101" s="170"/>
      <c r="AV101" s="170"/>
      <c r="AW101" s="170"/>
      <c r="AX101" s="170"/>
      <c r="AY101" s="170"/>
      <c r="AZ101" s="170"/>
      <c r="BA101" s="170"/>
      <c r="BB101" s="170"/>
      <c r="BC101" s="170"/>
      <c r="BD101" s="170"/>
      <c r="BE101" s="170"/>
      <c r="BF101" s="170"/>
      <c r="BG101" s="170"/>
      <c r="BH101" s="170"/>
      <c r="BI101" s="170"/>
      <c r="BJ101" s="170"/>
      <c r="BK101" s="170"/>
      <c r="BL101" s="170"/>
      <c r="BM101" s="170"/>
      <c r="BN101" s="170"/>
      <c r="BO101" s="170"/>
      <c r="BP101" s="170"/>
      <c r="BQ101" s="170"/>
      <c r="BR101" s="170"/>
      <c r="BS101" s="170"/>
    </row>
    <row r="102" spans="1:71" ht="15.75" customHeight="1" x14ac:dyDescent="0.35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0"/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170"/>
      <c r="AV102" s="170"/>
      <c r="AW102" s="170"/>
      <c r="AX102" s="170"/>
      <c r="AY102" s="170"/>
      <c r="AZ102" s="170"/>
      <c r="BA102" s="170"/>
      <c r="BB102" s="170"/>
      <c r="BC102" s="170"/>
      <c r="BD102" s="170"/>
      <c r="BE102" s="170"/>
      <c r="BF102" s="170"/>
      <c r="BG102" s="170"/>
      <c r="BH102" s="170"/>
      <c r="BI102" s="170"/>
      <c r="BJ102" s="170"/>
      <c r="BK102" s="170"/>
      <c r="BL102" s="170"/>
      <c r="BM102" s="170"/>
      <c r="BN102" s="170"/>
      <c r="BO102" s="170"/>
      <c r="BP102" s="170"/>
      <c r="BQ102" s="170"/>
      <c r="BR102" s="170"/>
      <c r="BS102" s="170"/>
    </row>
    <row r="103" spans="1:71" ht="15.75" customHeight="1" x14ac:dyDescent="0.35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  <c r="AF103" s="170"/>
      <c r="AG103" s="170"/>
      <c r="AH103" s="170"/>
      <c r="AI103" s="170"/>
      <c r="AJ103" s="170"/>
      <c r="AK103" s="170"/>
      <c r="AL103" s="170"/>
      <c r="AM103" s="170"/>
      <c r="AN103" s="170"/>
      <c r="AO103" s="170"/>
      <c r="AP103" s="170"/>
      <c r="AQ103" s="170"/>
      <c r="AR103" s="170"/>
      <c r="AS103" s="170"/>
      <c r="AT103" s="170"/>
      <c r="AU103" s="170"/>
      <c r="AV103" s="170"/>
      <c r="AW103" s="170"/>
      <c r="AX103" s="170"/>
      <c r="AY103" s="170"/>
      <c r="AZ103" s="170"/>
      <c r="BA103" s="170"/>
      <c r="BB103" s="170"/>
      <c r="BC103" s="170"/>
      <c r="BD103" s="170"/>
      <c r="BE103" s="170"/>
      <c r="BF103" s="170"/>
      <c r="BG103" s="170"/>
      <c r="BH103" s="170"/>
      <c r="BI103" s="170"/>
      <c r="BJ103" s="170"/>
      <c r="BK103" s="170"/>
      <c r="BL103" s="170"/>
      <c r="BM103" s="170"/>
      <c r="BN103" s="170"/>
      <c r="BO103" s="170"/>
      <c r="BP103" s="170"/>
      <c r="BQ103" s="170"/>
      <c r="BR103" s="170"/>
      <c r="BS103" s="170"/>
    </row>
    <row r="104" spans="1:71" ht="15.75" customHeight="1" x14ac:dyDescent="0.35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/>
      <c r="AH104" s="170"/>
      <c r="AI104" s="170"/>
      <c r="AJ104" s="170"/>
      <c r="AK104" s="170"/>
      <c r="AL104" s="170"/>
      <c r="AM104" s="170"/>
      <c r="AN104" s="170"/>
      <c r="AO104" s="170"/>
      <c r="AP104" s="170"/>
      <c r="AQ104" s="170"/>
      <c r="AR104" s="170"/>
      <c r="AS104" s="170"/>
      <c r="AT104" s="170"/>
      <c r="AU104" s="170"/>
      <c r="AV104" s="170"/>
      <c r="AW104" s="170"/>
      <c r="AX104" s="170"/>
      <c r="AY104" s="170"/>
      <c r="AZ104" s="170"/>
      <c r="BA104" s="170"/>
      <c r="BB104" s="170"/>
      <c r="BC104" s="170"/>
      <c r="BD104" s="170"/>
      <c r="BE104" s="170"/>
      <c r="BF104" s="170"/>
      <c r="BG104" s="170"/>
      <c r="BH104" s="170"/>
      <c r="BI104" s="170"/>
      <c r="BJ104" s="170"/>
      <c r="BK104" s="170"/>
      <c r="BL104" s="170"/>
      <c r="BM104" s="170"/>
      <c r="BN104" s="170"/>
      <c r="BO104" s="170"/>
      <c r="BP104" s="170"/>
      <c r="BQ104" s="170"/>
      <c r="BR104" s="170"/>
      <c r="BS104" s="170"/>
    </row>
    <row r="105" spans="1:71" ht="15.75" customHeight="1" x14ac:dyDescent="0.3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/>
      <c r="AH105" s="170"/>
      <c r="AI105" s="170"/>
      <c r="AJ105" s="170"/>
      <c r="AK105" s="170"/>
      <c r="AL105" s="170"/>
      <c r="AM105" s="170"/>
      <c r="AN105" s="170"/>
      <c r="AO105" s="170"/>
      <c r="AP105" s="170"/>
      <c r="AQ105" s="170"/>
      <c r="AR105" s="170"/>
      <c r="AS105" s="170"/>
      <c r="AT105" s="170"/>
      <c r="AU105" s="170"/>
      <c r="AV105" s="170"/>
      <c r="AW105" s="170"/>
      <c r="AX105" s="170"/>
      <c r="AY105" s="170"/>
      <c r="AZ105" s="170"/>
      <c r="BA105" s="170"/>
      <c r="BB105" s="170"/>
      <c r="BC105" s="170"/>
      <c r="BD105" s="170"/>
      <c r="BE105" s="170"/>
      <c r="BF105" s="170"/>
      <c r="BG105" s="170"/>
      <c r="BH105" s="170"/>
      <c r="BI105" s="170"/>
      <c r="BJ105" s="170"/>
      <c r="BK105" s="170"/>
      <c r="BL105" s="170"/>
      <c r="BM105" s="170"/>
      <c r="BN105" s="170"/>
      <c r="BO105" s="170"/>
      <c r="BP105" s="170"/>
      <c r="BQ105" s="170"/>
      <c r="BR105" s="170"/>
      <c r="BS105" s="170"/>
    </row>
    <row r="106" spans="1:71" ht="15.75" customHeight="1" x14ac:dyDescent="0.35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  <c r="AM106" s="170"/>
      <c r="AN106" s="170"/>
      <c r="AO106" s="170"/>
      <c r="AP106" s="170"/>
      <c r="AQ106" s="170"/>
      <c r="AR106" s="170"/>
      <c r="AS106" s="170"/>
      <c r="AT106" s="170"/>
      <c r="AU106" s="170"/>
      <c r="AV106" s="170"/>
      <c r="AW106" s="170"/>
      <c r="AX106" s="170"/>
      <c r="AY106" s="170"/>
      <c r="AZ106" s="170"/>
      <c r="BA106" s="170"/>
      <c r="BB106" s="170"/>
      <c r="BC106" s="170"/>
      <c r="BD106" s="170"/>
      <c r="BE106" s="170"/>
      <c r="BF106" s="170"/>
      <c r="BG106" s="170"/>
      <c r="BH106" s="170"/>
      <c r="BI106" s="170"/>
      <c r="BJ106" s="170"/>
      <c r="BK106" s="170"/>
      <c r="BL106" s="170"/>
      <c r="BM106" s="170"/>
      <c r="BN106" s="170"/>
      <c r="BO106" s="170"/>
      <c r="BP106" s="170"/>
      <c r="BQ106" s="170"/>
      <c r="BR106" s="170"/>
      <c r="BS106" s="170"/>
    </row>
    <row r="107" spans="1:71" ht="15.75" customHeight="1" x14ac:dyDescent="0.35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0"/>
      <c r="AT107" s="170"/>
      <c r="AU107" s="170"/>
      <c r="AV107" s="170"/>
      <c r="AW107" s="170"/>
      <c r="AX107" s="170"/>
      <c r="AY107" s="170"/>
      <c r="AZ107" s="170"/>
      <c r="BA107" s="170"/>
      <c r="BB107" s="170"/>
      <c r="BC107" s="170"/>
      <c r="BD107" s="170"/>
      <c r="BE107" s="170"/>
      <c r="BF107" s="170"/>
      <c r="BG107" s="170"/>
      <c r="BH107" s="170"/>
      <c r="BI107" s="170"/>
      <c r="BJ107" s="170"/>
      <c r="BK107" s="170"/>
      <c r="BL107" s="170"/>
      <c r="BM107" s="170"/>
      <c r="BN107" s="170"/>
      <c r="BO107" s="170"/>
      <c r="BP107" s="170"/>
      <c r="BQ107" s="170"/>
      <c r="BR107" s="170"/>
      <c r="BS107" s="170"/>
    </row>
    <row r="108" spans="1:71" ht="15.75" customHeight="1" x14ac:dyDescent="0.35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0"/>
      <c r="AT108" s="170"/>
      <c r="AU108" s="170"/>
      <c r="AV108" s="170"/>
      <c r="AW108" s="170"/>
      <c r="AX108" s="170"/>
      <c r="AY108" s="170"/>
      <c r="AZ108" s="170"/>
      <c r="BA108" s="170"/>
      <c r="BB108" s="170"/>
      <c r="BC108" s="170"/>
      <c r="BD108" s="170"/>
      <c r="BE108" s="170"/>
      <c r="BF108" s="170"/>
      <c r="BG108" s="170"/>
      <c r="BH108" s="170"/>
      <c r="BI108" s="170"/>
      <c r="BJ108" s="170"/>
      <c r="BK108" s="170"/>
      <c r="BL108" s="170"/>
      <c r="BM108" s="170"/>
      <c r="BN108" s="170"/>
      <c r="BO108" s="170"/>
      <c r="BP108" s="170"/>
      <c r="BQ108" s="170"/>
      <c r="BR108" s="170"/>
      <c r="BS108" s="170"/>
    </row>
    <row r="109" spans="1:71" ht="15.75" customHeight="1" x14ac:dyDescent="0.35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70"/>
      <c r="AS109" s="170"/>
      <c r="AT109" s="170"/>
      <c r="AU109" s="170"/>
      <c r="AV109" s="170"/>
      <c r="AW109" s="170"/>
      <c r="AX109" s="170"/>
      <c r="AY109" s="170"/>
      <c r="AZ109" s="170"/>
      <c r="BA109" s="170"/>
      <c r="BB109" s="170"/>
      <c r="BC109" s="170"/>
      <c r="BD109" s="170"/>
      <c r="BE109" s="170"/>
      <c r="BF109" s="170"/>
      <c r="BG109" s="170"/>
      <c r="BH109" s="170"/>
      <c r="BI109" s="170"/>
      <c r="BJ109" s="170"/>
      <c r="BK109" s="170"/>
      <c r="BL109" s="170"/>
      <c r="BM109" s="170"/>
      <c r="BN109" s="170"/>
      <c r="BO109" s="170"/>
      <c r="BP109" s="170"/>
      <c r="BQ109" s="170"/>
      <c r="BR109" s="170"/>
      <c r="BS109" s="170"/>
    </row>
    <row r="110" spans="1:71" ht="15.75" customHeight="1" x14ac:dyDescent="0.35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70"/>
      <c r="AV110" s="170"/>
      <c r="AW110" s="170"/>
      <c r="AX110" s="170"/>
      <c r="AY110" s="170"/>
      <c r="AZ110" s="170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  <c r="BK110" s="170"/>
      <c r="BL110" s="170"/>
      <c r="BM110" s="170"/>
      <c r="BN110" s="170"/>
      <c r="BO110" s="170"/>
      <c r="BP110" s="170"/>
      <c r="BQ110" s="170"/>
      <c r="BR110" s="170"/>
      <c r="BS110" s="170"/>
    </row>
    <row r="111" spans="1:71" ht="15.75" customHeight="1" x14ac:dyDescent="0.35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0"/>
      <c r="AL111" s="170"/>
      <c r="AM111" s="170"/>
      <c r="AN111" s="170"/>
      <c r="AO111" s="170"/>
      <c r="AP111" s="170"/>
      <c r="AQ111" s="170"/>
      <c r="AR111" s="170"/>
      <c r="AS111" s="170"/>
      <c r="AT111" s="170"/>
      <c r="AU111" s="170"/>
      <c r="AV111" s="170"/>
      <c r="AW111" s="170"/>
      <c r="AX111" s="170"/>
      <c r="AY111" s="170"/>
      <c r="AZ111" s="170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170"/>
      <c r="BR111" s="170"/>
      <c r="BS111" s="170"/>
    </row>
    <row r="112" spans="1:71" ht="15.75" customHeight="1" x14ac:dyDescent="0.35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  <c r="AF112" s="170"/>
      <c r="AG112" s="170"/>
      <c r="AH112" s="170"/>
      <c r="AI112" s="170"/>
      <c r="AJ112" s="170"/>
      <c r="AK112" s="170"/>
      <c r="AL112" s="170"/>
      <c r="AM112" s="170"/>
      <c r="AN112" s="170"/>
      <c r="AO112" s="170"/>
      <c r="AP112" s="170"/>
      <c r="AQ112" s="170"/>
      <c r="AR112" s="170"/>
      <c r="AS112" s="170"/>
      <c r="AT112" s="170"/>
      <c r="AU112" s="170"/>
      <c r="AV112" s="170"/>
      <c r="AW112" s="170"/>
      <c r="AX112" s="170"/>
      <c r="AY112" s="170"/>
      <c r="AZ112" s="170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  <c r="BK112" s="170"/>
      <c r="BL112" s="170"/>
      <c r="BM112" s="170"/>
      <c r="BN112" s="170"/>
      <c r="BO112" s="170"/>
      <c r="BP112" s="170"/>
      <c r="BQ112" s="170"/>
      <c r="BR112" s="170"/>
      <c r="BS112" s="170"/>
    </row>
    <row r="113" spans="1:71" ht="15.75" customHeight="1" x14ac:dyDescent="0.35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  <c r="AF113" s="170"/>
      <c r="AG113" s="170"/>
      <c r="AH113" s="170"/>
      <c r="AI113" s="170"/>
      <c r="AJ113" s="170"/>
      <c r="AK113" s="170"/>
      <c r="AL113" s="170"/>
      <c r="AM113" s="170"/>
      <c r="AN113" s="170"/>
      <c r="AO113" s="170"/>
      <c r="AP113" s="170"/>
      <c r="AQ113" s="170"/>
      <c r="AR113" s="170"/>
      <c r="AS113" s="170"/>
      <c r="AT113" s="170"/>
      <c r="AU113" s="170"/>
      <c r="AV113" s="170"/>
      <c r="AW113" s="170"/>
      <c r="AX113" s="170"/>
      <c r="AY113" s="170"/>
      <c r="AZ113" s="170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  <c r="BK113" s="170"/>
      <c r="BL113" s="170"/>
      <c r="BM113" s="170"/>
      <c r="BN113" s="170"/>
      <c r="BO113" s="170"/>
      <c r="BP113" s="170"/>
      <c r="BQ113" s="170"/>
      <c r="BR113" s="170"/>
      <c r="BS113" s="170"/>
    </row>
    <row r="114" spans="1:71" ht="15.75" customHeight="1" x14ac:dyDescent="0.35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  <c r="AF114" s="170"/>
      <c r="AG114" s="170"/>
      <c r="AH114" s="170"/>
      <c r="AI114" s="170"/>
      <c r="AJ114" s="170"/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70"/>
      <c r="AV114" s="170"/>
      <c r="AW114" s="170"/>
      <c r="AX114" s="170"/>
      <c r="AY114" s="170"/>
      <c r="AZ114" s="170"/>
      <c r="BA114" s="170"/>
      <c r="BB114" s="170"/>
      <c r="BC114" s="170"/>
      <c r="BD114" s="170"/>
      <c r="BE114" s="170"/>
      <c r="BF114" s="170"/>
      <c r="BG114" s="170"/>
      <c r="BH114" s="170"/>
      <c r="BI114" s="170"/>
      <c r="BJ114" s="170"/>
      <c r="BK114" s="170"/>
      <c r="BL114" s="170"/>
      <c r="BM114" s="170"/>
      <c r="BN114" s="170"/>
      <c r="BO114" s="170"/>
      <c r="BP114" s="170"/>
      <c r="BQ114" s="170"/>
      <c r="BR114" s="170"/>
      <c r="BS114" s="170"/>
    </row>
    <row r="115" spans="1:71" ht="15.75" customHeight="1" x14ac:dyDescent="0.3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  <c r="AC115" s="170"/>
      <c r="AD115" s="170"/>
      <c r="AE115" s="170"/>
      <c r="AF115" s="170"/>
      <c r="AG115" s="170"/>
      <c r="AH115" s="170"/>
      <c r="AI115" s="170"/>
      <c r="AJ115" s="170"/>
      <c r="AK115" s="170"/>
      <c r="AL115" s="170"/>
      <c r="AM115" s="170"/>
      <c r="AN115" s="170"/>
      <c r="AO115" s="170"/>
      <c r="AP115" s="170"/>
      <c r="AQ115" s="170"/>
      <c r="AR115" s="170"/>
      <c r="AS115" s="170"/>
      <c r="AT115" s="170"/>
      <c r="AU115" s="170"/>
      <c r="AV115" s="170"/>
      <c r="AW115" s="170"/>
      <c r="AX115" s="170"/>
      <c r="AY115" s="170"/>
      <c r="AZ115" s="170"/>
      <c r="BA115" s="170"/>
      <c r="BB115" s="170"/>
      <c r="BC115" s="170"/>
      <c r="BD115" s="170"/>
      <c r="BE115" s="170"/>
      <c r="BF115" s="170"/>
      <c r="BG115" s="170"/>
      <c r="BH115" s="170"/>
      <c r="BI115" s="170"/>
      <c r="BJ115" s="170"/>
      <c r="BK115" s="170"/>
      <c r="BL115" s="170"/>
      <c r="BM115" s="170"/>
      <c r="BN115" s="170"/>
      <c r="BO115" s="170"/>
      <c r="BP115" s="170"/>
      <c r="BQ115" s="170"/>
      <c r="BR115" s="170"/>
      <c r="BS115" s="170"/>
    </row>
    <row r="116" spans="1:71" ht="15.75" customHeight="1" x14ac:dyDescent="0.35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0"/>
      <c r="AJ116" s="170"/>
      <c r="AK116" s="170"/>
      <c r="AL116" s="170"/>
      <c r="AM116" s="170"/>
      <c r="AN116" s="170"/>
      <c r="AO116" s="170"/>
      <c r="AP116" s="170"/>
      <c r="AQ116" s="170"/>
      <c r="AR116" s="170"/>
      <c r="AS116" s="170"/>
      <c r="AT116" s="170"/>
      <c r="AU116" s="170"/>
      <c r="AV116" s="170"/>
      <c r="AW116" s="170"/>
      <c r="AX116" s="170"/>
      <c r="AY116" s="170"/>
      <c r="AZ116" s="170"/>
      <c r="BA116" s="170"/>
      <c r="BB116" s="170"/>
      <c r="BC116" s="170"/>
      <c r="BD116" s="170"/>
      <c r="BE116" s="170"/>
      <c r="BF116" s="170"/>
      <c r="BG116" s="170"/>
      <c r="BH116" s="170"/>
      <c r="BI116" s="170"/>
      <c r="BJ116" s="170"/>
      <c r="BK116" s="170"/>
      <c r="BL116" s="170"/>
      <c r="BM116" s="170"/>
      <c r="BN116" s="170"/>
      <c r="BO116" s="170"/>
      <c r="BP116" s="170"/>
      <c r="BQ116" s="170"/>
      <c r="BR116" s="170"/>
      <c r="BS116" s="170"/>
    </row>
    <row r="117" spans="1:71" ht="15.75" customHeight="1" x14ac:dyDescent="0.35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  <c r="AP117" s="170"/>
      <c r="AQ117" s="170"/>
      <c r="AR117" s="170"/>
      <c r="AS117" s="170"/>
      <c r="AT117" s="170"/>
      <c r="AU117" s="170"/>
      <c r="AV117" s="170"/>
      <c r="AW117" s="170"/>
      <c r="AX117" s="170"/>
      <c r="AY117" s="170"/>
      <c r="AZ117" s="170"/>
      <c r="BA117" s="170"/>
      <c r="BB117" s="170"/>
      <c r="BC117" s="170"/>
      <c r="BD117" s="170"/>
      <c r="BE117" s="170"/>
      <c r="BF117" s="170"/>
      <c r="BG117" s="170"/>
      <c r="BH117" s="170"/>
      <c r="BI117" s="170"/>
      <c r="BJ117" s="170"/>
      <c r="BK117" s="170"/>
      <c r="BL117" s="170"/>
      <c r="BM117" s="170"/>
      <c r="BN117" s="170"/>
      <c r="BO117" s="170"/>
      <c r="BP117" s="170"/>
      <c r="BQ117" s="170"/>
      <c r="BR117" s="170"/>
      <c r="BS117" s="170"/>
    </row>
    <row r="118" spans="1:71" ht="15.75" customHeight="1" x14ac:dyDescent="0.35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0"/>
      <c r="AU118" s="170"/>
      <c r="AV118" s="170"/>
      <c r="AW118" s="170"/>
      <c r="AX118" s="170"/>
      <c r="AY118" s="170"/>
      <c r="AZ118" s="170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  <c r="BK118" s="170"/>
      <c r="BL118" s="170"/>
      <c r="BM118" s="170"/>
      <c r="BN118" s="170"/>
      <c r="BO118" s="170"/>
      <c r="BP118" s="170"/>
      <c r="BQ118" s="170"/>
      <c r="BR118" s="170"/>
      <c r="BS118" s="170"/>
    </row>
    <row r="119" spans="1:71" ht="15.75" customHeight="1" x14ac:dyDescent="0.35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  <c r="AM119" s="170"/>
      <c r="AN119" s="170"/>
      <c r="AO119" s="170"/>
      <c r="AP119" s="170"/>
      <c r="AQ119" s="170"/>
      <c r="AR119" s="170"/>
      <c r="AS119" s="170"/>
      <c r="AT119" s="170"/>
      <c r="AU119" s="170"/>
      <c r="AV119" s="170"/>
      <c r="AW119" s="170"/>
      <c r="AX119" s="170"/>
      <c r="AY119" s="170"/>
      <c r="AZ119" s="170"/>
      <c r="BA119" s="170"/>
      <c r="BB119" s="170"/>
      <c r="BC119" s="170"/>
      <c r="BD119" s="170"/>
      <c r="BE119" s="170"/>
      <c r="BF119" s="170"/>
      <c r="BG119" s="170"/>
      <c r="BH119" s="170"/>
      <c r="BI119" s="170"/>
      <c r="BJ119" s="170"/>
      <c r="BK119" s="170"/>
      <c r="BL119" s="170"/>
      <c r="BM119" s="170"/>
      <c r="BN119" s="170"/>
      <c r="BO119" s="170"/>
      <c r="BP119" s="170"/>
      <c r="BQ119" s="170"/>
      <c r="BR119" s="170"/>
      <c r="BS119" s="170"/>
    </row>
    <row r="120" spans="1:71" ht="15.75" customHeight="1" x14ac:dyDescent="0.35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  <c r="AM120" s="170"/>
      <c r="AN120" s="170"/>
      <c r="AO120" s="170"/>
      <c r="AP120" s="170"/>
      <c r="AQ120" s="170"/>
      <c r="AR120" s="170"/>
      <c r="AS120" s="170"/>
      <c r="AT120" s="170"/>
      <c r="AU120" s="170"/>
      <c r="AV120" s="170"/>
      <c r="AW120" s="170"/>
      <c r="AX120" s="170"/>
      <c r="AY120" s="170"/>
      <c r="AZ120" s="170"/>
      <c r="BA120" s="170"/>
      <c r="BB120" s="170"/>
      <c r="BC120" s="170"/>
      <c r="BD120" s="170"/>
      <c r="BE120" s="170"/>
      <c r="BF120" s="170"/>
      <c r="BG120" s="170"/>
      <c r="BH120" s="170"/>
      <c r="BI120" s="170"/>
      <c r="BJ120" s="170"/>
      <c r="BK120" s="170"/>
      <c r="BL120" s="170"/>
      <c r="BM120" s="170"/>
      <c r="BN120" s="170"/>
      <c r="BO120" s="170"/>
      <c r="BP120" s="170"/>
      <c r="BQ120" s="170"/>
      <c r="BR120" s="170"/>
      <c r="BS120" s="170"/>
    </row>
    <row r="121" spans="1:71" ht="15.75" customHeight="1" x14ac:dyDescent="0.35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  <c r="AF121" s="170"/>
      <c r="AG121" s="170"/>
      <c r="AH121" s="170"/>
      <c r="AI121" s="170"/>
      <c r="AJ121" s="170"/>
      <c r="AK121" s="170"/>
      <c r="AL121" s="170"/>
      <c r="AM121" s="170"/>
      <c r="AN121" s="170"/>
      <c r="AO121" s="170"/>
      <c r="AP121" s="170"/>
      <c r="AQ121" s="170"/>
      <c r="AR121" s="170"/>
      <c r="AS121" s="170"/>
      <c r="AT121" s="170"/>
      <c r="AU121" s="170"/>
      <c r="AV121" s="170"/>
      <c r="AW121" s="170"/>
      <c r="AX121" s="170"/>
      <c r="AY121" s="170"/>
      <c r="AZ121" s="170"/>
      <c r="BA121" s="170"/>
      <c r="BB121" s="170"/>
      <c r="BC121" s="170"/>
      <c r="BD121" s="170"/>
      <c r="BE121" s="170"/>
      <c r="BF121" s="170"/>
      <c r="BG121" s="170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</row>
    <row r="122" spans="1:71" ht="15.75" customHeight="1" x14ac:dyDescent="0.35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  <c r="AC122" s="170"/>
      <c r="AD122" s="170"/>
      <c r="AE122" s="170"/>
      <c r="AF122" s="170"/>
      <c r="AG122" s="170"/>
      <c r="AH122" s="170"/>
      <c r="AI122" s="170"/>
      <c r="AJ122" s="170"/>
      <c r="AK122" s="170"/>
      <c r="AL122" s="170"/>
      <c r="AM122" s="170"/>
      <c r="AN122" s="170"/>
      <c r="AO122" s="170"/>
      <c r="AP122" s="170"/>
      <c r="AQ122" s="170"/>
      <c r="AR122" s="170"/>
      <c r="AS122" s="170"/>
      <c r="AT122" s="170"/>
      <c r="AU122" s="170"/>
      <c r="AV122" s="170"/>
      <c r="AW122" s="170"/>
      <c r="AX122" s="170"/>
      <c r="AY122" s="170"/>
      <c r="AZ122" s="170"/>
      <c r="BA122" s="170"/>
      <c r="BB122" s="170"/>
      <c r="BC122" s="170"/>
      <c r="BD122" s="170"/>
      <c r="BE122" s="170"/>
      <c r="BF122" s="170"/>
      <c r="BG122" s="170"/>
      <c r="BH122" s="170"/>
      <c r="BI122" s="170"/>
      <c r="BJ122" s="170"/>
      <c r="BK122" s="170"/>
      <c r="BL122" s="170"/>
      <c r="BM122" s="170"/>
      <c r="BN122" s="170"/>
      <c r="BO122" s="170"/>
      <c r="BP122" s="170"/>
      <c r="BQ122" s="170"/>
      <c r="BR122" s="170"/>
      <c r="BS122" s="170"/>
    </row>
    <row r="123" spans="1:71" ht="15.75" customHeight="1" x14ac:dyDescent="0.35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  <c r="AC123" s="170"/>
      <c r="AD123" s="170"/>
      <c r="AE123" s="170"/>
      <c r="AF123" s="170"/>
      <c r="AG123" s="170"/>
      <c r="AH123" s="170"/>
      <c r="AI123" s="170"/>
      <c r="AJ123" s="170"/>
      <c r="AK123" s="170"/>
      <c r="AL123" s="170"/>
      <c r="AM123" s="170"/>
      <c r="AN123" s="170"/>
      <c r="AO123" s="170"/>
      <c r="AP123" s="170"/>
      <c r="AQ123" s="170"/>
      <c r="AR123" s="170"/>
      <c r="AS123" s="170"/>
      <c r="AT123" s="170"/>
      <c r="AU123" s="170"/>
      <c r="AV123" s="170"/>
      <c r="AW123" s="170"/>
      <c r="AX123" s="170"/>
      <c r="AY123" s="170"/>
      <c r="AZ123" s="170"/>
      <c r="BA123" s="170"/>
      <c r="BB123" s="170"/>
      <c r="BC123" s="170"/>
      <c r="BD123" s="170"/>
      <c r="BE123" s="170"/>
      <c r="BF123" s="170"/>
      <c r="BG123" s="170"/>
      <c r="BH123" s="170"/>
      <c r="BI123" s="170"/>
      <c r="BJ123" s="170"/>
      <c r="BK123" s="170"/>
      <c r="BL123" s="170"/>
      <c r="BM123" s="170"/>
      <c r="BN123" s="170"/>
      <c r="BO123" s="170"/>
      <c r="BP123" s="170"/>
      <c r="BQ123" s="170"/>
      <c r="BR123" s="170"/>
      <c r="BS123" s="170"/>
    </row>
    <row r="124" spans="1:71" ht="15.75" customHeight="1" x14ac:dyDescent="0.35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0"/>
      <c r="AJ124" s="170"/>
      <c r="AK124" s="170"/>
      <c r="AL124" s="170"/>
      <c r="AM124" s="170"/>
      <c r="AN124" s="170"/>
      <c r="AO124" s="170"/>
      <c r="AP124" s="170"/>
      <c r="AQ124" s="170"/>
      <c r="AR124" s="170"/>
      <c r="AS124" s="170"/>
      <c r="AT124" s="170"/>
      <c r="AU124" s="170"/>
      <c r="AV124" s="170"/>
      <c r="AW124" s="170"/>
      <c r="AX124" s="170"/>
      <c r="AY124" s="170"/>
      <c r="AZ124" s="170"/>
      <c r="BA124" s="170"/>
      <c r="BB124" s="170"/>
      <c r="BC124" s="170"/>
      <c r="BD124" s="170"/>
      <c r="BE124" s="170"/>
      <c r="BF124" s="170"/>
      <c r="BG124" s="170"/>
      <c r="BH124" s="170"/>
      <c r="BI124" s="170"/>
      <c r="BJ124" s="170"/>
      <c r="BK124" s="170"/>
      <c r="BL124" s="170"/>
      <c r="BM124" s="170"/>
      <c r="BN124" s="170"/>
      <c r="BO124" s="170"/>
      <c r="BP124" s="170"/>
      <c r="BQ124" s="170"/>
      <c r="BR124" s="170"/>
      <c r="BS124" s="170"/>
    </row>
    <row r="125" spans="1:71" ht="15.75" customHeight="1" x14ac:dyDescent="0.3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0"/>
      <c r="AT125" s="170"/>
      <c r="AU125" s="170"/>
      <c r="AV125" s="170"/>
      <c r="AW125" s="170"/>
      <c r="AX125" s="170"/>
      <c r="AY125" s="170"/>
      <c r="AZ125" s="170"/>
      <c r="BA125" s="170"/>
      <c r="BB125" s="170"/>
      <c r="BC125" s="170"/>
      <c r="BD125" s="170"/>
      <c r="BE125" s="170"/>
      <c r="BF125" s="170"/>
      <c r="BG125" s="170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</row>
    <row r="126" spans="1:71" ht="15.75" customHeight="1" x14ac:dyDescent="0.35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0"/>
      <c r="AM126" s="170"/>
      <c r="AN126" s="170"/>
      <c r="AO126" s="170"/>
      <c r="AP126" s="170"/>
      <c r="AQ126" s="170"/>
      <c r="AR126" s="170"/>
      <c r="AS126" s="170"/>
      <c r="AT126" s="170"/>
      <c r="AU126" s="170"/>
      <c r="AV126" s="170"/>
      <c r="AW126" s="170"/>
      <c r="AX126" s="170"/>
      <c r="AY126" s="170"/>
      <c r="AZ126" s="170"/>
      <c r="BA126" s="170"/>
      <c r="BB126" s="170"/>
      <c r="BC126" s="170"/>
      <c r="BD126" s="170"/>
      <c r="BE126" s="170"/>
      <c r="BF126" s="170"/>
      <c r="BG126" s="170"/>
      <c r="BH126" s="170"/>
      <c r="BI126" s="170"/>
      <c r="BJ126" s="170"/>
      <c r="BK126" s="170"/>
      <c r="BL126" s="170"/>
      <c r="BM126" s="170"/>
      <c r="BN126" s="170"/>
      <c r="BO126" s="170"/>
      <c r="BP126" s="170"/>
      <c r="BQ126" s="170"/>
      <c r="BR126" s="170"/>
      <c r="BS126" s="170"/>
    </row>
    <row r="127" spans="1:71" ht="15.75" customHeight="1" x14ac:dyDescent="0.35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170"/>
      <c r="AL127" s="170"/>
      <c r="AM127" s="170"/>
      <c r="AN127" s="170"/>
      <c r="AO127" s="170"/>
      <c r="AP127" s="170"/>
      <c r="AQ127" s="170"/>
      <c r="AR127" s="170"/>
      <c r="AS127" s="170"/>
      <c r="AT127" s="170"/>
      <c r="AU127" s="170"/>
      <c r="AV127" s="170"/>
      <c r="AW127" s="170"/>
      <c r="AX127" s="170"/>
      <c r="AY127" s="170"/>
      <c r="AZ127" s="170"/>
      <c r="BA127" s="170"/>
      <c r="BB127" s="170"/>
      <c r="BC127" s="170"/>
      <c r="BD127" s="170"/>
      <c r="BE127" s="170"/>
      <c r="BF127" s="170"/>
      <c r="BG127" s="170"/>
      <c r="BH127" s="170"/>
      <c r="BI127" s="170"/>
      <c r="BJ127" s="170"/>
      <c r="BK127" s="170"/>
      <c r="BL127" s="170"/>
      <c r="BM127" s="170"/>
      <c r="BN127" s="170"/>
      <c r="BO127" s="170"/>
      <c r="BP127" s="170"/>
      <c r="BQ127" s="170"/>
      <c r="BR127" s="170"/>
      <c r="BS127" s="170"/>
    </row>
    <row r="128" spans="1:71" ht="15.75" customHeight="1" x14ac:dyDescent="0.35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0"/>
      <c r="AJ128" s="170"/>
      <c r="AK128" s="170"/>
      <c r="AL128" s="170"/>
      <c r="AM128" s="170"/>
      <c r="AN128" s="170"/>
      <c r="AO128" s="170"/>
      <c r="AP128" s="170"/>
      <c r="AQ128" s="170"/>
      <c r="AR128" s="170"/>
      <c r="AS128" s="170"/>
      <c r="AT128" s="170"/>
      <c r="AU128" s="170"/>
      <c r="AV128" s="170"/>
      <c r="AW128" s="170"/>
      <c r="AX128" s="170"/>
      <c r="AY128" s="170"/>
      <c r="AZ128" s="170"/>
      <c r="BA128" s="170"/>
      <c r="BB128" s="170"/>
      <c r="BC128" s="170"/>
      <c r="BD128" s="170"/>
      <c r="BE128" s="170"/>
      <c r="BF128" s="170"/>
      <c r="BG128" s="170"/>
      <c r="BH128" s="170"/>
      <c r="BI128" s="170"/>
      <c r="BJ128" s="170"/>
      <c r="BK128" s="170"/>
      <c r="BL128" s="170"/>
      <c r="BM128" s="170"/>
      <c r="BN128" s="170"/>
      <c r="BO128" s="170"/>
      <c r="BP128" s="170"/>
      <c r="BQ128" s="170"/>
      <c r="BR128" s="170"/>
      <c r="BS128" s="170"/>
    </row>
    <row r="129" spans="1:71" ht="15.75" customHeight="1" x14ac:dyDescent="0.35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0"/>
      <c r="AM129" s="170"/>
      <c r="AN129" s="170"/>
      <c r="AO129" s="170"/>
      <c r="AP129" s="170"/>
      <c r="AQ129" s="170"/>
      <c r="AR129" s="170"/>
      <c r="AS129" s="170"/>
      <c r="AT129" s="170"/>
      <c r="AU129" s="170"/>
      <c r="AV129" s="170"/>
      <c r="AW129" s="170"/>
      <c r="AX129" s="170"/>
      <c r="AY129" s="170"/>
      <c r="AZ129" s="170"/>
      <c r="BA129" s="170"/>
      <c r="BB129" s="170"/>
      <c r="BC129" s="170"/>
      <c r="BD129" s="170"/>
      <c r="BE129" s="170"/>
      <c r="BF129" s="170"/>
      <c r="BG129" s="170"/>
      <c r="BH129" s="170"/>
      <c r="BI129" s="170"/>
      <c r="BJ129" s="170"/>
      <c r="BK129" s="170"/>
      <c r="BL129" s="170"/>
      <c r="BM129" s="170"/>
      <c r="BN129" s="170"/>
      <c r="BO129" s="170"/>
      <c r="BP129" s="170"/>
      <c r="BQ129" s="170"/>
      <c r="BR129" s="170"/>
      <c r="BS129" s="170"/>
    </row>
    <row r="130" spans="1:71" ht="15.75" customHeight="1" x14ac:dyDescent="0.35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  <c r="AF130" s="170"/>
      <c r="AG130" s="170"/>
      <c r="AH130" s="170"/>
      <c r="AI130" s="170"/>
      <c r="AJ130" s="170"/>
      <c r="AK130" s="170"/>
      <c r="AL130" s="170"/>
      <c r="AM130" s="170"/>
      <c r="AN130" s="170"/>
      <c r="AO130" s="170"/>
      <c r="AP130" s="170"/>
      <c r="AQ130" s="170"/>
      <c r="AR130" s="170"/>
      <c r="AS130" s="170"/>
      <c r="AT130" s="170"/>
      <c r="AU130" s="170"/>
      <c r="AV130" s="170"/>
      <c r="AW130" s="170"/>
      <c r="AX130" s="170"/>
      <c r="AY130" s="170"/>
      <c r="AZ130" s="170"/>
      <c r="BA130" s="170"/>
      <c r="BB130" s="170"/>
      <c r="BC130" s="170"/>
      <c r="BD130" s="170"/>
      <c r="BE130" s="170"/>
      <c r="BF130" s="170"/>
      <c r="BG130" s="170"/>
      <c r="BH130" s="170"/>
      <c r="BI130" s="170"/>
      <c r="BJ130" s="170"/>
      <c r="BK130" s="170"/>
      <c r="BL130" s="170"/>
      <c r="BM130" s="170"/>
      <c r="BN130" s="170"/>
      <c r="BO130" s="170"/>
      <c r="BP130" s="170"/>
      <c r="BQ130" s="170"/>
      <c r="BR130" s="170"/>
      <c r="BS130" s="170"/>
    </row>
    <row r="131" spans="1:71" ht="15.75" customHeight="1" x14ac:dyDescent="0.35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0"/>
      <c r="AJ131" s="170"/>
      <c r="AK131" s="170"/>
      <c r="AL131" s="170"/>
      <c r="AM131" s="170"/>
      <c r="AN131" s="170"/>
      <c r="AO131" s="170"/>
      <c r="AP131" s="170"/>
      <c r="AQ131" s="170"/>
      <c r="AR131" s="170"/>
      <c r="AS131" s="170"/>
      <c r="AT131" s="170"/>
      <c r="AU131" s="170"/>
      <c r="AV131" s="170"/>
      <c r="AW131" s="170"/>
      <c r="AX131" s="170"/>
      <c r="AY131" s="170"/>
      <c r="AZ131" s="170"/>
      <c r="BA131" s="170"/>
      <c r="BB131" s="170"/>
      <c r="BC131" s="170"/>
      <c r="BD131" s="170"/>
      <c r="BE131" s="170"/>
      <c r="BF131" s="170"/>
      <c r="BG131" s="170"/>
      <c r="BH131" s="170"/>
      <c r="BI131" s="170"/>
      <c r="BJ131" s="170"/>
      <c r="BK131" s="170"/>
      <c r="BL131" s="170"/>
      <c r="BM131" s="170"/>
      <c r="BN131" s="170"/>
      <c r="BO131" s="170"/>
      <c r="BP131" s="170"/>
      <c r="BQ131" s="170"/>
      <c r="BR131" s="170"/>
      <c r="BS131" s="170"/>
    </row>
    <row r="132" spans="1:71" ht="15.75" customHeight="1" x14ac:dyDescent="0.35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0"/>
      <c r="AJ132" s="170"/>
      <c r="AK132" s="170"/>
      <c r="AL132" s="170"/>
      <c r="AM132" s="170"/>
      <c r="AN132" s="170"/>
      <c r="AO132" s="170"/>
      <c r="AP132" s="170"/>
      <c r="AQ132" s="170"/>
      <c r="AR132" s="170"/>
      <c r="AS132" s="170"/>
      <c r="AT132" s="170"/>
      <c r="AU132" s="170"/>
      <c r="AV132" s="170"/>
      <c r="AW132" s="170"/>
      <c r="AX132" s="170"/>
      <c r="AY132" s="170"/>
      <c r="AZ132" s="170"/>
      <c r="BA132" s="170"/>
      <c r="BB132" s="170"/>
      <c r="BC132" s="170"/>
      <c r="BD132" s="170"/>
      <c r="BE132" s="170"/>
      <c r="BF132" s="170"/>
      <c r="BG132" s="170"/>
      <c r="BH132" s="170"/>
      <c r="BI132" s="170"/>
      <c r="BJ132" s="170"/>
      <c r="BK132" s="170"/>
      <c r="BL132" s="170"/>
      <c r="BM132" s="170"/>
      <c r="BN132" s="170"/>
      <c r="BO132" s="170"/>
      <c r="BP132" s="170"/>
      <c r="BQ132" s="170"/>
      <c r="BR132" s="170"/>
      <c r="BS132" s="170"/>
    </row>
    <row r="133" spans="1:71" ht="15.75" customHeight="1" x14ac:dyDescent="0.35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0"/>
      <c r="AJ133" s="170"/>
      <c r="AK133" s="170"/>
      <c r="AL133" s="170"/>
      <c r="AM133" s="170"/>
      <c r="AN133" s="170"/>
      <c r="AO133" s="170"/>
      <c r="AP133" s="170"/>
      <c r="AQ133" s="170"/>
      <c r="AR133" s="170"/>
      <c r="AS133" s="170"/>
      <c r="AT133" s="170"/>
      <c r="AU133" s="170"/>
      <c r="AV133" s="170"/>
      <c r="AW133" s="170"/>
      <c r="AX133" s="170"/>
      <c r="AY133" s="170"/>
      <c r="AZ133" s="170"/>
      <c r="BA133" s="170"/>
      <c r="BB133" s="170"/>
      <c r="BC133" s="170"/>
      <c r="BD133" s="170"/>
      <c r="BE133" s="170"/>
      <c r="BF133" s="170"/>
      <c r="BG133" s="170"/>
      <c r="BH133" s="170"/>
      <c r="BI133" s="170"/>
      <c r="BJ133" s="170"/>
      <c r="BK133" s="170"/>
      <c r="BL133" s="170"/>
      <c r="BM133" s="170"/>
      <c r="BN133" s="170"/>
      <c r="BO133" s="170"/>
      <c r="BP133" s="170"/>
      <c r="BQ133" s="170"/>
      <c r="BR133" s="170"/>
      <c r="BS133" s="170"/>
    </row>
    <row r="134" spans="1:71" ht="15.75" customHeight="1" x14ac:dyDescent="0.35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0"/>
      <c r="AJ134" s="170"/>
      <c r="AK134" s="170"/>
      <c r="AL134" s="170"/>
      <c r="AM134" s="170"/>
      <c r="AN134" s="170"/>
      <c r="AO134" s="170"/>
      <c r="AP134" s="170"/>
      <c r="AQ134" s="170"/>
      <c r="AR134" s="170"/>
      <c r="AS134" s="170"/>
      <c r="AT134" s="170"/>
      <c r="AU134" s="170"/>
      <c r="AV134" s="170"/>
      <c r="AW134" s="170"/>
      <c r="AX134" s="170"/>
      <c r="AY134" s="170"/>
      <c r="AZ134" s="170"/>
      <c r="BA134" s="170"/>
      <c r="BB134" s="170"/>
      <c r="BC134" s="170"/>
      <c r="BD134" s="170"/>
      <c r="BE134" s="170"/>
      <c r="BF134" s="170"/>
      <c r="BG134" s="170"/>
      <c r="BH134" s="170"/>
      <c r="BI134" s="170"/>
      <c r="BJ134" s="170"/>
      <c r="BK134" s="170"/>
      <c r="BL134" s="170"/>
      <c r="BM134" s="170"/>
      <c r="BN134" s="170"/>
      <c r="BO134" s="170"/>
      <c r="BP134" s="170"/>
      <c r="BQ134" s="170"/>
      <c r="BR134" s="170"/>
      <c r="BS134" s="170"/>
    </row>
    <row r="135" spans="1:71" ht="15.75" customHeight="1" x14ac:dyDescent="0.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0"/>
      <c r="AJ135" s="170"/>
      <c r="AK135" s="170"/>
      <c r="AL135" s="170"/>
      <c r="AM135" s="170"/>
      <c r="AN135" s="170"/>
      <c r="AO135" s="170"/>
      <c r="AP135" s="170"/>
      <c r="AQ135" s="170"/>
      <c r="AR135" s="170"/>
      <c r="AS135" s="170"/>
      <c r="AT135" s="170"/>
      <c r="AU135" s="170"/>
      <c r="AV135" s="170"/>
      <c r="AW135" s="170"/>
      <c r="AX135" s="170"/>
      <c r="AY135" s="170"/>
      <c r="AZ135" s="170"/>
      <c r="BA135" s="170"/>
      <c r="BB135" s="170"/>
      <c r="BC135" s="170"/>
      <c r="BD135" s="170"/>
      <c r="BE135" s="170"/>
      <c r="BF135" s="170"/>
      <c r="BG135" s="170"/>
      <c r="BH135" s="170"/>
      <c r="BI135" s="170"/>
      <c r="BJ135" s="170"/>
      <c r="BK135" s="170"/>
      <c r="BL135" s="170"/>
      <c r="BM135" s="170"/>
      <c r="BN135" s="170"/>
      <c r="BO135" s="170"/>
      <c r="BP135" s="170"/>
      <c r="BQ135" s="170"/>
      <c r="BR135" s="170"/>
      <c r="BS135" s="170"/>
    </row>
    <row r="136" spans="1:71" ht="15.75" customHeight="1" x14ac:dyDescent="0.35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0"/>
      <c r="AJ136" s="170"/>
      <c r="AK136" s="170"/>
      <c r="AL136" s="170"/>
      <c r="AM136" s="170"/>
      <c r="AN136" s="170"/>
      <c r="AO136" s="170"/>
      <c r="AP136" s="170"/>
      <c r="AQ136" s="170"/>
      <c r="AR136" s="170"/>
      <c r="AS136" s="170"/>
      <c r="AT136" s="170"/>
      <c r="AU136" s="170"/>
      <c r="AV136" s="170"/>
      <c r="AW136" s="170"/>
      <c r="AX136" s="170"/>
      <c r="AY136" s="170"/>
      <c r="AZ136" s="170"/>
      <c r="BA136" s="170"/>
      <c r="BB136" s="170"/>
      <c r="BC136" s="170"/>
      <c r="BD136" s="170"/>
      <c r="BE136" s="170"/>
      <c r="BF136" s="170"/>
      <c r="BG136" s="170"/>
      <c r="BH136" s="170"/>
      <c r="BI136" s="170"/>
      <c r="BJ136" s="170"/>
      <c r="BK136" s="170"/>
      <c r="BL136" s="170"/>
      <c r="BM136" s="170"/>
      <c r="BN136" s="170"/>
      <c r="BO136" s="170"/>
      <c r="BP136" s="170"/>
      <c r="BQ136" s="170"/>
      <c r="BR136" s="170"/>
      <c r="BS136" s="170"/>
    </row>
    <row r="137" spans="1:71" ht="15.75" customHeight="1" x14ac:dyDescent="0.35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0"/>
      <c r="AJ137" s="170"/>
      <c r="AK137" s="170"/>
      <c r="AL137" s="170"/>
      <c r="AM137" s="170"/>
      <c r="AN137" s="170"/>
      <c r="AO137" s="170"/>
      <c r="AP137" s="170"/>
      <c r="AQ137" s="170"/>
      <c r="AR137" s="170"/>
      <c r="AS137" s="170"/>
      <c r="AT137" s="170"/>
      <c r="AU137" s="170"/>
      <c r="AV137" s="170"/>
      <c r="AW137" s="170"/>
      <c r="AX137" s="170"/>
      <c r="AY137" s="170"/>
      <c r="AZ137" s="170"/>
      <c r="BA137" s="170"/>
      <c r="BB137" s="170"/>
      <c r="BC137" s="170"/>
      <c r="BD137" s="170"/>
      <c r="BE137" s="170"/>
      <c r="BF137" s="170"/>
      <c r="BG137" s="170"/>
      <c r="BH137" s="170"/>
      <c r="BI137" s="170"/>
      <c r="BJ137" s="170"/>
      <c r="BK137" s="170"/>
      <c r="BL137" s="170"/>
      <c r="BM137" s="170"/>
      <c r="BN137" s="170"/>
      <c r="BO137" s="170"/>
      <c r="BP137" s="170"/>
      <c r="BQ137" s="170"/>
      <c r="BR137" s="170"/>
      <c r="BS137" s="170"/>
    </row>
    <row r="138" spans="1:71" ht="15.75" customHeight="1" x14ac:dyDescent="0.35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  <c r="AC138" s="170"/>
      <c r="AD138" s="170"/>
      <c r="AE138" s="170"/>
      <c r="AF138" s="170"/>
      <c r="AG138" s="170"/>
      <c r="AH138" s="170"/>
      <c r="AI138" s="170"/>
      <c r="AJ138" s="170"/>
      <c r="AK138" s="170"/>
      <c r="AL138" s="170"/>
      <c r="AM138" s="170"/>
      <c r="AN138" s="170"/>
      <c r="AO138" s="170"/>
      <c r="AP138" s="170"/>
      <c r="AQ138" s="170"/>
      <c r="AR138" s="170"/>
      <c r="AS138" s="170"/>
      <c r="AT138" s="170"/>
      <c r="AU138" s="170"/>
      <c r="AV138" s="170"/>
      <c r="AW138" s="170"/>
      <c r="AX138" s="170"/>
      <c r="AY138" s="170"/>
      <c r="AZ138" s="170"/>
      <c r="BA138" s="170"/>
      <c r="BB138" s="170"/>
      <c r="BC138" s="170"/>
      <c r="BD138" s="170"/>
      <c r="BE138" s="170"/>
      <c r="BF138" s="170"/>
      <c r="BG138" s="170"/>
      <c r="BH138" s="170"/>
      <c r="BI138" s="170"/>
      <c r="BJ138" s="170"/>
      <c r="BK138" s="170"/>
      <c r="BL138" s="170"/>
      <c r="BM138" s="170"/>
      <c r="BN138" s="170"/>
      <c r="BO138" s="170"/>
      <c r="BP138" s="170"/>
      <c r="BQ138" s="170"/>
      <c r="BR138" s="170"/>
      <c r="BS138" s="170"/>
    </row>
    <row r="139" spans="1:71" ht="15.75" customHeight="1" x14ac:dyDescent="0.35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  <c r="AC139" s="170"/>
      <c r="AD139" s="170"/>
      <c r="AE139" s="170"/>
      <c r="AF139" s="170"/>
      <c r="AG139" s="170"/>
      <c r="AH139" s="170"/>
      <c r="AI139" s="170"/>
      <c r="AJ139" s="170"/>
      <c r="AK139" s="170"/>
      <c r="AL139" s="170"/>
      <c r="AM139" s="170"/>
      <c r="AN139" s="170"/>
      <c r="AO139" s="170"/>
      <c r="AP139" s="170"/>
      <c r="AQ139" s="170"/>
      <c r="AR139" s="170"/>
      <c r="AS139" s="170"/>
      <c r="AT139" s="170"/>
      <c r="AU139" s="170"/>
      <c r="AV139" s="170"/>
      <c r="AW139" s="170"/>
      <c r="AX139" s="170"/>
      <c r="AY139" s="170"/>
      <c r="AZ139" s="170"/>
      <c r="BA139" s="170"/>
      <c r="BB139" s="170"/>
      <c r="BC139" s="170"/>
      <c r="BD139" s="170"/>
      <c r="BE139" s="170"/>
      <c r="BF139" s="170"/>
      <c r="BG139" s="170"/>
      <c r="BH139" s="170"/>
      <c r="BI139" s="170"/>
      <c r="BJ139" s="170"/>
      <c r="BK139" s="170"/>
      <c r="BL139" s="170"/>
      <c r="BM139" s="170"/>
      <c r="BN139" s="170"/>
      <c r="BO139" s="170"/>
      <c r="BP139" s="170"/>
      <c r="BQ139" s="170"/>
      <c r="BR139" s="170"/>
      <c r="BS139" s="170"/>
    </row>
    <row r="140" spans="1:71" ht="15.75" customHeight="1" x14ac:dyDescent="0.35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170"/>
      <c r="AN140" s="170"/>
      <c r="AO140" s="170"/>
      <c r="AP140" s="170"/>
      <c r="AQ140" s="170"/>
      <c r="AR140" s="170"/>
      <c r="AS140" s="170"/>
      <c r="AT140" s="170"/>
      <c r="AU140" s="170"/>
      <c r="AV140" s="170"/>
      <c r="AW140" s="170"/>
      <c r="AX140" s="170"/>
      <c r="AY140" s="170"/>
      <c r="AZ140" s="170"/>
      <c r="BA140" s="170"/>
      <c r="BB140" s="170"/>
      <c r="BC140" s="170"/>
      <c r="BD140" s="170"/>
      <c r="BE140" s="170"/>
      <c r="BF140" s="170"/>
      <c r="BG140" s="170"/>
      <c r="BH140" s="170"/>
      <c r="BI140" s="170"/>
      <c r="BJ140" s="170"/>
      <c r="BK140" s="170"/>
      <c r="BL140" s="170"/>
      <c r="BM140" s="170"/>
      <c r="BN140" s="170"/>
      <c r="BO140" s="170"/>
      <c r="BP140" s="170"/>
      <c r="BQ140" s="170"/>
      <c r="BR140" s="170"/>
      <c r="BS140" s="170"/>
    </row>
    <row r="141" spans="1:71" ht="15.75" customHeight="1" x14ac:dyDescent="0.35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  <c r="AB141" s="170"/>
      <c r="AC141" s="170"/>
      <c r="AD141" s="170"/>
      <c r="AE141" s="170"/>
      <c r="AF141" s="170"/>
      <c r="AG141" s="170"/>
      <c r="AH141" s="170"/>
      <c r="AI141" s="170"/>
      <c r="AJ141" s="170"/>
      <c r="AK141" s="170"/>
      <c r="AL141" s="170"/>
      <c r="AM141" s="170"/>
      <c r="AN141" s="170"/>
      <c r="AO141" s="170"/>
      <c r="AP141" s="170"/>
      <c r="AQ141" s="170"/>
      <c r="AR141" s="170"/>
      <c r="AS141" s="170"/>
      <c r="AT141" s="170"/>
      <c r="AU141" s="170"/>
      <c r="AV141" s="170"/>
      <c r="AW141" s="170"/>
      <c r="AX141" s="170"/>
      <c r="AY141" s="170"/>
      <c r="AZ141" s="170"/>
      <c r="BA141" s="170"/>
      <c r="BB141" s="170"/>
      <c r="BC141" s="170"/>
      <c r="BD141" s="170"/>
      <c r="BE141" s="170"/>
      <c r="BF141" s="170"/>
      <c r="BG141" s="170"/>
      <c r="BH141" s="170"/>
      <c r="BI141" s="170"/>
      <c r="BJ141" s="170"/>
      <c r="BK141" s="170"/>
      <c r="BL141" s="170"/>
      <c r="BM141" s="170"/>
      <c r="BN141" s="170"/>
      <c r="BO141" s="170"/>
      <c r="BP141" s="170"/>
      <c r="BQ141" s="170"/>
      <c r="BR141" s="170"/>
      <c r="BS141" s="170"/>
    </row>
    <row r="142" spans="1:71" ht="15.75" customHeight="1" x14ac:dyDescent="0.35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0"/>
      <c r="AO142" s="170"/>
      <c r="AP142" s="170"/>
      <c r="AQ142" s="170"/>
      <c r="AR142" s="170"/>
      <c r="AS142" s="170"/>
      <c r="AT142" s="170"/>
      <c r="AU142" s="170"/>
      <c r="AV142" s="170"/>
      <c r="AW142" s="170"/>
      <c r="AX142" s="170"/>
      <c r="AY142" s="170"/>
      <c r="AZ142" s="170"/>
      <c r="BA142" s="170"/>
      <c r="BB142" s="170"/>
      <c r="BC142" s="170"/>
      <c r="BD142" s="170"/>
      <c r="BE142" s="170"/>
      <c r="BF142" s="170"/>
      <c r="BG142" s="170"/>
      <c r="BH142" s="170"/>
      <c r="BI142" s="170"/>
      <c r="BJ142" s="170"/>
      <c r="BK142" s="170"/>
      <c r="BL142" s="170"/>
      <c r="BM142" s="170"/>
      <c r="BN142" s="170"/>
      <c r="BO142" s="170"/>
      <c r="BP142" s="170"/>
      <c r="BQ142" s="170"/>
      <c r="BR142" s="170"/>
      <c r="BS142" s="170"/>
    </row>
    <row r="143" spans="1:71" ht="15.75" customHeight="1" x14ac:dyDescent="0.35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  <c r="AC143" s="170"/>
      <c r="AD143" s="170"/>
      <c r="AE143" s="170"/>
      <c r="AF143" s="170"/>
      <c r="AG143" s="170"/>
      <c r="AH143" s="170"/>
      <c r="AI143" s="170"/>
      <c r="AJ143" s="170"/>
      <c r="AK143" s="170"/>
      <c r="AL143" s="170"/>
      <c r="AM143" s="170"/>
      <c r="AN143" s="170"/>
      <c r="AO143" s="170"/>
      <c r="AP143" s="170"/>
      <c r="AQ143" s="170"/>
      <c r="AR143" s="170"/>
      <c r="AS143" s="170"/>
      <c r="AT143" s="170"/>
      <c r="AU143" s="170"/>
      <c r="AV143" s="170"/>
      <c r="AW143" s="170"/>
      <c r="AX143" s="170"/>
      <c r="AY143" s="170"/>
      <c r="AZ143" s="170"/>
      <c r="BA143" s="170"/>
      <c r="BB143" s="170"/>
      <c r="BC143" s="170"/>
      <c r="BD143" s="170"/>
      <c r="BE143" s="170"/>
      <c r="BF143" s="170"/>
      <c r="BG143" s="170"/>
      <c r="BH143" s="170"/>
      <c r="BI143" s="170"/>
      <c r="BJ143" s="170"/>
      <c r="BK143" s="170"/>
      <c r="BL143" s="170"/>
      <c r="BM143" s="170"/>
      <c r="BN143" s="170"/>
      <c r="BO143" s="170"/>
      <c r="BP143" s="170"/>
      <c r="BQ143" s="170"/>
      <c r="BR143" s="170"/>
      <c r="BS143" s="170"/>
    </row>
    <row r="144" spans="1:71" ht="15.75" customHeight="1" x14ac:dyDescent="0.35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  <c r="AF144" s="170"/>
      <c r="AG144" s="170"/>
      <c r="AH144" s="170"/>
      <c r="AI144" s="170"/>
      <c r="AJ144" s="170"/>
      <c r="AK144" s="170"/>
      <c r="AL144" s="170"/>
      <c r="AM144" s="170"/>
      <c r="AN144" s="170"/>
      <c r="AO144" s="170"/>
      <c r="AP144" s="170"/>
      <c r="AQ144" s="170"/>
      <c r="AR144" s="170"/>
      <c r="AS144" s="170"/>
      <c r="AT144" s="170"/>
      <c r="AU144" s="170"/>
      <c r="AV144" s="170"/>
      <c r="AW144" s="170"/>
      <c r="AX144" s="170"/>
      <c r="AY144" s="170"/>
      <c r="AZ144" s="170"/>
      <c r="BA144" s="170"/>
      <c r="BB144" s="170"/>
      <c r="BC144" s="170"/>
      <c r="BD144" s="170"/>
      <c r="BE144" s="170"/>
      <c r="BF144" s="170"/>
      <c r="BG144" s="170"/>
      <c r="BH144" s="170"/>
      <c r="BI144" s="170"/>
      <c r="BJ144" s="170"/>
      <c r="BK144" s="170"/>
      <c r="BL144" s="170"/>
      <c r="BM144" s="170"/>
      <c r="BN144" s="170"/>
      <c r="BO144" s="170"/>
      <c r="BP144" s="170"/>
      <c r="BQ144" s="170"/>
      <c r="BR144" s="170"/>
      <c r="BS144" s="170"/>
    </row>
    <row r="145" spans="1:71" ht="15.75" customHeight="1" x14ac:dyDescent="0.3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0"/>
      <c r="AJ145" s="170"/>
      <c r="AK145" s="170"/>
      <c r="AL145" s="170"/>
      <c r="AM145" s="170"/>
      <c r="AN145" s="170"/>
      <c r="AO145" s="170"/>
      <c r="AP145" s="170"/>
      <c r="AQ145" s="170"/>
      <c r="AR145" s="170"/>
      <c r="AS145" s="170"/>
      <c r="AT145" s="170"/>
      <c r="AU145" s="170"/>
      <c r="AV145" s="170"/>
      <c r="AW145" s="170"/>
      <c r="AX145" s="170"/>
      <c r="AY145" s="170"/>
      <c r="AZ145" s="170"/>
      <c r="BA145" s="170"/>
      <c r="BB145" s="170"/>
      <c r="BC145" s="170"/>
      <c r="BD145" s="170"/>
      <c r="BE145" s="170"/>
      <c r="BF145" s="170"/>
      <c r="BG145" s="170"/>
      <c r="BH145" s="170"/>
      <c r="BI145" s="170"/>
      <c r="BJ145" s="170"/>
      <c r="BK145" s="170"/>
      <c r="BL145" s="170"/>
      <c r="BM145" s="170"/>
      <c r="BN145" s="170"/>
      <c r="BO145" s="170"/>
      <c r="BP145" s="170"/>
      <c r="BQ145" s="170"/>
      <c r="BR145" s="170"/>
      <c r="BS145" s="170"/>
    </row>
    <row r="146" spans="1:71" ht="15.75" customHeight="1" x14ac:dyDescent="0.35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  <c r="AC146" s="170"/>
      <c r="AD146" s="170"/>
      <c r="AE146" s="170"/>
      <c r="AF146" s="170"/>
      <c r="AG146" s="170"/>
      <c r="AH146" s="170"/>
      <c r="AI146" s="170"/>
      <c r="AJ146" s="170"/>
      <c r="AK146" s="170"/>
      <c r="AL146" s="170"/>
      <c r="AM146" s="170"/>
      <c r="AN146" s="170"/>
      <c r="AO146" s="170"/>
      <c r="AP146" s="170"/>
      <c r="AQ146" s="170"/>
      <c r="AR146" s="170"/>
      <c r="AS146" s="170"/>
      <c r="AT146" s="170"/>
      <c r="AU146" s="170"/>
      <c r="AV146" s="170"/>
      <c r="AW146" s="170"/>
      <c r="AX146" s="170"/>
      <c r="AY146" s="170"/>
      <c r="AZ146" s="170"/>
      <c r="BA146" s="170"/>
      <c r="BB146" s="170"/>
      <c r="BC146" s="170"/>
      <c r="BD146" s="170"/>
      <c r="BE146" s="170"/>
      <c r="BF146" s="170"/>
      <c r="BG146" s="170"/>
      <c r="BH146" s="170"/>
      <c r="BI146" s="170"/>
      <c r="BJ146" s="170"/>
      <c r="BK146" s="170"/>
      <c r="BL146" s="170"/>
      <c r="BM146" s="170"/>
      <c r="BN146" s="170"/>
      <c r="BO146" s="170"/>
      <c r="BP146" s="170"/>
      <c r="BQ146" s="170"/>
      <c r="BR146" s="170"/>
      <c r="BS146" s="170"/>
    </row>
    <row r="147" spans="1:71" ht="15.75" customHeight="1" x14ac:dyDescent="0.35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70"/>
      <c r="AH147" s="170"/>
      <c r="AI147" s="170"/>
      <c r="AJ147" s="170"/>
      <c r="AK147" s="170"/>
      <c r="AL147" s="170"/>
      <c r="AM147" s="170"/>
      <c r="AN147" s="170"/>
      <c r="AO147" s="170"/>
      <c r="AP147" s="170"/>
      <c r="AQ147" s="170"/>
      <c r="AR147" s="170"/>
      <c r="AS147" s="170"/>
      <c r="AT147" s="170"/>
      <c r="AU147" s="170"/>
      <c r="AV147" s="170"/>
      <c r="AW147" s="170"/>
      <c r="AX147" s="170"/>
      <c r="AY147" s="170"/>
      <c r="AZ147" s="170"/>
      <c r="BA147" s="170"/>
      <c r="BB147" s="170"/>
      <c r="BC147" s="170"/>
      <c r="BD147" s="170"/>
      <c r="BE147" s="170"/>
      <c r="BF147" s="170"/>
      <c r="BG147" s="170"/>
      <c r="BH147" s="170"/>
      <c r="BI147" s="170"/>
      <c r="BJ147" s="170"/>
      <c r="BK147" s="170"/>
      <c r="BL147" s="170"/>
      <c r="BM147" s="170"/>
      <c r="BN147" s="170"/>
      <c r="BO147" s="170"/>
      <c r="BP147" s="170"/>
      <c r="BQ147" s="170"/>
      <c r="BR147" s="170"/>
      <c r="BS147" s="170"/>
    </row>
    <row r="148" spans="1:71" ht="15.75" customHeight="1" x14ac:dyDescent="0.35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  <c r="AF148" s="170"/>
      <c r="AG148" s="170"/>
      <c r="AH148" s="170"/>
      <c r="AI148" s="170"/>
      <c r="AJ148" s="170"/>
      <c r="AK148" s="170"/>
      <c r="AL148" s="170"/>
      <c r="AM148" s="170"/>
      <c r="AN148" s="170"/>
      <c r="AO148" s="170"/>
      <c r="AP148" s="170"/>
      <c r="AQ148" s="170"/>
      <c r="AR148" s="170"/>
      <c r="AS148" s="170"/>
      <c r="AT148" s="170"/>
      <c r="AU148" s="170"/>
      <c r="AV148" s="170"/>
      <c r="AW148" s="170"/>
      <c r="AX148" s="170"/>
      <c r="AY148" s="170"/>
      <c r="AZ148" s="170"/>
      <c r="BA148" s="170"/>
      <c r="BB148" s="170"/>
      <c r="BC148" s="170"/>
      <c r="BD148" s="170"/>
      <c r="BE148" s="170"/>
      <c r="BF148" s="170"/>
      <c r="BG148" s="170"/>
      <c r="BH148" s="170"/>
      <c r="BI148" s="170"/>
      <c r="BJ148" s="170"/>
      <c r="BK148" s="170"/>
      <c r="BL148" s="170"/>
      <c r="BM148" s="170"/>
      <c r="BN148" s="170"/>
      <c r="BO148" s="170"/>
      <c r="BP148" s="170"/>
      <c r="BQ148" s="170"/>
      <c r="BR148" s="170"/>
      <c r="BS148" s="170"/>
    </row>
    <row r="149" spans="1:71" ht="14.25" customHeight="1" x14ac:dyDescent="0.35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  <c r="AF149" s="246"/>
      <c r="AG149" s="246"/>
      <c r="AH149" s="246"/>
      <c r="AI149" s="246"/>
      <c r="AJ149" s="246"/>
      <c r="AK149" s="246"/>
      <c r="AL149" s="246"/>
      <c r="AM149" s="246"/>
      <c r="AN149" s="246"/>
      <c r="AO149" s="246"/>
      <c r="AP149" s="246"/>
      <c r="AQ149" s="246"/>
      <c r="AR149" s="246"/>
      <c r="AS149" s="246"/>
      <c r="AT149" s="246"/>
      <c r="AU149" s="246"/>
      <c r="AV149" s="246"/>
      <c r="AW149" s="246"/>
      <c r="AX149" s="246"/>
      <c r="AY149" s="246"/>
      <c r="AZ149" s="246"/>
      <c r="BA149" s="246"/>
      <c r="BB149" s="246"/>
      <c r="BC149" s="246"/>
      <c r="BD149" s="246"/>
      <c r="BE149" s="246"/>
      <c r="BF149" s="246"/>
      <c r="BG149" s="246"/>
      <c r="BH149" s="246"/>
      <c r="BI149" s="246"/>
      <c r="BJ149" s="246"/>
      <c r="BK149" s="246"/>
      <c r="BL149" s="246"/>
      <c r="BM149" s="246"/>
      <c r="BN149" s="246"/>
      <c r="BO149" s="246"/>
      <c r="BP149" s="246"/>
      <c r="BQ149" s="246"/>
      <c r="BR149" s="246"/>
      <c r="BS149" s="246"/>
    </row>
    <row r="150" spans="1:71" ht="14.25" customHeight="1" x14ac:dyDescent="0.35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  <c r="AC150" s="170"/>
      <c r="AD150" s="170"/>
      <c r="AE150" s="170"/>
      <c r="AF150" s="246"/>
      <c r="AG150" s="246"/>
      <c r="AH150" s="246"/>
      <c r="AI150" s="246"/>
      <c r="AJ150" s="246"/>
      <c r="AK150" s="246"/>
      <c r="AL150" s="246"/>
      <c r="AM150" s="246"/>
      <c r="AN150" s="246"/>
      <c r="AO150" s="246"/>
      <c r="AP150" s="246"/>
      <c r="AQ150" s="246"/>
      <c r="AR150" s="246"/>
      <c r="AS150" s="246"/>
      <c r="AT150" s="246"/>
      <c r="AU150" s="246"/>
      <c r="AV150" s="246"/>
      <c r="AW150" s="246"/>
      <c r="AX150" s="246"/>
      <c r="AY150" s="246"/>
      <c r="AZ150" s="246"/>
      <c r="BA150" s="246"/>
      <c r="BB150" s="246"/>
      <c r="BC150" s="246"/>
      <c r="BD150" s="246"/>
      <c r="BE150" s="246"/>
      <c r="BF150" s="246"/>
      <c r="BG150" s="246"/>
      <c r="BH150" s="246"/>
      <c r="BI150" s="246"/>
      <c r="BJ150" s="246"/>
      <c r="BK150" s="246"/>
      <c r="BL150" s="246"/>
      <c r="BM150" s="246"/>
      <c r="BN150" s="246"/>
      <c r="BO150" s="246"/>
      <c r="BP150" s="246"/>
      <c r="BQ150" s="246"/>
      <c r="BR150" s="246"/>
      <c r="BS150" s="246"/>
    </row>
    <row r="151" spans="1:71" ht="14.25" customHeight="1" x14ac:dyDescent="0.35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246"/>
      <c r="AG151" s="246"/>
      <c r="AH151" s="246"/>
      <c r="AI151" s="246"/>
      <c r="AJ151" s="246"/>
      <c r="AK151" s="246"/>
      <c r="AL151" s="246"/>
      <c r="AM151" s="246"/>
      <c r="AN151" s="246"/>
      <c r="AO151" s="246"/>
      <c r="AP151" s="246"/>
      <c r="AQ151" s="246"/>
      <c r="AR151" s="246"/>
      <c r="AS151" s="246"/>
      <c r="AT151" s="246"/>
      <c r="AU151" s="246"/>
      <c r="AV151" s="246"/>
      <c r="AW151" s="246"/>
      <c r="AX151" s="246"/>
      <c r="AY151" s="246"/>
      <c r="AZ151" s="246"/>
      <c r="BA151" s="246"/>
      <c r="BB151" s="246"/>
      <c r="BC151" s="246"/>
      <c r="BD151" s="246"/>
      <c r="BE151" s="246"/>
      <c r="BF151" s="246"/>
      <c r="BG151" s="246"/>
      <c r="BH151" s="246"/>
      <c r="BI151" s="246"/>
      <c r="BJ151" s="246"/>
      <c r="BK151" s="246"/>
      <c r="BL151" s="246"/>
      <c r="BM151" s="246"/>
      <c r="BN151" s="246"/>
      <c r="BO151" s="246"/>
      <c r="BP151" s="246"/>
      <c r="BQ151" s="246"/>
      <c r="BR151" s="246"/>
      <c r="BS151" s="246"/>
    </row>
    <row r="152" spans="1:71" ht="14.25" customHeight="1" x14ac:dyDescent="0.35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  <c r="AF152" s="246"/>
      <c r="AG152" s="246"/>
      <c r="AH152" s="246"/>
      <c r="AI152" s="246"/>
      <c r="AJ152" s="246"/>
      <c r="AK152" s="246"/>
      <c r="AL152" s="246"/>
      <c r="AM152" s="246"/>
      <c r="AN152" s="246"/>
      <c r="AO152" s="246"/>
      <c r="AP152" s="246"/>
      <c r="AQ152" s="246"/>
      <c r="AR152" s="246"/>
      <c r="AS152" s="246"/>
      <c r="AT152" s="246"/>
      <c r="AU152" s="246"/>
      <c r="AV152" s="246"/>
      <c r="AW152" s="246"/>
      <c r="AX152" s="246"/>
      <c r="AY152" s="246"/>
      <c r="AZ152" s="246"/>
      <c r="BA152" s="246"/>
      <c r="BB152" s="246"/>
      <c r="BC152" s="246"/>
      <c r="BD152" s="246"/>
      <c r="BE152" s="246"/>
      <c r="BF152" s="246"/>
      <c r="BG152" s="246"/>
      <c r="BH152" s="246"/>
      <c r="BI152" s="246"/>
      <c r="BJ152" s="246"/>
      <c r="BK152" s="246"/>
      <c r="BL152" s="246"/>
      <c r="BM152" s="246"/>
      <c r="BN152" s="246"/>
      <c r="BO152" s="246"/>
      <c r="BP152" s="246"/>
      <c r="BQ152" s="246"/>
      <c r="BR152" s="246"/>
      <c r="BS152" s="246"/>
    </row>
    <row r="153" spans="1:71" ht="14.25" customHeight="1" x14ac:dyDescent="0.35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  <c r="AC153" s="170"/>
      <c r="AD153" s="170"/>
      <c r="AE153" s="170"/>
      <c r="AF153" s="246"/>
      <c r="AG153" s="246"/>
      <c r="AH153" s="246"/>
      <c r="AI153" s="246"/>
      <c r="AJ153" s="246"/>
      <c r="AK153" s="246"/>
      <c r="AL153" s="246"/>
      <c r="AM153" s="246"/>
      <c r="AN153" s="246"/>
      <c r="AO153" s="246"/>
      <c r="AP153" s="246"/>
      <c r="AQ153" s="246"/>
      <c r="AR153" s="246"/>
      <c r="AS153" s="246"/>
      <c r="AT153" s="246"/>
      <c r="AU153" s="246"/>
      <c r="AV153" s="246"/>
      <c r="AW153" s="246"/>
      <c r="AX153" s="246"/>
      <c r="AY153" s="246"/>
      <c r="AZ153" s="246"/>
      <c r="BA153" s="246"/>
      <c r="BB153" s="246"/>
      <c r="BC153" s="246"/>
      <c r="BD153" s="246"/>
      <c r="BE153" s="246"/>
      <c r="BF153" s="246"/>
      <c r="BG153" s="246"/>
      <c r="BH153" s="246"/>
      <c r="BI153" s="246"/>
      <c r="BJ153" s="246"/>
      <c r="BK153" s="246"/>
      <c r="BL153" s="246"/>
      <c r="BM153" s="246"/>
      <c r="BN153" s="246"/>
      <c r="BO153" s="246"/>
      <c r="BP153" s="246"/>
      <c r="BQ153" s="246"/>
      <c r="BR153" s="246"/>
      <c r="BS153" s="246"/>
    </row>
    <row r="154" spans="1:71" ht="14.25" customHeight="1" x14ac:dyDescent="0.35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  <c r="AF154" s="246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46"/>
      <c r="AQ154" s="246"/>
      <c r="AR154" s="246"/>
      <c r="AS154" s="246"/>
      <c r="AT154" s="246"/>
      <c r="AU154" s="246"/>
      <c r="AV154" s="246"/>
      <c r="AW154" s="246"/>
      <c r="AX154" s="246"/>
      <c r="AY154" s="246"/>
      <c r="AZ154" s="246"/>
      <c r="BA154" s="246"/>
      <c r="BB154" s="246"/>
      <c r="BC154" s="246"/>
      <c r="BD154" s="246"/>
      <c r="BE154" s="246"/>
      <c r="BF154" s="246"/>
      <c r="BG154" s="246"/>
      <c r="BH154" s="246"/>
      <c r="BI154" s="246"/>
      <c r="BJ154" s="246"/>
      <c r="BK154" s="246"/>
      <c r="BL154" s="246"/>
      <c r="BM154" s="246"/>
      <c r="BN154" s="246"/>
      <c r="BO154" s="246"/>
      <c r="BP154" s="246"/>
      <c r="BQ154" s="246"/>
      <c r="BR154" s="246"/>
      <c r="BS154" s="246"/>
    </row>
    <row r="155" spans="1:71" ht="14.25" customHeight="1" x14ac:dyDescent="0.35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  <c r="AF155" s="246"/>
      <c r="AG155" s="246"/>
      <c r="AH155" s="246"/>
      <c r="AI155" s="246"/>
      <c r="AJ155" s="246"/>
      <c r="AK155" s="246"/>
      <c r="AL155" s="246"/>
      <c r="AM155" s="246"/>
      <c r="AN155" s="246"/>
      <c r="AO155" s="246"/>
      <c r="AP155" s="246"/>
      <c r="AQ155" s="246"/>
      <c r="AR155" s="246"/>
      <c r="AS155" s="246"/>
      <c r="AT155" s="246"/>
      <c r="AU155" s="246"/>
      <c r="AV155" s="246"/>
      <c r="AW155" s="246"/>
      <c r="AX155" s="246"/>
      <c r="AY155" s="246"/>
      <c r="AZ155" s="246"/>
      <c r="BA155" s="246"/>
      <c r="BB155" s="246"/>
      <c r="BC155" s="246"/>
      <c r="BD155" s="246"/>
      <c r="BE155" s="246"/>
      <c r="BF155" s="246"/>
      <c r="BG155" s="246"/>
      <c r="BH155" s="246"/>
      <c r="BI155" s="246"/>
      <c r="BJ155" s="246"/>
      <c r="BK155" s="246"/>
      <c r="BL155" s="246"/>
      <c r="BM155" s="246"/>
      <c r="BN155" s="246"/>
      <c r="BO155" s="246"/>
      <c r="BP155" s="246"/>
      <c r="BQ155" s="246"/>
      <c r="BR155" s="246"/>
      <c r="BS155" s="246"/>
    </row>
    <row r="156" spans="1:71" ht="14.25" customHeight="1" x14ac:dyDescent="0.35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  <c r="AB156" s="170"/>
      <c r="AC156" s="170"/>
      <c r="AD156" s="170"/>
      <c r="AE156" s="170"/>
      <c r="AF156" s="246"/>
      <c r="AG156" s="246"/>
      <c r="AH156" s="246"/>
      <c r="AI156" s="246"/>
      <c r="AJ156" s="246"/>
      <c r="AK156" s="246"/>
      <c r="AL156" s="246"/>
      <c r="AM156" s="246"/>
      <c r="AN156" s="246"/>
      <c r="AO156" s="246"/>
      <c r="AP156" s="246"/>
      <c r="AQ156" s="246"/>
      <c r="AR156" s="246"/>
      <c r="AS156" s="246"/>
      <c r="AT156" s="246"/>
      <c r="AU156" s="246"/>
      <c r="AV156" s="246"/>
      <c r="AW156" s="246"/>
      <c r="AX156" s="246"/>
      <c r="AY156" s="246"/>
      <c r="AZ156" s="246"/>
      <c r="BA156" s="246"/>
      <c r="BB156" s="246"/>
      <c r="BC156" s="246"/>
      <c r="BD156" s="246"/>
      <c r="BE156" s="246"/>
      <c r="BF156" s="246"/>
      <c r="BG156" s="246"/>
      <c r="BH156" s="246"/>
      <c r="BI156" s="246"/>
      <c r="BJ156" s="246"/>
      <c r="BK156" s="246"/>
      <c r="BL156" s="246"/>
      <c r="BM156" s="246"/>
      <c r="BN156" s="246"/>
      <c r="BO156" s="246"/>
      <c r="BP156" s="246"/>
      <c r="BQ156" s="246"/>
      <c r="BR156" s="246"/>
      <c r="BS156" s="246"/>
    </row>
    <row r="157" spans="1:71" ht="14.25" customHeight="1" x14ac:dyDescent="0.35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  <c r="AF157" s="246"/>
      <c r="AG157" s="246"/>
      <c r="AH157" s="246"/>
      <c r="AI157" s="246"/>
      <c r="AJ157" s="246"/>
      <c r="AK157" s="246"/>
      <c r="AL157" s="246"/>
      <c r="AM157" s="246"/>
      <c r="AN157" s="246"/>
      <c r="AO157" s="246"/>
      <c r="AP157" s="246"/>
      <c r="AQ157" s="246"/>
      <c r="AR157" s="246"/>
      <c r="AS157" s="246"/>
      <c r="AT157" s="246"/>
      <c r="AU157" s="246"/>
      <c r="AV157" s="246"/>
      <c r="AW157" s="246"/>
      <c r="AX157" s="246"/>
      <c r="AY157" s="246"/>
      <c r="AZ157" s="246"/>
      <c r="BA157" s="246"/>
      <c r="BB157" s="246"/>
      <c r="BC157" s="246"/>
      <c r="BD157" s="246"/>
      <c r="BE157" s="246"/>
      <c r="BF157" s="246"/>
      <c r="BG157" s="246"/>
      <c r="BH157" s="246"/>
      <c r="BI157" s="246"/>
      <c r="BJ157" s="246"/>
      <c r="BK157" s="246"/>
      <c r="BL157" s="246"/>
      <c r="BM157" s="246"/>
      <c r="BN157" s="246"/>
      <c r="BO157" s="246"/>
      <c r="BP157" s="246"/>
      <c r="BQ157" s="246"/>
      <c r="BR157" s="246"/>
      <c r="BS157" s="246"/>
    </row>
    <row r="158" spans="1:71" ht="14.25" customHeight="1" x14ac:dyDescent="0.35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246"/>
      <c r="AG158" s="246"/>
      <c r="AH158" s="246"/>
      <c r="AI158" s="246"/>
      <c r="AJ158" s="246"/>
      <c r="AK158" s="246"/>
      <c r="AL158" s="246"/>
      <c r="AM158" s="246"/>
      <c r="AN158" s="246"/>
      <c r="AO158" s="246"/>
      <c r="AP158" s="246"/>
      <c r="AQ158" s="246"/>
      <c r="AR158" s="246"/>
      <c r="AS158" s="246"/>
      <c r="AT158" s="246"/>
      <c r="AU158" s="246"/>
      <c r="AV158" s="246"/>
      <c r="AW158" s="246"/>
      <c r="AX158" s="246"/>
      <c r="AY158" s="246"/>
      <c r="AZ158" s="246"/>
      <c r="BA158" s="246"/>
      <c r="BB158" s="246"/>
      <c r="BC158" s="246"/>
      <c r="BD158" s="246"/>
      <c r="BE158" s="246"/>
      <c r="BF158" s="246"/>
      <c r="BG158" s="246"/>
      <c r="BH158" s="246"/>
      <c r="BI158" s="246"/>
      <c r="BJ158" s="246"/>
      <c r="BK158" s="246"/>
      <c r="BL158" s="246"/>
      <c r="BM158" s="246"/>
      <c r="BN158" s="246"/>
      <c r="BO158" s="246"/>
      <c r="BP158" s="246"/>
      <c r="BQ158" s="246"/>
      <c r="BR158" s="246"/>
      <c r="BS158" s="246"/>
    </row>
    <row r="159" spans="1:71" ht="14.25" customHeight="1" x14ac:dyDescent="0.35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  <c r="AF159" s="246"/>
      <c r="AG159" s="246"/>
      <c r="AH159" s="246"/>
      <c r="AI159" s="246"/>
      <c r="AJ159" s="246"/>
      <c r="AK159" s="246"/>
      <c r="AL159" s="246"/>
      <c r="AM159" s="246"/>
      <c r="AN159" s="246"/>
      <c r="AO159" s="246"/>
      <c r="AP159" s="246"/>
      <c r="AQ159" s="246"/>
      <c r="AR159" s="246"/>
      <c r="AS159" s="246"/>
      <c r="AT159" s="246"/>
      <c r="AU159" s="246"/>
      <c r="AV159" s="246"/>
      <c r="AW159" s="246"/>
      <c r="AX159" s="246"/>
      <c r="AY159" s="246"/>
      <c r="AZ159" s="246"/>
      <c r="BA159" s="246"/>
      <c r="BB159" s="246"/>
      <c r="BC159" s="246"/>
      <c r="BD159" s="246"/>
      <c r="BE159" s="246"/>
      <c r="BF159" s="246"/>
      <c r="BG159" s="246"/>
      <c r="BH159" s="246"/>
      <c r="BI159" s="246"/>
      <c r="BJ159" s="246"/>
      <c r="BK159" s="246"/>
      <c r="BL159" s="246"/>
      <c r="BM159" s="246"/>
      <c r="BN159" s="246"/>
      <c r="BO159" s="246"/>
      <c r="BP159" s="246"/>
      <c r="BQ159" s="246"/>
      <c r="BR159" s="246"/>
      <c r="BS159" s="246"/>
    </row>
    <row r="160" spans="1:71" ht="14.25" customHeight="1" x14ac:dyDescent="0.35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  <c r="AC160" s="170"/>
      <c r="AD160" s="170"/>
      <c r="AE160" s="170"/>
      <c r="AF160" s="246"/>
      <c r="AG160" s="246"/>
      <c r="AH160" s="246"/>
      <c r="AI160" s="246"/>
      <c r="AJ160" s="246"/>
      <c r="AK160" s="246"/>
      <c r="AL160" s="246"/>
      <c r="AM160" s="246"/>
      <c r="AN160" s="246"/>
      <c r="AO160" s="246"/>
      <c r="AP160" s="246"/>
      <c r="AQ160" s="246"/>
      <c r="AR160" s="246"/>
      <c r="AS160" s="246"/>
      <c r="AT160" s="246"/>
      <c r="AU160" s="246"/>
      <c r="AV160" s="246"/>
      <c r="AW160" s="246"/>
      <c r="AX160" s="246"/>
      <c r="AY160" s="246"/>
      <c r="AZ160" s="246"/>
      <c r="BA160" s="246"/>
      <c r="BB160" s="246"/>
      <c r="BC160" s="246"/>
      <c r="BD160" s="246"/>
      <c r="BE160" s="246"/>
      <c r="BF160" s="246"/>
      <c r="BG160" s="246"/>
      <c r="BH160" s="246"/>
      <c r="BI160" s="246"/>
      <c r="BJ160" s="246"/>
      <c r="BK160" s="246"/>
      <c r="BL160" s="246"/>
      <c r="BM160" s="246"/>
      <c r="BN160" s="246"/>
      <c r="BO160" s="246"/>
      <c r="BP160" s="246"/>
      <c r="BQ160" s="246"/>
      <c r="BR160" s="246"/>
      <c r="BS160" s="246"/>
    </row>
    <row r="161" spans="1:71" ht="14.25" customHeight="1" x14ac:dyDescent="0.35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  <c r="AB161" s="170"/>
      <c r="AC161" s="170"/>
      <c r="AD161" s="170"/>
      <c r="AE161" s="170"/>
      <c r="AF161" s="246"/>
      <c r="AG161" s="246"/>
      <c r="AH161" s="246"/>
      <c r="AI161" s="246"/>
      <c r="AJ161" s="246"/>
      <c r="AK161" s="246"/>
      <c r="AL161" s="246"/>
      <c r="AM161" s="246"/>
      <c r="AN161" s="246"/>
      <c r="AO161" s="246"/>
      <c r="AP161" s="246"/>
      <c r="AQ161" s="246"/>
      <c r="AR161" s="246"/>
      <c r="AS161" s="246"/>
      <c r="AT161" s="246"/>
      <c r="AU161" s="246"/>
      <c r="AV161" s="246"/>
      <c r="AW161" s="246"/>
      <c r="AX161" s="246"/>
      <c r="AY161" s="246"/>
      <c r="AZ161" s="246"/>
      <c r="BA161" s="246"/>
      <c r="BB161" s="246"/>
      <c r="BC161" s="246"/>
      <c r="BD161" s="246"/>
      <c r="BE161" s="246"/>
      <c r="BF161" s="246"/>
      <c r="BG161" s="246"/>
      <c r="BH161" s="246"/>
      <c r="BI161" s="246"/>
      <c r="BJ161" s="246"/>
      <c r="BK161" s="246"/>
      <c r="BL161" s="246"/>
      <c r="BM161" s="246"/>
      <c r="BN161" s="246"/>
      <c r="BO161" s="246"/>
      <c r="BP161" s="246"/>
      <c r="BQ161" s="246"/>
      <c r="BR161" s="246"/>
      <c r="BS161" s="246"/>
    </row>
    <row r="162" spans="1:71" ht="14.25" customHeight="1" x14ac:dyDescent="0.35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0"/>
      <c r="AD162" s="170"/>
      <c r="AE162" s="170"/>
      <c r="AF162" s="246"/>
      <c r="AG162" s="246"/>
      <c r="AH162" s="246"/>
      <c r="AI162" s="246"/>
      <c r="AJ162" s="246"/>
      <c r="AK162" s="246"/>
      <c r="AL162" s="246"/>
      <c r="AM162" s="246"/>
      <c r="AN162" s="246"/>
      <c r="AO162" s="246"/>
      <c r="AP162" s="246"/>
      <c r="AQ162" s="246"/>
      <c r="AR162" s="246"/>
      <c r="AS162" s="246"/>
      <c r="AT162" s="246"/>
      <c r="AU162" s="246"/>
      <c r="AV162" s="246"/>
      <c r="AW162" s="246"/>
      <c r="AX162" s="246"/>
      <c r="AY162" s="246"/>
      <c r="AZ162" s="246"/>
      <c r="BA162" s="246"/>
      <c r="BB162" s="246"/>
      <c r="BC162" s="246"/>
      <c r="BD162" s="246"/>
      <c r="BE162" s="246"/>
      <c r="BF162" s="246"/>
      <c r="BG162" s="246"/>
      <c r="BH162" s="246"/>
      <c r="BI162" s="246"/>
      <c r="BJ162" s="246"/>
      <c r="BK162" s="246"/>
      <c r="BL162" s="246"/>
      <c r="BM162" s="246"/>
      <c r="BN162" s="246"/>
      <c r="BO162" s="246"/>
      <c r="BP162" s="246"/>
      <c r="BQ162" s="246"/>
      <c r="BR162" s="246"/>
      <c r="BS162" s="246"/>
    </row>
    <row r="163" spans="1:71" ht="14.25" customHeight="1" x14ac:dyDescent="0.35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246"/>
      <c r="AG163" s="246"/>
      <c r="AH163" s="246"/>
      <c r="AI163" s="246"/>
      <c r="AJ163" s="246"/>
      <c r="AK163" s="246"/>
      <c r="AL163" s="246"/>
      <c r="AM163" s="246"/>
      <c r="AN163" s="246"/>
      <c r="AO163" s="246"/>
      <c r="AP163" s="246"/>
      <c r="AQ163" s="246"/>
      <c r="AR163" s="246"/>
      <c r="AS163" s="246"/>
      <c r="AT163" s="246"/>
      <c r="AU163" s="246"/>
      <c r="AV163" s="246"/>
      <c r="AW163" s="246"/>
      <c r="AX163" s="246"/>
      <c r="AY163" s="246"/>
      <c r="AZ163" s="246"/>
      <c r="BA163" s="246"/>
      <c r="BB163" s="246"/>
      <c r="BC163" s="246"/>
      <c r="BD163" s="246"/>
      <c r="BE163" s="246"/>
      <c r="BF163" s="246"/>
      <c r="BG163" s="246"/>
      <c r="BH163" s="246"/>
      <c r="BI163" s="246"/>
      <c r="BJ163" s="246"/>
      <c r="BK163" s="246"/>
      <c r="BL163" s="246"/>
      <c r="BM163" s="246"/>
      <c r="BN163" s="246"/>
      <c r="BO163" s="246"/>
      <c r="BP163" s="246"/>
      <c r="BQ163" s="246"/>
      <c r="BR163" s="246"/>
      <c r="BS163" s="246"/>
    </row>
    <row r="164" spans="1:71" ht="14.25" customHeight="1" x14ac:dyDescent="0.35"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</row>
    <row r="165" spans="1:71" ht="14.25" customHeight="1" x14ac:dyDescent="0.35"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</row>
    <row r="166" spans="1:71" ht="14.25" customHeight="1" x14ac:dyDescent="0.35"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</row>
    <row r="167" spans="1:71" ht="14.25" customHeight="1" x14ac:dyDescent="0.35"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</row>
    <row r="168" spans="1:71" ht="14.25" customHeight="1" x14ac:dyDescent="0.35"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</row>
    <row r="169" spans="1:71" ht="14.25" customHeight="1" x14ac:dyDescent="0.35"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  <c r="AC169" s="170"/>
      <c r="AD169" s="170"/>
      <c r="AE169" s="170"/>
    </row>
    <row r="170" spans="1:71" ht="14.25" customHeight="1" x14ac:dyDescent="0.35"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</row>
    <row r="171" spans="1:71" ht="14.25" customHeight="1" x14ac:dyDescent="0.35"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</row>
    <row r="172" spans="1:71" ht="14.25" customHeight="1" x14ac:dyDescent="0.35"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</row>
    <row r="173" spans="1:71" ht="14.25" customHeight="1" x14ac:dyDescent="0.35"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</row>
    <row r="174" spans="1:71" ht="14.25" customHeight="1" x14ac:dyDescent="0.35"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  <c r="AC174" s="170"/>
      <c r="AD174" s="170"/>
      <c r="AE174" s="170"/>
    </row>
    <row r="175" spans="1:71" ht="14.25" customHeight="1" x14ac:dyDescent="0.35"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</row>
    <row r="176" spans="1:71" ht="14.25" customHeight="1" x14ac:dyDescent="0.35"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  <c r="AB176" s="170"/>
      <c r="AC176" s="170"/>
      <c r="AD176" s="170"/>
      <c r="AE176" s="170"/>
    </row>
    <row r="177" spans="15:31" ht="14.25" customHeight="1" x14ac:dyDescent="0.35"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</row>
    <row r="178" spans="15:31" ht="14.25" customHeight="1" x14ac:dyDescent="0.35"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  <c r="AC178" s="170"/>
      <c r="AD178" s="170"/>
      <c r="AE178" s="170"/>
    </row>
    <row r="179" spans="15:31" ht="14.25" customHeight="1" x14ac:dyDescent="0.35"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</row>
    <row r="180" spans="15:31" ht="14.25" customHeight="1" x14ac:dyDescent="0.35"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</row>
    <row r="181" spans="15:31" ht="14.25" customHeight="1" x14ac:dyDescent="0.35"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</row>
    <row r="182" spans="15:31" ht="14.25" customHeight="1" x14ac:dyDescent="0.35"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</row>
    <row r="183" spans="15:31" ht="14.25" customHeight="1" x14ac:dyDescent="0.35"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</row>
    <row r="184" spans="15:31" ht="14.25" customHeight="1" x14ac:dyDescent="0.35"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  <c r="AC184" s="170"/>
      <c r="AD184" s="170"/>
      <c r="AE184" s="170"/>
    </row>
    <row r="185" spans="15:31" ht="14.25" customHeight="1" x14ac:dyDescent="0.35"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</row>
    <row r="186" spans="15:31" ht="14.25" customHeight="1" x14ac:dyDescent="0.35"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  <c r="AB186" s="170"/>
      <c r="AC186" s="170"/>
      <c r="AD186" s="170"/>
      <c r="AE186" s="170"/>
    </row>
    <row r="187" spans="15:31" ht="14.25" customHeight="1" x14ac:dyDescent="0.35"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</row>
    <row r="188" spans="15:31" ht="14.25" customHeight="1" x14ac:dyDescent="0.35"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  <c r="AC188" s="170"/>
      <c r="AD188" s="170"/>
      <c r="AE188" s="170"/>
    </row>
    <row r="189" spans="15:31" ht="14.25" customHeight="1" x14ac:dyDescent="0.35"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</row>
    <row r="190" spans="15:31" ht="14.25" customHeight="1" x14ac:dyDescent="0.35"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</row>
    <row r="191" spans="15:31" ht="14.25" customHeight="1" x14ac:dyDescent="0.35"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</row>
    <row r="192" spans="15:31" ht="14.25" customHeight="1" x14ac:dyDescent="0.35"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  <c r="AB192" s="170"/>
      <c r="AC192" s="170"/>
      <c r="AD192" s="170"/>
      <c r="AE192" s="170"/>
    </row>
    <row r="193" spans="15:31" ht="14.25" customHeight="1" x14ac:dyDescent="0.35"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</row>
    <row r="194" spans="15:31" ht="14.25" customHeight="1" x14ac:dyDescent="0.35"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  <c r="AC194" s="170"/>
      <c r="AD194" s="170"/>
      <c r="AE194" s="170"/>
    </row>
    <row r="195" spans="15:31" ht="14.25" customHeight="1" x14ac:dyDescent="0.35"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</row>
    <row r="196" spans="15:31" ht="14.25" customHeight="1" x14ac:dyDescent="0.35"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  <c r="AB196" s="170"/>
      <c r="AC196" s="170"/>
      <c r="AD196" s="170"/>
      <c r="AE196" s="170"/>
    </row>
    <row r="197" spans="15:31" ht="14.25" customHeight="1" x14ac:dyDescent="0.35"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</row>
    <row r="198" spans="15:31" ht="14.25" customHeight="1" x14ac:dyDescent="0.35"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  <c r="AB198" s="170"/>
      <c r="AC198" s="170"/>
      <c r="AD198" s="170"/>
      <c r="AE198" s="170"/>
    </row>
    <row r="199" spans="15:31" ht="14.25" customHeight="1" x14ac:dyDescent="0.35"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  <c r="AB199" s="170"/>
      <c r="AC199" s="170"/>
      <c r="AD199" s="170"/>
      <c r="AE199" s="170"/>
    </row>
    <row r="200" spans="15:31" ht="14.25" customHeight="1" x14ac:dyDescent="0.35"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</row>
    <row r="201" spans="15:31" ht="14.25" customHeight="1" x14ac:dyDescent="0.35"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</row>
    <row r="202" spans="15:31" ht="14.25" customHeight="1" x14ac:dyDescent="0.35"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  <c r="AB202" s="170"/>
      <c r="AC202" s="170"/>
      <c r="AD202" s="170"/>
      <c r="AE202" s="170"/>
    </row>
    <row r="203" spans="15:31" ht="14.25" customHeight="1" x14ac:dyDescent="0.35"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  <c r="AC203" s="170"/>
      <c r="AD203" s="170"/>
      <c r="AE203" s="170"/>
    </row>
    <row r="204" spans="15:31" ht="14.25" customHeight="1" x14ac:dyDescent="0.35"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</row>
    <row r="205" spans="15:31" ht="14.25" customHeight="1" x14ac:dyDescent="0.35"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  <c r="AC205" s="170"/>
      <c r="AD205" s="170"/>
      <c r="AE205" s="170"/>
    </row>
    <row r="206" spans="15:31" ht="14.25" customHeight="1" x14ac:dyDescent="0.35"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</row>
    <row r="207" spans="15:31" ht="14.25" customHeight="1" x14ac:dyDescent="0.35"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</row>
    <row r="208" spans="15:31" ht="14.25" customHeight="1" x14ac:dyDescent="0.35"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  <c r="AB208" s="170"/>
      <c r="AC208" s="170"/>
      <c r="AD208" s="170"/>
      <c r="AE208" s="170"/>
    </row>
    <row r="209" spans="15:31" ht="14.25" customHeight="1" x14ac:dyDescent="0.35"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  <c r="AB209" s="170"/>
      <c r="AC209" s="170"/>
      <c r="AD209" s="170"/>
      <c r="AE209" s="170"/>
    </row>
    <row r="210" spans="15:31" ht="14.25" customHeight="1" x14ac:dyDescent="0.35"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</row>
    <row r="211" spans="15:31" ht="14.25" customHeight="1" x14ac:dyDescent="0.35"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  <c r="AB211" s="170"/>
      <c r="AC211" s="170"/>
      <c r="AD211" s="170"/>
      <c r="AE211" s="170"/>
    </row>
    <row r="212" spans="15:31" ht="14.25" customHeight="1" x14ac:dyDescent="0.35"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</row>
    <row r="213" spans="15:31" ht="14.25" customHeight="1" x14ac:dyDescent="0.35"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</row>
    <row r="214" spans="15:31" ht="14.25" customHeight="1" x14ac:dyDescent="0.35"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  <c r="AB214" s="170"/>
      <c r="AC214" s="170"/>
      <c r="AD214" s="170"/>
      <c r="AE214" s="170"/>
    </row>
    <row r="215" spans="15:31" ht="14.25" customHeight="1" x14ac:dyDescent="0.35"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  <c r="AB215" s="170"/>
      <c r="AC215" s="170"/>
      <c r="AD215" s="170"/>
      <c r="AE215" s="170"/>
    </row>
    <row r="216" spans="15:31" ht="14.25" customHeight="1" x14ac:dyDescent="0.35"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  <c r="AB216" s="170"/>
      <c r="AC216" s="170"/>
      <c r="AD216" s="170"/>
      <c r="AE216" s="170"/>
    </row>
    <row r="217" spans="15:31" ht="14.25" customHeight="1" x14ac:dyDescent="0.35"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  <c r="AB217" s="170"/>
      <c r="AC217" s="170"/>
      <c r="AD217" s="170"/>
      <c r="AE217" s="170"/>
    </row>
    <row r="218" spans="15:31" ht="14.25" customHeight="1" x14ac:dyDescent="0.35"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70"/>
      <c r="AE218" s="170"/>
    </row>
    <row r="219" spans="15:31" ht="14.25" customHeight="1" x14ac:dyDescent="0.35"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</row>
    <row r="220" spans="15:31" ht="14.25" customHeight="1" x14ac:dyDescent="0.35"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  <c r="AB220" s="170"/>
      <c r="AC220" s="170"/>
      <c r="AD220" s="170"/>
      <c r="AE220" s="170"/>
    </row>
    <row r="221" spans="15:31" ht="14.25" customHeight="1" x14ac:dyDescent="0.35"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  <c r="AB221" s="170"/>
      <c r="AC221" s="170"/>
      <c r="AD221" s="170"/>
      <c r="AE221" s="170"/>
    </row>
    <row r="222" spans="15:31" ht="14.25" customHeight="1" x14ac:dyDescent="0.35"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  <c r="AB222" s="170"/>
      <c r="AC222" s="170"/>
      <c r="AD222" s="170"/>
      <c r="AE222" s="170"/>
    </row>
    <row r="223" spans="15:31" ht="14.25" customHeight="1" x14ac:dyDescent="0.35"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  <c r="AB223" s="170"/>
      <c r="AC223" s="170"/>
      <c r="AD223" s="170"/>
      <c r="AE223" s="170"/>
    </row>
    <row r="224" spans="15:31" ht="14.25" customHeight="1" x14ac:dyDescent="0.35"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  <c r="AB224" s="170"/>
      <c r="AC224" s="170"/>
      <c r="AD224" s="170"/>
      <c r="AE224" s="170"/>
    </row>
    <row r="225" spans="15:31" ht="14.25" customHeight="1" x14ac:dyDescent="0.35"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</row>
    <row r="226" spans="15:31" ht="14.25" customHeight="1" x14ac:dyDescent="0.35"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</row>
    <row r="227" spans="15:31" ht="14.25" customHeight="1" x14ac:dyDescent="0.35"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  <c r="AB227" s="170"/>
      <c r="AC227" s="170"/>
      <c r="AD227" s="170"/>
      <c r="AE227" s="170"/>
    </row>
    <row r="228" spans="15:31" ht="14.25" customHeight="1" x14ac:dyDescent="0.35"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  <c r="AB228" s="170"/>
      <c r="AC228" s="170"/>
      <c r="AD228" s="170"/>
      <c r="AE228" s="170"/>
    </row>
    <row r="229" spans="15:31" ht="14.25" customHeight="1" x14ac:dyDescent="0.35"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</row>
    <row r="230" spans="15:31" ht="14.25" customHeight="1" x14ac:dyDescent="0.35"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  <c r="AB230" s="170"/>
      <c r="AC230" s="170"/>
      <c r="AD230" s="170"/>
      <c r="AE230" s="170"/>
    </row>
    <row r="231" spans="15:31" ht="14.25" customHeight="1" x14ac:dyDescent="0.35"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  <c r="AB231" s="170"/>
      <c r="AC231" s="170"/>
      <c r="AD231" s="170"/>
      <c r="AE231" s="170"/>
    </row>
    <row r="232" spans="15:31" ht="14.25" customHeight="1" x14ac:dyDescent="0.35"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  <c r="AC232" s="170"/>
      <c r="AD232" s="170"/>
      <c r="AE232" s="170"/>
    </row>
    <row r="233" spans="15:31" ht="14.25" customHeight="1" x14ac:dyDescent="0.35"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  <c r="AC233" s="170"/>
      <c r="AD233" s="170"/>
      <c r="AE233" s="170"/>
    </row>
    <row r="234" spans="15:31" ht="14.25" customHeight="1" x14ac:dyDescent="0.35"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  <c r="AC234" s="170"/>
      <c r="AD234" s="170"/>
      <c r="AE234" s="170"/>
    </row>
    <row r="235" spans="15:31" ht="14.25" customHeight="1" x14ac:dyDescent="0.35"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</row>
    <row r="236" spans="15:31" ht="14.25" customHeight="1" x14ac:dyDescent="0.35"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  <c r="AC236" s="170"/>
      <c r="AD236" s="170"/>
      <c r="AE236" s="170"/>
    </row>
    <row r="237" spans="15:31" ht="14.25" customHeight="1" x14ac:dyDescent="0.35"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  <c r="AB237" s="170"/>
      <c r="AC237" s="170"/>
      <c r="AD237" s="170"/>
      <c r="AE237" s="170"/>
    </row>
    <row r="238" spans="15:31" ht="14.25" customHeight="1" x14ac:dyDescent="0.35"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  <c r="AC238" s="170"/>
      <c r="AD238" s="170"/>
      <c r="AE238" s="170"/>
    </row>
    <row r="239" spans="15:31" ht="14.25" customHeight="1" x14ac:dyDescent="0.35"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  <c r="AB239" s="170"/>
      <c r="AC239" s="170"/>
      <c r="AD239" s="170"/>
      <c r="AE239" s="170"/>
    </row>
    <row r="240" spans="15:31" ht="14.25" customHeight="1" x14ac:dyDescent="0.35"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  <c r="AC240" s="170"/>
      <c r="AD240" s="170"/>
      <c r="AE240" s="170"/>
    </row>
    <row r="241" spans="15:31" ht="14.25" customHeight="1" x14ac:dyDescent="0.35"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0"/>
      <c r="AC241" s="170"/>
      <c r="AD241" s="170"/>
      <c r="AE241" s="170"/>
    </row>
    <row r="242" spans="15:31" ht="14.25" customHeight="1" x14ac:dyDescent="0.35"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  <c r="AB242" s="170"/>
      <c r="AC242" s="170"/>
      <c r="AD242" s="170"/>
      <c r="AE242" s="170"/>
    </row>
    <row r="243" spans="15:31" ht="14.25" customHeight="1" x14ac:dyDescent="0.35"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  <c r="AC243" s="170"/>
      <c r="AD243" s="170"/>
      <c r="AE243" s="170"/>
    </row>
    <row r="244" spans="15:31" ht="14.25" customHeight="1" x14ac:dyDescent="0.35"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</row>
    <row r="245" spans="15:31" ht="14.25" customHeight="1" x14ac:dyDescent="0.35"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</row>
    <row r="246" spans="15:31" ht="14.25" customHeight="1" x14ac:dyDescent="0.35"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  <c r="AC246" s="170"/>
      <c r="AD246" s="170"/>
      <c r="AE246" s="170"/>
    </row>
    <row r="247" spans="15:31" ht="14.25" customHeight="1" x14ac:dyDescent="0.35"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0"/>
      <c r="AD247" s="170"/>
      <c r="AE247" s="170"/>
    </row>
    <row r="248" spans="15:31" ht="14.25" customHeight="1" x14ac:dyDescent="0.35"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  <c r="AB248" s="170"/>
      <c r="AC248" s="170"/>
      <c r="AD248" s="170"/>
      <c r="AE248" s="170"/>
    </row>
    <row r="249" spans="15:31" ht="14.25" customHeight="1" x14ac:dyDescent="0.35"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  <c r="AC249" s="170"/>
      <c r="AD249" s="170"/>
      <c r="AE249" s="170"/>
    </row>
    <row r="250" spans="15:31" ht="14.25" customHeight="1" x14ac:dyDescent="0.35"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</row>
    <row r="251" spans="15:31" ht="14.25" customHeight="1" x14ac:dyDescent="0.35"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</row>
    <row r="252" spans="15:31" ht="14.25" customHeight="1" x14ac:dyDescent="0.35"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  <c r="AC252" s="170"/>
      <c r="AD252" s="170"/>
      <c r="AE252" s="170"/>
    </row>
    <row r="253" spans="15:31" ht="14.25" customHeight="1" x14ac:dyDescent="0.35"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  <c r="AC253" s="170"/>
      <c r="AD253" s="170"/>
      <c r="AE253" s="170"/>
    </row>
    <row r="254" spans="15:31" ht="14.25" customHeight="1" x14ac:dyDescent="0.35"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</row>
    <row r="255" spans="15:31" ht="14.25" customHeight="1" x14ac:dyDescent="0.35"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  <c r="AC255" s="170"/>
      <c r="AD255" s="170"/>
      <c r="AE255" s="170"/>
    </row>
    <row r="256" spans="15:31" ht="14.25" customHeight="1" x14ac:dyDescent="0.35"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</row>
    <row r="257" spans="15:31" ht="14.25" customHeight="1" x14ac:dyDescent="0.35"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</row>
    <row r="258" spans="15:31" ht="14.25" customHeight="1" x14ac:dyDescent="0.35"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  <c r="AC258" s="170"/>
      <c r="AD258" s="170"/>
      <c r="AE258" s="170"/>
    </row>
    <row r="259" spans="15:31" ht="14.25" customHeight="1" x14ac:dyDescent="0.35"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  <c r="AC259" s="170"/>
      <c r="AD259" s="170"/>
      <c r="AE259" s="170"/>
    </row>
    <row r="260" spans="15:31" ht="14.25" customHeight="1" x14ac:dyDescent="0.35"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  <c r="AC260" s="170"/>
      <c r="AD260" s="170"/>
      <c r="AE260" s="170"/>
    </row>
    <row r="261" spans="15:31" ht="14.25" customHeight="1" x14ac:dyDescent="0.35"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  <c r="AB261" s="170"/>
      <c r="AC261" s="170"/>
      <c r="AD261" s="170"/>
      <c r="AE261" s="170"/>
    </row>
    <row r="262" spans="15:31" ht="14.25" customHeight="1" x14ac:dyDescent="0.35"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  <c r="AC262" s="170"/>
      <c r="AD262" s="170"/>
      <c r="AE262" s="170"/>
    </row>
    <row r="263" spans="15:31" ht="14.25" customHeight="1" x14ac:dyDescent="0.35"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/>
      <c r="AD263" s="170"/>
      <c r="AE263" s="170"/>
    </row>
    <row r="264" spans="15:31" ht="14.25" customHeight="1" x14ac:dyDescent="0.35"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  <c r="AC264" s="170"/>
      <c r="AD264" s="170"/>
      <c r="AE264" s="170"/>
    </row>
    <row r="265" spans="15:31" ht="14.25" customHeight="1" x14ac:dyDescent="0.35"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  <c r="AC265" s="170"/>
      <c r="AD265" s="170"/>
      <c r="AE265" s="170"/>
    </row>
    <row r="266" spans="15:31" ht="14.25" customHeight="1" x14ac:dyDescent="0.35"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</row>
    <row r="267" spans="15:31" ht="14.25" customHeight="1" x14ac:dyDescent="0.35"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</row>
    <row r="268" spans="15:31" ht="14.25" customHeight="1" x14ac:dyDescent="0.35"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</row>
    <row r="269" spans="15:31" ht="14.25" customHeight="1" x14ac:dyDescent="0.35"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</row>
    <row r="270" spans="15:31" ht="14.25" customHeight="1" x14ac:dyDescent="0.35"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</row>
    <row r="271" spans="15:31" ht="14.25" customHeight="1" x14ac:dyDescent="0.35"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  <c r="AC271" s="170"/>
      <c r="AD271" s="170"/>
      <c r="AE271" s="170"/>
    </row>
    <row r="272" spans="15:31" ht="14.25" customHeight="1" x14ac:dyDescent="0.35"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0"/>
      <c r="AD272" s="170"/>
      <c r="AE272" s="170"/>
    </row>
    <row r="273" spans="15:31" ht="14.25" customHeight="1" x14ac:dyDescent="0.35"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</row>
    <row r="274" spans="15:31" ht="14.25" customHeight="1" x14ac:dyDescent="0.35"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</row>
    <row r="275" spans="15:31" ht="14.25" customHeight="1" x14ac:dyDescent="0.35"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</row>
    <row r="276" spans="15:31" ht="14.25" customHeight="1" x14ac:dyDescent="0.35"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</row>
    <row r="277" spans="15:31" ht="14.25" customHeight="1" x14ac:dyDescent="0.35"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</row>
    <row r="278" spans="15:31" ht="14.25" customHeight="1" x14ac:dyDescent="0.35"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  <c r="AC278" s="170"/>
      <c r="AD278" s="170"/>
      <c r="AE278" s="170"/>
    </row>
    <row r="279" spans="15:31" ht="14.25" customHeight="1" x14ac:dyDescent="0.35"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</row>
    <row r="280" spans="15:31" ht="14.25" customHeight="1" x14ac:dyDescent="0.35"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</row>
    <row r="281" spans="15:31" ht="14.25" customHeight="1" x14ac:dyDescent="0.35"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</row>
    <row r="282" spans="15:31" ht="14.25" customHeight="1" x14ac:dyDescent="0.35"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</row>
    <row r="283" spans="15:31" ht="14.25" customHeight="1" x14ac:dyDescent="0.35"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</row>
    <row r="284" spans="15:31" ht="14.25" customHeight="1" x14ac:dyDescent="0.35"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</row>
    <row r="285" spans="15:31" ht="14.25" customHeight="1" x14ac:dyDescent="0.35"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</row>
    <row r="286" spans="15:31" ht="14.25" customHeight="1" x14ac:dyDescent="0.35"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</row>
    <row r="287" spans="15:31" ht="14.25" customHeight="1" x14ac:dyDescent="0.35"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</row>
    <row r="288" spans="15:31" ht="14.25" customHeight="1" x14ac:dyDescent="0.35"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170"/>
    </row>
    <row r="289" spans="15:31" ht="14.25" customHeight="1" x14ac:dyDescent="0.35"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</row>
    <row r="290" spans="15:31" ht="14.25" customHeight="1" x14ac:dyDescent="0.35"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</row>
    <row r="291" spans="15:31" ht="14.25" customHeight="1" x14ac:dyDescent="0.35"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</row>
    <row r="292" spans="15:31" ht="14.25" customHeight="1" x14ac:dyDescent="0.35"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  <c r="AC292" s="170"/>
      <c r="AD292" s="170"/>
      <c r="AE292" s="170"/>
    </row>
    <row r="293" spans="15:31" ht="14.25" customHeight="1" x14ac:dyDescent="0.35"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  <c r="AC293" s="170"/>
      <c r="AD293" s="170"/>
      <c r="AE293" s="170"/>
    </row>
    <row r="294" spans="15:31" ht="14.25" customHeight="1" x14ac:dyDescent="0.35"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  <c r="AC294" s="170"/>
      <c r="AD294" s="170"/>
      <c r="AE294" s="170"/>
    </row>
    <row r="295" spans="15:31" ht="14.25" customHeight="1" x14ac:dyDescent="0.35"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</row>
    <row r="296" spans="15:31" ht="14.25" customHeight="1" x14ac:dyDescent="0.35"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</row>
    <row r="297" spans="15:31" ht="14.25" customHeight="1" x14ac:dyDescent="0.35"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  <c r="AC297" s="170"/>
      <c r="AD297" s="170"/>
      <c r="AE297" s="170"/>
    </row>
    <row r="298" spans="15:31" ht="14.25" customHeight="1" x14ac:dyDescent="0.35"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  <c r="AC298" s="170"/>
      <c r="AD298" s="170"/>
      <c r="AE298" s="170"/>
    </row>
    <row r="299" spans="15:31" ht="14.25" customHeight="1" x14ac:dyDescent="0.35"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</row>
    <row r="300" spans="15:31" ht="14.25" customHeight="1" x14ac:dyDescent="0.35"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</row>
    <row r="301" spans="15:31" ht="14.25" customHeight="1" x14ac:dyDescent="0.35"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</row>
    <row r="302" spans="15:31" ht="14.25" customHeight="1" x14ac:dyDescent="0.35"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  <c r="AD302" s="170"/>
      <c r="AE302" s="170"/>
    </row>
    <row r="303" spans="15:31" ht="14.25" customHeight="1" x14ac:dyDescent="0.35"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  <c r="AC303" s="170"/>
      <c r="AD303" s="170"/>
      <c r="AE303" s="170"/>
    </row>
    <row r="304" spans="15:31" ht="14.25" customHeight="1" x14ac:dyDescent="0.35"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  <c r="AB304" s="170"/>
      <c r="AC304" s="170"/>
      <c r="AD304" s="170"/>
      <c r="AE304" s="170"/>
    </row>
    <row r="305" spans="15:31" ht="14.25" customHeight="1" x14ac:dyDescent="0.35"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  <c r="AC305" s="170"/>
      <c r="AD305" s="170"/>
      <c r="AE305" s="170"/>
    </row>
    <row r="306" spans="15:31" ht="14.25" customHeight="1" x14ac:dyDescent="0.35"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  <c r="AC306" s="170"/>
      <c r="AD306" s="170"/>
      <c r="AE306" s="170"/>
    </row>
    <row r="307" spans="15:31" ht="14.25" customHeight="1" x14ac:dyDescent="0.35"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  <c r="AC307" s="170"/>
      <c r="AD307" s="170"/>
      <c r="AE307" s="170"/>
    </row>
    <row r="308" spans="15:31" ht="14.25" customHeight="1" x14ac:dyDescent="0.35"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  <c r="AC308" s="170"/>
      <c r="AD308" s="170"/>
      <c r="AE308" s="170"/>
    </row>
    <row r="309" spans="15:31" ht="14.25" customHeight="1" x14ac:dyDescent="0.35"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  <c r="AC309" s="170"/>
      <c r="AD309" s="170"/>
      <c r="AE309" s="170"/>
    </row>
    <row r="310" spans="15:31" ht="14.25" customHeight="1" x14ac:dyDescent="0.35"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  <c r="AC310" s="170"/>
      <c r="AD310" s="170"/>
      <c r="AE310" s="170"/>
    </row>
    <row r="311" spans="15:31" ht="14.25" customHeight="1" x14ac:dyDescent="0.35"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  <c r="AC311" s="170"/>
      <c r="AD311" s="170"/>
      <c r="AE311" s="170"/>
    </row>
    <row r="312" spans="15:31" ht="14.25" customHeight="1" x14ac:dyDescent="0.35"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  <c r="AC312" s="170"/>
      <c r="AD312" s="170"/>
      <c r="AE312" s="170"/>
    </row>
    <row r="313" spans="15:31" ht="14.25" customHeight="1" x14ac:dyDescent="0.35"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  <c r="AC313" s="170"/>
      <c r="AD313" s="170"/>
      <c r="AE313" s="170"/>
    </row>
    <row r="314" spans="15:31" ht="14.25" customHeight="1" x14ac:dyDescent="0.35"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  <c r="AC314" s="170"/>
      <c r="AD314" s="170"/>
      <c r="AE314" s="170"/>
    </row>
    <row r="315" spans="15:31" ht="14.25" customHeight="1" x14ac:dyDescent="0.35"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  <c r="AC315" s="170"/>
      <c r="AD315" s="170"/>
      <c r="AE315" s="170"/>
    </row>
    <row r="316" spans="15:31" ht="14.25" customHeight="1" x14ac:dyDescent="0.35"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  <c r="AC316" s="170"/>
      <c r="AD316" s="170"/>
      <c r="AE316" s="170"/>
    </row>
    <row r="317" spans="15:31" ht="14.25" customHeight="1" x14ac:dyDescent="0.35"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  <c r="AD317" s="170"/>
      <c r="AE317" s="170"/>
    </row>
    <row r="318" spans="15:31" ht="14.25" customHeight="1" x14ac:dyDescent="0.35"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  <c r="AC318" s="170"/>
      <c r="AD318" s="170"/>
      <c r="AE318" s="170"/>
    </row>
    <row r="319" spans="15:31" ht="14.25" customHeight="1" x14ac:dyDescent="0.35"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  <c r="AC319" s="170"/>
      <c r="AD319" s="170"/>
      <c r="AE319" s="170"/>
    </row>
    <row r="320" spans="15:31" ht="14.25" customHeight="1" x14ac:dyDescent="0.35"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  <c r="AC320" s="170"/>
      <c r="AD320" s="170"/>
      <c r="AE320" s="170"/>
    </row>
    <row r="321" spans="15:31" ht="14.25" customHeight="1" x14ac:dyDescent="0.35"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0"/>
      <c r="AD321" s="170"/>
      <c r="AE321" s="170"/>
    </row>
    <row r="322" spans="15:31" ht="14.25" customHeight="1" x14ac:dyDescent="0.35"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  <c r="AC322" s="170"/>
      <c r="AD322" s="170"/>
      <c r="AE322" s="170"/>
    </row>
    <row r="323" spans="15:31" ht="14.25" customHeight="1" x14ac:dyDescent="0.35"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  <c r="AC323" s="170"/>
      <c r="AD323" s="170"/>
      <c r="AE323" s="170"/>
    </row>
    <row r="324" spans="15:31" ht="14.25" customHeight="1" x14ac:dyDescent="0.35"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  <c r="AC324" s="170"/>
      <c r="AD324" s="170"/>
      <c r="AE324" s="170"/>
    </row>
    <row r="325" spans="15:31" ht="14.25" customHeight="1" x14ac:dyDescent="0.35"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  <c r="AC325" s="170"/>
      <c r="AD325" s="170"/>
      <c r="AE325" s="170"/>
    </row>
    <row r="326" spans="15:31" ht="14.25" customHeight="1" x14ac:dyDescent="0.35"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  <c r="AC326" s="170"/>
      <c r="AD326" s="170"/>
      <c r="AE326" s="170"/>
    </row>
    <row r="327" spans="15:31" ht="14.25" customHeight="1" x14ac:dyDescent="0.35"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  <c r="AC327" s="170"/>
      <c r="AD327" s="170"/>
      <c r="AE327" s="170"/>
    </row>
    <row r="328" spans="15:31" ht="14.25" customHeight="1" x14ac:dyDescent="0.35"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  <c r="AC328" s="170"/>
      <c r="AD328" s="170"/>
      <c r="AE328" s="170"/>
    </row>
    <row r="329" spans="15:31" ht="14.25" customHeight="1" x14ac:dyDescent="0.35"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</row>
    <row r="330" spans="15:31" ht="14.25" customHeight="1" x14ac:dyDescent="0.35"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  <c r="AC330" s="170"/>
      <c r="AD330" s="170"/>
      <c r="AE330" s="170"/>
    </row>
    <row r="331" spans="15:31" ht="14.25" customHeight="1" x14ac:dyDescent="0.35"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  <c r="AC331" s="170"/>
      <c r="AD331" s="170"/>
      <c r="AE331" s="170"/>
    </row>
    <row r="332" spans="15:31" ht="14.25" customHeight="1" x14ac:dyDescent="0.35"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  <c r="AC332" s="170"/>
      <c r="AD332" s="170"/>
      <c r="AE332" s="170"/>
    </row>
    <row r="333" spans="15:31" ht="14.25" customHeight="1" x14ac:dyDescent="0.35"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  <c r="AC333" s="170"/>
      <c r="AD333" s="170"/>
      <c r="AE333" s="170"/>
    </row>
    <row r="334" spans="15:31" ht="14.25" customHeight="1" x14ac:dyDescent="0.35"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  <c r="AC334" s="170"/>
      <c r="AD334" s="170"/>
      <c r="AE334" s="170"/>
    </row>
    <row r="335" spans="15:31" ht="14.25" customHeight="1" x14ac:dyDescent="0.35"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  <c r="AC335" s="170"/>
      <c r="AD335" s="170"/>
      <c r="AE335" s="170"/>
    </row>
    <row r="336" spans="15:31" ht="14.25" customHeight="1" x14ac:dyDescent="0.35"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  <c r="AB336" s="170"/>
      <c r="AC336" s="170"/>
      <c r="AD336" s="170"/>
      <c r="AE336" s="170"/>
    </row>
    <row r="337" spans="15:31" ht="14.25" customHeight="1" x14ac:dyDescent="0.35"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  <c r="AB337" s="170"/>
      <c r="AC337" s="170"/>
      <c r="AD337" s="170"/>
      <c r="AE337" s="170"/>
    </row>
    <row r="338" spans="15:31" ht="14.25" customHeight="1" x14ac:dyDescent="0.35"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  <c r="AB338" s="170"/>
      <c r="AC338" s="170"/>
      <c r="AD338" s="170"/>
      <c r="AE338" s="170"/>
    </row>
    <row r="339" spans="15:31" ht="14.25" customHeight="1" x14ac:dyDescent="0.35"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  <c r="AB339" s="170"/>
      <c r="AC339" s="170"/>
      <c r="AD339" s="170"/>
      <c r="AE339" s="170"/>
    </row>
    <row r="340" spans="15:31" ht="14.25" customHeight="1" x14ac:dyDescent="0.35"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  <c r="AC340" s="170"/>
      <c r="AD340" s="170"/>
      <c r="AE340" s="170"/>
    </row>
    <row r="341" spans="15:31" ht="14.25" customHeight="1" x14ac:dyDescent="0.35"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</row>
    <row r="342" spans="15:31" ht="14.25" customHeight="1" x14ac:dyDescent="0.35"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  <c r="AC342" s="170"/>
      <c r="AD342" s="170"/>
      <c r="AE342" s="170"/>
    </row>
    <row r="343" spans="15:31" ht="14.25" customHeight="1" x14ac:dyDescent="0.35"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</row>
    <row r="344" spans="15:31" ht="14.25" customHeight="1" x14ac:dyDescent="0.35"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  <c r="AB344" s="170"/>
      <c r="AC344" s="170"/>
      <c r="AD344" s="170"/>
      <c r="AE344" s="170"/>
    </row>
    <row r="345" spans="15:31" ht="14.25" customHeight="1" x14ac:dyDescent="0.35"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  <c r="AB345" s="170"/>
      <c r="AC345" s="170"/>
      <c r="AD345" s="170"/>
      <c r="AE345" s="170"/>
    </row>
    <row r="346" spans="15:31" ht="14.25" customHeight="1" x14ac:dyDescent="0.35"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  <c r="AB346" s="170"/>
      <c r="AC346" s="170"/>
      <c r="AD346" s="170"/>
      <c r="AE346" s="170"/>
    </row>
    <row r="347" spans="15:31" ht="14.25" customHeight="1" x14ac:dyDescent="0.35"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  <c r="AB347" s="170"/>
      <c r="AC347" s="170"/>
      <c r="AD347" s="170"/>
      <c r="AE347" s="170"/>
    </row>
    <row r="348" spans="15:31" ht="14.25" customHeight="1" x14ac:dyDescent="0.35"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  <c r="AB348" s="170"/>
      <c r="AC348" s="170"/>
      <c r="AD348" s="170"/>
      <c r="AE348" s="170"/>
    </row>
    <row r="349" spans="15:31" ht="14.25" customHeight="1" x14ac:dyDescent="0.35"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  <c r="AB349" s="170"/>
      <c r="AC349" s="170"/>
      <c r="AD349" s="170"/>
      <c r="AE349" s="170"/>
    </row>
    <row r="350" spans="15:31" ht="14.25" customHeight="1" x14ac:dyDescent="0.35"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  <c r="AB350" s="170"/>
      <c r="AC350" s="170"/>
      <c r="AD350" s="170"/>
      <c r="AE350" s="170"/>
    </row>
    <row r="351" spans="15:31" ht="14.25" customHeight="1" x14ac:dyDescent="0.35"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  <c r="AB351" s="170"/>
      <c r="AC351" s="170"/>
      <c r="AD351" s="170"/>
      <c r="AE351" s="170"/>
    </row>
    <row r="352" spans="15:31" ht="14.25" customHeight="1" x14ac:dyDescent="0.35"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  <c r="AB352" s="170"/>
      <c r="AC352" s="170"/>
      <c r="AD352" s="170"/>
      <c r="AE352" s="170"/>
    </row>
    <row r="353" spans="15:31" ht="14.25" customHeight="1" x14ac:dyDescent="0.35"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  <c r="AB353" s="170"/>
      <c r="AC353" s="170"/>
      <c r="AD353" s="170"/>
      <c r="AE353" s="170"/>
    </row>
    <row r="354" spans="15:31" ht="14.25" customHeight="1" x14ac:dyDescent="0.35"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</row>
    <row r="355" spans="15:31" ht="14.25" customHeight="1" x14ac:dyDescent="0.35"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  <c r="AB355" s="170"/>
      <c r="AC355" s="170"/>
      <c r="AD355" s="170"/>
      <c r="AE355" s="170"/>
    </row>
    <row r="356" spans="15:31" ht="14.25" customHeight="1" x14ac:dyDescent="0.35"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  <c r="AC356" s="170"/>
      <c r="AD356" s="170"/>
      <c r="AE356" s="170"/>
    </row>
    <row r="357" spans="15:31" ht="14.25" customHeight="1" x14ac:dyDescent="0.35"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  <c r="AB357" s="170"/>
      <c r="AC357" s="170"/>
      <c r="AD357" s="170"/>
      <c r="AE357" s="170"/>
    </row>
    <row r="358" spans="15:31" ht="14.25" customHeight="1" x14ac:dyDescent="0.35"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  <c r="AC358" s="170"/>
      <c r="AD358" s="170"/>
      <c r="AE358" s="170"/>
    </row>
    <row r="359" spans="15:31" ht="14.25" customHeight="1" x14ac:dyDescent="0.35"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  <c r="AB359" s="170"/>
      <c r="AC359" s="170"/>
      <c r="AD359" s="170"/>
      <c r="AE359" s="170"/>
    </row>
    <row r="360" spans="15:31" ht="14.25" customHeight="1" x14ac:dyDescent="0.35"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  <c r="AB360" s="170"/>
      <c r="AC360" s="170"/>
      <c r="AD360" s="170"/>
      <c r="AE360" s="170"/>
    </row>
    <row r="361" spans="15:31" ht="14.25" customHeight="1" x14ac:dyDescent="0.35"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  <c r="AB361" s="170"/>
      <c r="AC361" s="170"/>
      <c r="AD361" s="170"/>
      <c r="AE361" s="170"/>
    </row>
    <row r="362" spans="15:31" ht="14.25" customHeight="1" x14ac:dyDescent="0.35"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  <c r="AB362" s="170"/>
      <c r="AC362" s="170"/>
      <c r="AD362" s="170"/>
      <c r="AE362" s="170"/>
    </row>
    <row r="363" spans="15:31" ht="14.25" customHeight="1" x14ac:dyDescent="0.35"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  <c r="AB363" s="170"/>
      <c r="AC363" s="170"/>
      <c r="AD363" s="170"/>
      <c r="AE363" s="170"/>
    </row>
    <row r="364" spans="15:31" ht="14.25" customHeight="1" x14ac:dyDescent="0.35"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  <c r="AB364" s="170"/>
      <c r="AC364" s="170"/>
      <c r="AD364" s="170"/>
      <c r="AE364" s="170"/>
    </row>
    <row r="365" spans="15:31" ht="14.25" customHeight="1" x14ac:dyDescent="0.35"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  <c r="AB365" s="170"/>
      <c r="AC365" s="170"/>
      <c r="AD365" s="170"/>
      <c r="AE365" s="170"/>
    </row>
    <row r="366" spans="15:31" ht="14.25" customHeight="1" x14ac:dyDescent="0.35"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  <c r="AB366" s="170"/>
      <c r="AC366" s="170"/>
      <c r="AD366" s="170"/>
      <c r="AE366" s="170"/>
    </row>
    <row r="367" spans="15:31" ht="14.25" customHeight="1" x14ac:dyDescent="0.35"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  <c r="AC367" s="170"/>
      <c r="AD367" s="170"/>
      <c r="AE367" s="170"/>
    </row>
    <row r="368" spans="15:31" ht="14.25" customHeight="1" x14ac:dyDescent="0.35"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  <c r="AB368" s="170"/>
      <c r="AC368" s="170"/>
      <c r="AD368" s="170"/>
      <c r="AE368" s="170"/>
    </row>
    <row r="369" spans="15:31" ht="14.25" customHeight="1" x14ac:dyDescent="0.35"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  <c r="AB369" s="170"/>
      <c r="AC369" s="170"/>
      <c r="AD369" s="170"/>
      <c r="AE369" s="170"/>
    </row>
    <row r="370" spans="15:31" ht="14.25" customHeight="1" x14ac:dyDescent="0.35"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  <c r="AB370" s="170"/>
      <c r="AC370" s="170"/>
      <c r="AD370" s="170"/>
      <c r="AE370" s="170"/>
    </row>
    <row r="371" spans="15:31" ht="14.25" customHeight="1" x14ac:dyDescent="0.35"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  <c r="AB371" s="170"/>
      <c r="AC371" s="170"/>
      <c r="AD371" s="170"/>
      <c r="AE371" s="170"/>
    </row>
    <row r="372" spans="15:31" ht="14.25" customHeight="1" x14ac:dyDescent="0.35"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  <c r="AC372" s="170"/>
      <c r="AD372" s="170"/>
      <c r="AE372" s="170"/>
    </row>
    <row r="373" spans="15:31" ht="14.25" customHeight="1" x14ac:dyDescent="0.35"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  <c r="AB373" s="170"/>
      <c r="AC373" s="170"/>
      <c r="AD373" s="170"/>
      <c r="AE373" s="170"/>
    </row>
    <row r="374" spans="15:31" ht="14.25" customHeight="1" x14ac:dyDescent="0.35"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  <c r="AB374" s="170"/>
      <c r="AC374" s="170"/>
      <c r="AD374" s="170"/>
      <c r="AE374" s="170"/>
    </row>
    <row r="375" spans="15:31" ht="14.25" customHeight="1" x14ac:dyDescent="0.35"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  <c r="AB375" s="170"/>
      <c r="AC375" s="170"/>
      <c r="AD375" s="170"/>
      <c r="AE375" s="170"/>
    </row>
    <row r="376" spans="15:31" ht="14.25" customHeight="1" x14ac:dyDescent="0.35"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  <c r="AB376" s="170"/>
      <c r="AC376" s="170"/>
      <c r="AD376" s="170"/>
      <c r="AE376" s="170"/>
    </row>
    <row r="377" spans="15:31" ht="14.25" customHeight="1" x14ac:dyDescent="0.35"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  <c r="AB377" s="170"/>
      <c r="AC377" s="170"/>
      <c r="AD377" s="170"/>
      <c r="AE377" s="170"/>
    </row>
    <row r="378" spans="15:31" ht="14.25" customHeight="1" x14ac:dyDescent="0.35"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  <c r="AB378" s="170"/>
      <c r="AC378" s="170"/>
      <c r="AD378" s="170"/>
      <c r="AE378" s="170"/>
    </row>
    <row r="379" spans="15:31" ht="14.25" customHeight="1" x14ac:dyDescent="0.35"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  <c r="AB379" s="170"/>
      <c r="AC379" s="170"/>
      <c r="AD379" s="170"/>
      <c r="AE379" s="170"/>
    </row>
    <row r="380" spans="15:31" ht="14.25" customHeight="1" x14ac:dyDescent="0.35"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</row>
    <row r="381" spans="15:31" ht="14.25" customHeight="1" x14ac:dyDescent="0.35"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</row>
    <row r="382" spans="15:31" ht="14.25" customHeight="1" x14ac:dyDescent="0.35"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</row>
    <row r="383" spans="15:31" ht="14.25" customHeight="1" x14ac:dyDescent="0.35"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</row>
    <row r="384" spans="15:31" ht="14.25" customHeight="1" x14ac:dyDescent="0.35"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  <c r="AB384" s="170"/>
      <c r="AC384" s="170"/>
      <c r="AD384" s="170"/>
      <c r="AE384" s="170"/>
    </row>
    <row r="385" spans="15:31" ht="14.25" customHeight="1" x14ac:dyDescent="0.35"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  <c r="AB385" s="170"/>
      <c r="AC385" s="170"/>
      <c r="AD385" s="170"/>
      <c r="AE385" s="170"/>
    </row>
    <row r="386" spans="15:31" ht="14.25" customHeight="1" x14ac:dyDescent="0.35"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  <c r="AB386" s="170"/>
      <c r="AC386" s="170"/>
      <c r="AD386" s="170"/>
      <c r="AE386" s="170"/>
    </row>
    <row r="387" spans="15:31" ht="14.25" customHeight="1" x14ac:dyDescent="0.35"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  <c r="AB387" s="170"/>
      <c r="AC387" s="170"/>
      <c r="AD387" s="170"/>
      <c r="AE387" s="170"/>
    </row>
    <row r="388" spans="15:31" ht="14.25" customHeight="1" x14ac:dyDescent="0.35"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  <c r="AC388" s="170"/>
      <c r="AD388" s="170"/>
      <c r="AE388" s="170"/>
    </row>
    <row r="389" spans="15:31" ht="14.25" customHeight="1" x14ac:dyDescent="0.35"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  <c r="AB389" s="170"/>
      <c r="AC389" s="170"/>
      <c r="AD389" s="170"/>
      <c r="AE389" s="170"/>
    </row>
    <row r="390" spans="15:31" ht="14.25" customHeight="1" x14ac:dyDescent="0.35"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  <c r="AB390" s="170"/>
      <c r="AC390" s="170"/>
      <c r="AD390" s="170"/>
      <c r="AE390" s="170"/>
    </row>
    <row r="391" spans="15:31" ht="14.25" customHeight="1" x14ac:dyDescent="0.35"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  <c r="AB391" s="170"/>
      <c r="AC391" s="170"/>
      <c r="AD391" s="170"/>
      <c r="AE391" s="170"/>
    </row>
    <row r="392" spans="15:31" ht="14.25" customHeight="1" x14ac:dyDescent="0.35"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  <c r="AB392" s="170"/>
      <c r="AC392" s="170"/>
      <c r="AD392" s="170"/>
      <c r="AE392" s="170"/>
    </row>
    <row r="393" spans="15:31" ht="14.25" customHeight="1" x14ac:dyDescent="0.35"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  <c r="AB393" s="170"/>
      <c r="AC393" s="170"/>
      <c r="AD393" s="170"/>
      <c r="AE393" s="170"/>
    </row>
    <row r="394" spans="15:31" ht="14.25" customHeight="1" x14ac:dyDescent="0.35"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  <c r="AB394" s="170"/>
      <c r="AC394" s="170"/>
      <c r="AD394" s="170"/>
      <c r="AE394" s="170"/>
    </row>
    <row r="395" spans="15:31" ht="14.25" customHeight="1" x14ac:dyDescent="0.35"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  <c r="AB395" s="170"/>
      <c r="AC395" s="170"/>
      <c r="AD395" s="170"/>
      <c r="AE395" s="170"/>
    </row>
    <row r="396" spans="15:31" ht="14.25" customHeight="1" x14ac:dyDescent="0.35"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  <c r="AB396" s="170"/>
      <c r="AC396" s="170"/>
      <c r="AD396" s="170"/>
      <c r="AE396" s="170"/>
    </row>
    <row r="397" spans="15:31" ht="14.25" customHeight="1" x14ac:dyDescent="0.35"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  <c r="AB397" s="170"/>
      <c r="AC397" s="170"/>
      <c r="AD397" s="170"/>
      <c r="AE397" s="170"/>
    </row>
    <row r="398" spans="15:31" ht="14.25" customHeight="1" x14ac:dyDescent="0.35"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  <c r="AB398" s="170"/>
      <c r="AC398" s="170"/>
      <c r="AD398" s="170"/>
      <c r="AE398" s="170"/>
    </row>
    <row r="399" spans="15:31" ht="14.25" customHeight="1" x14ac:dyDescent="0.35"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  <c r="AC399" s="170"/>
      <c r="AD399" s="170"/>
      <c r="AE399" s="170"/>
    </row>
    <row r="400" spans="15:31" ht="14.25" customHeight="1" x14ac:dyDescent="0.35"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  <c r="AB400" s="170"/>
      <c r="AC400" s="170"/>
      <c r="AD400" s="170"/>
      <c r="AE400" s="170"/>
    </row>
    <row r="401" spans="15:31" ht="14.25" customHeight="1" x14ac:dyDescent="0.35"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  <c r="AB401" s="170"/>
      <c r="AC401" s="170"/>
      <c r="AD401" s="170"/>
      <c r="AE401" s="170"/>
    </row>
    <row r="402" spans="15:31" ht="14.25" customHeight="1" x14ac:dyDescent="0.35"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  <c r="AB402" s="170"/>
      <c r="AC402" s="170"/>
      <c r="AD402" s="170"/>
      <c r="AE402" s="170"/>
    </row>
    <row r="403" spans="15:31" ht="14.25" customHeight="1" x14ac:dyDescent="0.35"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  <c r="AB403" s="170"/>
      <c r="AC403" s="170"/>
      <c r="AD403" s="170"/>
      <c r="AE403" s="170"/>
    </row>
    <row r="404" spans="15:31" ht="14.25" customHeight="1" x14ac:dyDescent="0.35"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  <c r="AB404" s="170"/>
      <c r="AC404" s="170"/>
      <c r="AD404" s="170"/>
      <c r="AE404" s="170"/>
    </row>
    <row r="405" spans="15:31" ht="14.25" customHeight="1" x14ac:dyDescent="0.35"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  <c r="AB405" s="170"/>
      <c r="AC405" s="170"/>
      <c r="AD405" s="170"/>
      <c r="AE405" s="170"/>
    </row>
    <row r="406" spans="15:31" ht="14.25" customHeight="1" x14ac:dyDescent="0.35"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  <c r="AC406" s="170"/>
      <c r="AD406" s="170"/>
      <c r="AE406" s="170"/>
    </row>
    <row r="407" spans="15:31" ht="14.25" customHeight="1" x14ac:dyDescent="0.35"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  <c r="AC407" s="170"/>
      <c r="AD407" s="170"/>
      <c r="AE407" s="170"/>
    </row>
    <row r="408" spans="15:31" ht="14.25" customHeight="1" x14ac:dyDescent="0.35"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</row>
    <row r="409" spans="15:31" ht="14.25" customHeight="1" x14ac:dyDescent="0.35"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  <c r="AC409" s="170"/>
      <c r="AD409" s="170"/>
      <c r="AE409" s="170"/>
    </row>
    <row r="410" spans="15:31" ht="14.25" customHeight="1" x14ac:dyDescent="0.35"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</row>
    <row r="411" spans="15:31" ht="14.25" customHeight="1" x14ac:dyDescent="0.35"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  <c r="AB411" s="170"/>
      <c r="AC411" s="170"/>
      <c r="AD411" s="170"/>
      <c r="AE411" s="170"/>
    </row>
    <row r="412" spans="15:31" ht="14.25" customHeight="1" x14ac:dyDescent="0.35"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  <c r="AB412" s="170"/>
      <c r="AC412" s="170"/>
      <c r="AD412" s="170"/>
      <c r="AE412" s="170"/>
    </row>
    <row r="413" spans="15:31" ht="14.25" customHeight="1" x14ac:dyDescent="0.35"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  <c r="AB413" s="170"/>
      <c r="AC413" s="170"/>
      <c r="AD413" s="170"/>
      <c r="AE413" s="170"/>
    </row>
    <row r="414" spans="15:31" ht="14.25" customHeight="1" x14ac:dyDescent="0.35"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  <c r="AB414" s="170"/>
      <c r="AC414" s="170"/>
      <c r="AD414" s="170"/>
      <c r="AE414" s="170"/>
    </row>
    <row r="415" spans="15:31" ht="14.25" customHeight="1" x14ac:dyDescent="0.35"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  <c r="AB415" s="170"/>
      <c r="AC415" s="170"/>
      <c r="AD415" s="170"/>
      <c r="AE415" s="170"/>
    </row>
    <row r="416" spans="15:31" ht="14.25" customHeight="1" x14ac:dyDescent="0.35"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  <c r="AC416" s="170"/>
      <c r="AD416" s="170"/>
      <c r="AE416" s="170"/>
    </row>
    <row r="417" spans="15:31" ht="14.25" customHeight="1" x14ac:dyDescent="0.35"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  <c r="AC417" s="170"/>
      <c r="AD417" s="170"/>
      <c r="AE417" s="170"/>
    </row>
    <row r="418" spans="15:31" ht="14.25" customHeight="1" x14ac:dyDescent="0.35"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  <c r="AC418" s="170"/>
      <c r="AD418" s="170"/>
      <c r="AE418" s="170"/>
    </row>
    <row r="419" spans="15:31" ht="14.25" customHeight="1" x14ac:dyDescent="0.35"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  <c r="AC419" s="170"/>
      <c r="AD419" s="170"/>
      <c r="AE419" s="170"/>
    </row>
    <row r="420" spans="15:31" ht="14.25" customHeight="1" x14ac:dyDescent="0.35"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  <c r="AB420" s="170"/>
      <c r="AC420" s="170"/>
      <c r="AD420" s="170"/>
      <c r="AE420" s="170"/>
    </row>
    <row r="421" spans="15:31" ht="14.25" customHeight="1" x14ac:dyDescent="0.35"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0"/>
      <c r="AC421" s="170"/>
      <c r="AD421" s="170"/>
      <c r="AE421" s="170"/>
    </row>
    <row r="422" spans="15:31" ht="14.25" customHeight="1" x14ac:dyDescent="0.35"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  <c r="AB422" s="170"/>
      <c r="AC422" s="170"/>
      <c r="AD422" s="170"/>
      <c r="AE422" s="170"/>
    </row>
    <row r="423" spans="15:31" ht="14.25" customHeight="1" x14ac:dyDescent="0.35"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  <c r="AC423" s="170"/>
      <c r="AD423" s="170"/>
      <c r="AE423" s="170"/>
    </row>
    <row r="424" spans="15:31" ht="14.25" customHeight="1" x14ac:dyDescent="0.35"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  <c r="AC424" s="170"/>
      <c r="AD424" s="170"/>
      <c r="AE424" s="170"/>
    </row>
    <row r="425" spans="15:31" ht="14.25" customHeight="1" x14ac:dyDescent="0.35"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  <c r="AC425" s="170"/>
      <c r="AD425" s="170"/>
      <c r="AE425" s="170"/>
    </row>
    <row r="426" spans="15:31" ht="14.25" customHeight="1" x14ac:dyDescent="0.35"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  <c r="AB426" s="170"/>
      <c r="AC426" s="170"/>
      <c r="AD426" s="170"/>
      <c r="AE426" s="170"/>
    </row>
    <row r="427" spans="15:31" ht="14.25" customHeight="1" x14ac:dyDescent="0.35"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  <c r="AB427" s="170"/>
      <c r="AC427" s="170"/>
      <c r="AD427" s="170"/>
      <c r="AE427" s="170"/>
    </row>
    <row r="428" spans="15:31" ht="14.25" customHeight="1" x14ac:dyDescent="0.35"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  <c r="AB428" s="170"/>
      <c r="AC428" s="170"/>
      <c r="AD428" s="170"/>
      <c r="AE428" s="170"/>
    </row>
    <row r="429" spans="15:31" ht="14.25" customHeight="1" x14ac:dyDescent="0.35"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  <c r="AB429" s="170"/>
      <c r="AC429" s="170"/>
      <c r="AD429" s="170"/>
      <c r="AE429" s="170"/>
    </row>
    <row r="430" spans="15:31" ht="14.25" customHeight="1" x14ac:dyDescent="0.35"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  <c r="AB430" s="170"/>
      <c r="AC430" s="170"/>
      <c r="AD430" s="170"/>
      <c r="AE430" s="170"/>
    </row>
    <row r="431" spans="15:31" ht="14.25" customHeight="1" x14ac:dyDescent="0.35"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  <c r="AB431" s="170"/>
      <c r="AC431" s="170"/>
      <c r="AD431" s="170"/>
      <c r="AE431" s="170"/>
    </row>
    <row r="432" spans="15:31" ht="14.25" customHeight="1" x14ac:dyDescent="0.35"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  <c r="AB432" s="170"/>
      <c r="AC432" s="170"/>
      <c r="AD432" s="170"/>
      <c r="AE432" s="170"/>
    </row>
    <row r="433" spans="15:31" ht="14.25" customHeight="1" x14ac:dyDescent="0.35"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  <c r="AB433" s="170"/>
      <c r="AC433" s="170"/>
      <c r="AD433" s="170"/>
      <c r="AE433" s="170"/>
    </row>
    <row r="434" spans="15:31" ht="14.25" customHeight="1" x14ac:dyDescent="0.35"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  <c r="AB434" s="170"/>
      <c r="AC434" s="170"/>
      <c r="AD434" s="170"/>
      <c r="AE434" s="170"/>
    </row>
    <row r="435" spans="15:31" ht="14.25" customHeight="1" x14ac:dyDescent="0.35"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  <c r="AB435" s="170"/>
      <c r="AC435" s="170"/>
      <c r="AD435" s="170"/>
      <c r="AE435" s="170"/>
    </row>
    <row r="436" spans="15:31" ht="14.25" customHeight="1" x14ac:dyDescent="0.35"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  <c r="AB436" s="170"/>
      <c r="AC436" s="170"/>
      <c r="AD436" s="170"/>
      <c r="AE436" s="170"/>
    </row>
    <row r="437" spans="15:31" ht="14.25" customHeight="1" x14ac:dyDescent="0.35"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  <c r="AB437" s="170"/>
      <c r="AC437" s="170"/>
      <c r="AD437" s="170"/>
      <c r="AE437" s="170"/>
    </row>
    <row r="438" spans="15:31" ht="14.25" customHeight="1" x14ac:dyDescent="0.35"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  <c r="AB438" s="170"/>
      <c r="AC438" s="170"/>
      <c r="AD438" s="170"/>
      <c r="AE438" s="170"/>
    </row>
    <row r="439" spans="15:31" ht="14.25" customHeight="1" x14ac:dyDescent="0.35"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  <c r="AB439" s="170"/>
      <c r="AC439" s="170"/>
      <c r="AD439" s="170"/>
      <c r="AE439" s="170"/>
    </row>
    <row r="440" spans="15:31" ht="14.25" customHeight="1" x14ac:dyDescent="0.35"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  <c r="AB440" s="170"/>
      <c r="AC440" s="170"/>
      <c r="AD440" s="170"/>
      <c r="AE440" s="170"/>
    </row>
    <row r="441" spans="15:31" ht="14.25" customHeight="1" x14ac:dyDescent="0.35"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  <c r="AB441" s="170"/>
      <c r="AC441" s="170"/>
      <c r="AD441" s="170"/>
      <c r="AE441" s="170"/>
    </row>
    <row r="442" spans="15:31" ht="14.25" customHeight="1" x14ac:dyDescent="0.35"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  <c r="AB442" s="170"/>
      <c r="AC442" s="170"/>
      <c r="AD442" s="170"/>
      <c r="AE442" s="170"/>
    </row>
    <row r="443" spans="15:31" ht="14.25" customHeight="1" x14ac:dyDescent="0.35"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  <c r="AB443" s="170"/>
      <c r="AC443" s="170"/>
      <c r="AD443" s="170"/>
      <c r="AE443" s="170"/>
    </row>
    <row r="444" spans="15:31" ht="14.25" customHeight="1" x14ac:dyDescent="0.35"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  <c r="AB444" s="170"/>
      <c r="AC444" s="170"/>
      <c r="AD444" s="170"/>
      <c r="AE444" s="170"/>
    </row>
    <row r="445" spans="15:31" ht="14.25" customHeight="1" x14ac:dyDescent="0.35"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  <c r="AB445" s="170"/>
      <c r="AC445" s="170"/>
      <c r="AD445" s="170"/>
      <c r="AE445" s="170"/>
    </row>
    <row r="446" spans="15:31" ht="14.25" customHeight="1" x14ac:dyDescent="0.35"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  <c r="AB446" s="170"/>
      <c r="AC446" s="170"/>
      <c r="AD446" s="170"/>
      <c r="AE446" s="170"/>
    </row>
    <row r="447" spans="15:31" ht="14.25" customHeight="1" x14ac:dyDescent="0.35"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  <c r="AB447" s="170"/>
      <c r="AC447" s="170"/>
      <c r="AD447" s="170"/>
      <c r="AE447" s="170"/>
    </row>
    <row r="448" spans="15:31" ht="14.25" customHeight="1" x14ac:dyDescent="0.35"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  <c r="AB448" s="170"/>
      <c r="AC448" s="170"/>
      <c r="AD448" s="170"/>
      <c r="AE448" s="170"/>
    </row>
    <row r="449" spans="15:31" ht="14.25" customHeight="1" x14ac:dyDescent="0.35"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  <c r="AB449" s="170"/>
      <c r="AC449" s="170"/>
      <c r="AD449" s="170"/>
      <c r="AE449" s="170"/>
    </row>
    <row r="450" spans="15:31" ht="14.25" customHeight="1" x14ac:dyDescent="0.35"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  <c r="AB450" s="170"/>
      <c r="AC450" s="170"/>
      <c r="AD450" s="170"/>
      <c r="AE450" s="170"/>
    </row>
    <row r="451" spans="15:31" ht="14.25" customHeight="1" x14ac:dyDescent="0.35"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  <c r="AB451" s="170"/>
      <c r="AC451" s="170"/>
      <c r="AD451" s="170"/>
      <c r="AE451" s="170"/>
    </row>
    <row r="452" spans="15:31" ht="14.25" customHeight="1" x14ac:dyDescent="0.35"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  <c r="AB452" s="170"/>
      <c r="AC452" s="170"/>
      <c r="AD452" s="170"/>
      <c r="AE452" s="170"/>
    </row>
    <row r="453" spans="15:31" ht="14.25" customHeight="1" x14ac:dyDescent="0.35"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  <c r="AB453" s="170"/>
      <c r="AC453" s="170"/>
      <c r="AD453" s="170"/>
      <c r="AE453" s="170"/>
    </row>
    <row r="454" spans="15:31" ht="14.25" customHeight="1" x14ac:dyDescent="0.35"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  <c r="AB454" s="170"/>
      <c r="AC454" s="170"/>
      <c r="AD454" s="170"/>
      <c r="AE454" s="170"/>
    </row>
    <row r="455" spans="15:31" ht="14.25" customHeight="1" x14ac:dyDescent="0.35"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  <c r="AB455" s="170"/>
      <c r="AC455" s="170"/>
      <c r="AD455" s="170"/>
      <c r="AE455" s="170"/>
    </row>
    <row r="456" spans="15:31" ht="14.25" customHeight="1" x14ac:dyDescent="0.35"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  <c r="AB456" s="170"/>
      <c r="AC456" s="170"/>
      <c r="AD456" s="170"/>
      <c r="AE456" s="170"/>
    </row>
    <row r="457" spans="15:31" ht="14.25" customHeight="1" x14ac:dyDescent="0.35"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  <c r="AB457" s="170"/>
      <c r="AC457" s="170"/>
      <c r="AD457" s="170"/>
      <c r="AE457" s="170"/>
    </row>
    <row r="458" spans="15:31" ht="14.25" customHeight="1" x14ac:dyDescent="0.35"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  <c r="AB458" s="170"/>
      <c r="AC458" s="170"/>
      <c r="AD458" s="170"/>
      <c r="AE458" s="170"/>
    </row>
    <row r="459" spans="15:31" ht="14.25" customHeight="1" x14ac:dyDescent="0.35"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  <c r="AB459" s="170"/>
      <c r="AC459" s="170"/>
      <c r="AD459" s="170"/>
      <c r="AE459" s="170"/>
    </row>
    <row r="460" spans="15:31" ht="14.25" customHeight="1" x14ac:dyDescent="0.35"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  <c r="AB460" s="170"/>
      <c r="AC460" s="170"/>
      <c r="AD460" s="170"/>
      <c r="AE460" s="170"/>
    </row>
    <row r="461" spans="15:31" ht="14.25" customHeight="1" x14ac:dyDescent="0.35"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  <c r="AB461" s="170"/>
      <c r="AC461" s="170"/>
      <c r="AD461" s="170"/>
      <c r="AE461" s="170"/>
    </row>
    <row r="462" spans="15:31" ht="14.25" customHeight="1" x14ac:dyDescent="0.35"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  <c r="AB462" s="170"/>
      <c r="AC462" s="170"/>
      <c r="AD462" s="170"/>
      <c r="AE462" s="170"/>
    </row>
    <row r="463" spans="15:31" ht="14.25" customHeight="1" x14ac:dyDescent="0.35"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  <c r="AB463" s="170"/>
      <c r="AC463" s="170"/>
      <c r="AD463" s="170"/>
      <c r="AE463" s="170"/>
    </row>
    <row r="464" spans="15:31" ht="14.25" customHeight="1" x14ac:dyDescent="0.35"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  <c r="AB464" s="170"/>
      <c r="AC464" s="170"/>
      <c r="AD464" s="170"/>
      <c r="AE464" s="170"/>
    </row>
    <row r="465" spans="15:31" ht="14.25" customHeight="1" x14ac:dyDescent="0.35"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  <c r="AC465" s="170"/>
      <c r="AD465" s="170"/>
      <c r="AE465" s="170"/>
    </row>
    <row r="466" spans="15:31" ht="14.25" customHeight="1" x14ac:dyDescent="0.35"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  <c r="AB466" s="170"/>
      <c r="AC466" s="170"/>
      <c r="AD466" s="170"/>
      <c r="AE466" s="170"/>
    </row>
    <row r="467" spans="15:31" ht="14.25" customHeight="1" x14ac:dyDescent="0.35"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  <c r="AB467" s="170"/>
      <c r="AC467" s="170"/>
      <c r="AD467" s="170"/>
      <c r="AE467" s="170"/>
    </row>
    <row r="468" spans="15:31" ht="14.25" customHeight="1" x14ac:dyDescent="0.35"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  <c r="AB468" s="170"/>
      <c r="AC468" s="170"/>
      <c r="AD468" s="170"/>
      <c r="AE468" s="170"/>
    </row>
    <row r="469" spans="15:31" ht="14.25" customHeight="1" x14ac:dyDescent="0.35"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  <c r="AB469" s="170"/>
      <c r="AC469" s="170"/>
      <c r="AD469" s="170"/>
      <c r="AE469" s="170"/>
    </row>
    <row r="470" spans="15:31" ht="14.25" customHeight="1" x14ac:dyDescent="0.35"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  <c r="AB470" s="170"/>
      <c r="AC470" s="170"/>
      <c r="AD470" s="170"/>
      <c r="AE470" s="170"/>
    </row>
    <row r="471" spans="15:31" ht="14.25" customHeight="1" x14ac:dyDescent="0.35"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  <c r="AB471" s="170"/>
      <c r="AC471" s="170"/>
      <c r="AD471" s="170"/>
      <c r="AE471" s="170"/>
    </row>
    <row r="472" spans="15:31" ht="14.25" customHeight="1" x14ac:dyDescent="0.35"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  <c r="AB472" s="170"/>
      <c r="AC472" s="170"/>
      <c r="AD472" s="170"/>
      <c r="AE472" s="170"/>
    </row>
    <row r="473" spans="15:31" ht="14.25" customHeight="1" x14ac:dyDescent="0.35"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  <c r="AB473" s="170"/>
      <c r="AC473" s="170"/>
      <c r="AD473" s="170"/>
      <c r="AE473" s="170"/>
    </row>
    <row r="474" spans="15:31" ht="14.25" customHeight="1" x14ac:dyDescent="0.35"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</row>
    <row r="475" spans="15:31" ht="14.25" customHeight="1" x14ac:dyDescent="0.35"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  <c r="AB475" s="170"/>
      <c r="AC475" s="170"/>
      <c r="AD475" s="170"/>
      <c r="AE475" s="170"/>
    </row>
    <row r="476" spans="15:31" ht="14.25" customHeight="1" x14ac:dyDescent="0.35"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</row>
    <row r="477" spans="15:31" ht="14.25" customHeight="1" x14ac:dyDescent="0.35"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  <c r="AC477" s="170"/>
      <c r="AD477" s="170"/>
      <c r="AE477" s="170"/>
    </row>
    <row r="478" spans="15:31" ht="14.25" customHeight="1" x14ac:dyDescent="0.35"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  <c r="AC478" s="170"/>
      <c r="AD478" s="170"/>
      <c r="AE478" s="170"/>
    </row>
    <row r="479" spans="15:31" ht="14.25" customHeight="1" x14ac:dyDescent="0.35"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  <c r="AC479" s="170"/>
      <c r="AD479" s="170"/>
      <c r="AE479" s="170"/>
    </row>
    <row r="480" spans="15:31" ht="14.25" customHeight="1" x14ac:dyDescent="0.35"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  <c r="AC480" s="170"/>
      <c r="AD480" s="170"/>
      <c r="AE480" s="170"/>
    </row>
    <row r="481" spans="15:31" ht="14.25" customHeight="1" x14ac:dyDescent="0.35"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  <c r="AC481" s="170"/>
      <c r="AD481" s="170"/>
      <c r="AE481" s="170"/>
    </row>
    <row r="482" spans="15:31" ht="14.25" customHeight="1" x14ac:dyDescent="0.35"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  <c r="AC482" s="170"/>
      <c r="AD482" s="170"/>
      <c r="AE482" s="170"/>
    </row>
    <row r="483" spans="15:31" ht="14.25" customHeight="1" x14ac:dyDescent="0.35"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  <c r="AC483" s="170"/>
      <c r="AD483" s="170"/>
      <c r="AE483" s="170"/>
    </row>
    <row r="484" spans="15:31" ht="14.25" customHeight="1" x14ac:dyDescent="0.35"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  <c r="AC484" s="170"/>
      <c r="AD484" s="170"/>
      <c r="AE484" s="170"/>
    </row>
    <row r="485" spans="15:31" ht="14.25" customHeight="1" x14ac:dyDescent="0.35"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  <c r="AC485" s="170"/>
      <c r="AD485" s="170"/>
      <c r="AE485" s="170"/>
    </row>
    <row r="486" spans="15:31" ht="14.25" customHeight="1" x14ac:dyDescent="0.35"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  <c r="AC486" s="170"/>
      <c r="AD486" s="170"/>
      <c r="AE486" s="170"/>
    </row>
    <row r="487" spans="15:31" ht="14.25" customHeight="1" x14ac:dyDescent="0.35"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  <c r="AC487" s="170"/>
      <c r="AD487" s="170"/>
      <c r="AE487" s="170"/>
    </row>
    <row r="488" spans="15:31" ht="14.25" customHeight="1" x14ac:dyDescent="0.35"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  <c r="AB488" s="170"/>
      <c r="AC488" s="170"/>
      <c r="AD488" s="170"/>
      <c r="AE488" s="170"/>
    </row>
    <row r="489" spans="15:31" ht="14.25" customHeight="1" x14ac:dyDescent="0.35"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  <c r="AB489" s="170"/>
      <c r="AC489" s="170"/>
      <c r="AD489" s="170"/>
      <c r="AE489" s="170"/>
    </row>
    <row r="490" spans="15:31" ht="14.25" customHeight="1" x14ac:dyDescent="0.35"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  <c r="AB490" s="170"/>
      <c r="AC490" s="170"/>
      <c r="AD490" s="170"/>
      <c r="AE490" s="170"/>
    </row>
    <row r="491" spans="15:31" ht="14.25" customHeight="1" x14ac:dyDescent="0.35"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  <c r="AB491" s="170"/>
      <c r="AC491" s="170"/>
      <c r="AD491" s="170"/>
      <c r="AE491" s="170"/>
    </row>
    <row r="492" spans="15:31" ht="14.25" customHeight="1" x14ac:dyDescent="0.35"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  <c r="AB492" s="170"/>
      <c r="AC492" s="170"/>
      <c r="AD492" s="170"/>
      <c r="AE492" s="170"/>
    </row>
    <row r="493" spans="15:31" ht="14.25" customHeight="1" x14ac:dyDescent="0.35"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  <c r="AC493" s="170"/>
      <c r="AD493" s="170"/>
      <c r="AE493" s="170"/>
    </row>
    <row r="494" spans="15:31" ht="14.25" customHeight="1" x14ac:dyDescent="0.35"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  <c r="AB494" s="170"/>
      <c r="AC494" s="170"/>
      <c r="AD494" s="170"/>
      <c r="AE494" s="170"/>
    </row>
    <row r="495" spans="15:31" ht="14.25" customHeight="1" x14ac:dyDescent="0.35"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  <c r="AB495" s="170"/>
      <c r="AC495" s="170"/>
      <c r="AD495" s="170"/>
      <c r="AE495" s="170"/>
    </row>
    <row r="496" spans="15:31" ht="14.25" customHeight="1" x14ac:dyDescent="0.35"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  <c r="AB496" s="170"/>
      <c r="AC496" s="170"/>
      <c r="AD496" s="170"/>
      <c r="AE496" s="170"/>
    </row>
    <row r="497" spans="15:31" ht="14.25" customHeight="1" x14ac:dyDescent="0.35"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</row>
    <row r="498" spans="15:31" ht="14.25" customHeight="1" x14ac:dyDescent="0.35"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  <c r="AB498" s="170"/>
      <c r="AC498" s="170"/>
      <c r="AD498" s="170"/>
      <c r="AE498" s="170"/>
    </row>
    <row r="499" spans="15:31" ht="14.25" customHeight="1" x14ac:dyDescent="0.35"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  <c r="AB499" s="170"/>
      <c r="AC499" s="170"/>
      <c r="AD499" s="170"/>
      <c r="AE499" s="170"/>
    </row>
    <row r="500" spans="15:31" ht="14.25" customHeight="1" x14ac:dyDescent="0.35"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  <c r="AB500" s="170"/>
      <c r="AC500" s="170"/>
      <c r="AD500" s="170"/>
      <c r="AE500" s="170"/>
    </row>
    <row r="501" spans="15:31" ht="14.25" customHeight="1" x14ac:dyDescent="0.35"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  <c r="AB501" s="170"/>
      <c r="AC501" s="170"/>
      <c r="AD501" s="170"/>
      <c r="AE501" s="170"/>
    </row>
    <row r="502" spans="15:31" ht="14.25" customHeight="1" x14ac:dyDescent="0.35"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  <c r="AB502" s="170"/>
      <c r="AC502" s="170"/>
      <c r="AD502" s="170"/>
      <c r="AE502" s="170"/>
    </row>
    <row r="503" spans="15:31" ht="14.25" customHeight="1" x14ac:dyDescent="0.35"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  <c r="AB503" s="170"/>
      <c r="AC503" s="170"/>
      <c r="AD503" s="170"/>
      <c r="AE503" s="170"/>
    </row>
    <row r="504" spans="15:31" ht="14.25" customHeight="1" x14ac:dyDescent="0.35"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  <c r="AB504" s="170"/>
      <c r="AC504" s="170"/>
      <c r="AD504" s="170"/>
      <c r="AE504" s="170"/>
    </row>
    <row r="505" spans="15:31" ht="14.25" customHeight="1" x14ac:dyDescent="0.35"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  <c r="AB505" s="170"/>
      <c r="AC505" s="170"/>
      <c r="AD505" s="170"/>
      <c r="AE505" s="170"/>
    </row>
    <row r="506" spans="15:31" ht="14.25" customHeight="1" x14ac:dyDescent="0.35"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  <c r="AB506" s="170"/>
      <c r="AC506" s="170"/>
      <c r="AD506" s="170"/>
      <c r="AE506" s="170"/>
    </row>
    <row r="507" spans="15:31" ht="14.25" customHeight="1" x14ac:dyDescent="0.35"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  <c r="AB507" s="170"/>
      <c r="AC507" s="170"/>
      <c r="AD507" s="170"/>
      <c r="AE507" s="170"/>
    </row>
    <row r="508" spans="15:31" ht="14.25" customHeight="1" x14ac:dyDescent="0.35"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  <c r="AB508" s="170"/>
      <c r="AC508" s="170"/>
      <c r="AD508" s="170"/>
      <c r="AE508" s="170"/>
    </row>
    <row r="509" spans="15:31" ht="14.25" customHeight="1" x14ac:dyDescent="0.35"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  <c r="AB509" s="170"/>
      <c r="AC509" s="170"/>
      <c r="AD509" s="170"/>
      <c r="AE509" s="170"/>
    </row>
    <row r="510" spans="15:31" ht="14.25" customHeight="1" x14ac:dyDescent="0.35"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  <c r="AB510" s="170"/>
      <c r="AC510" s="170"/>
      <c r="AD510" s="170"/>
      <c r="AE510" s="170"/>
    </row>
    <row r="511" spans="15:31" ht="14.25" customHeight="1" x14ac:dyDescent="0.35"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  <c r="AB511" s="170"/>
      <c r="AC511" s="170"/>
      <c r="AD511" s="170"/>
      <c r="AE511" s="170"/>
    </row>
    <row r="512" spans="15:31" ht="14.25" customHeight="1" x14ac:dyDescent="0.35"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  <c r="AC512" s="170"/>
      <c r="AD512" s="170"/>
      <c r="AE512" s="170"/>
    </row>
    <row r="513" spans="15:31" ht="14.25" customHeight="1" x14ac:dyDescent="0.35"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  <c r="AC513" s="170"/>
      <c r="AD513" s="170"/>
      <c r="AE513" s="170"/>
    </row>
    <row r="514" spans="15:31" ht="14.25" customHeight="1" x14ac:dyDescent="0.35"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  <c r="AB514" s="170"/>
      <c r="AC514" s="170"/>
      <c r="AD514" s="170"/>
      <c r="AE514" s="170"/>
    </row>
    <row r="515" spans="15:31" ht="14.25" customHeight="1" x14ac:dyDescent="0.35"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  <c r="AB515" s="170"/>
      <c r="AC515" s="170"/>
      <c r="AD515" s="170"/>
      <c r="AE515" s="170"/>
    </row>
    <row r="516" spans="15:31" ht="14.25" customHeight="1" x14ac:dyDescent="0.35"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  <c r="AB516" s="170"/>
      <c r="AC516" s="170"/>
      <c r="AD516" s="170"/>
      <c r="AE516" s="170"/>
    </row>
    <row r="517" spans="15:31" ht="14.25" customHeight="1" x14ac:dyDescent="0.35"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  <c r="AB517" s="170"/>
      <c r="AC517" s="170"/>
      <c r="AD517" s="170"/>
      <c r="AE517" s="170"/>
    </row>
    <row r="518" spans="15:31" ht="14.25" customHeight="1" x14ac:dyDescent="0.35"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0"/>
      <c r="AC518" s="170"/>
      <c r="AD518" s="170"/>
      <c r="AE518" s="170"/>
    </row>
    <row r="519" spans="15:31" ht="14.25" customHeight="1" x14ac:dyDescent="0.35"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  <c r="AB519" s="170"/>
      <c r="AC519" s="170"/>
      <c r="AD519" s="170"/>
      <c r="AE519" s="170"/>
    </row>
    <row r="520" spans="15:31" ht="14.25" customHeight="1" x14ac:dyDescent="0.35"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  <c r="AB520" s="170"/>
      <c r="AC520" s="170"/>
      <c r="AD520" s="170"/>
      <c r="AE520" s="170"/>
    </row>
    <row r="521" spans="15:31" ht="14.25" customHeight="1" x14ac:dyDescent="0.35"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  <c r="AB521" s="170"/>
      <c r="AC521" s="170"/>
      <c r="AD521" s="170"/>
      <c r="AE521" s="170"/>
    </row>
    <row r="522" spans="15:31" ht="14.25" customHeight="1" x14ac:dyDescent="0.35"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  <c r="AB522" s="170"/>
      <c r="AC522" s="170"/>
      <c r="AD522" s="170"/>
      <c r="AE522" s="170"/>
    </row>
    <row r="523" spans="15:31" ht="14.25" customHeight="1" x14ac:dyDescent="0.35"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  <c r="AB523" s="170"/>
      <c r="AC523" s="170"/>
      <c r="AD523" s="170"/>
      <c r="AE523" s="170"/>
    </row>
    <row r="524" spans="15:31" ht="14.25" customHeight="1" x14ac:dyDescent="0.35"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  <c r="AC524" s="170"/>
      <c r="AD524" s="170"/>
      <c r="AE524" s="170"/>
    </row>
    <row r="525" spans="15:31" ht="14.25" customHeight="1" x14ac:dyDescent="0.35"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  <c r="AB525" s="170"/>
      <c r="AC525" s="170"/>
      <c r="AD525" s="170"/>
      <c r="AE525" s="170"/>
    </row>
    <row r="526" spans="15:31" ht="14.25" customHeight="1" x14ac:dyDescent="0.35"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  <c r="AC526" s="170"/>
      <c r="AD526" s="170"/>
      <c r="AE526" s="170"/>
    </row>
    <row r="527" spans="15:31" ht="14.25" customHeight="1" x14ac:dyDescent="0.35"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  <c r="AB527" s="170"/>
      <c r="AC527" s="170"/>
      <c r="AD527" s="170"/>
      <c r="AE527" s="170"/>
    </row>
    <row r="528" spans="15:31" ht="14.25" customHeight="1" x14ac:dyDescent="0.35"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  <c r="AB528" s="170"/>
      <c r="AC528" s="170"/>
      <c r="AD528" s="170"/>
      <c r="AE528" s="170"/>
    </row>
    <row r="529" spans="15:31" ht="14.25" customHeight="1" x14ac:dyDescent="0.35"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  <c r="AB529" s="170"/>
      <c r="AC529" s="170"/>
      <c r="AD529" s="170"/>
      <c r="AE529" s="170"/>
    </row>
    <row r="530" spans="15:31" ht="14.25" customHeight="1" x14ac:dyDescent="0.35"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  <c r="AB530" s="170"/>
      <c r="AC530" s="170"/>
      <c r="AD530" s="170"/>
      <c r="AE530" s="170"/>
    </row>
    <row r="531" spans="15:31" ht="14.25" customHeight="1" x14ac:dyDescent="0.35"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  <c r="AB531" s="170"/>
      <c r="AC531" s="170"/>
      <c r="AD531" s="170"/>
      <c r="AE531" s="170"/>
    </row>
    <row r="532" spans="15:31" ht="14.25" customHeight="1" x14ac:dyDescent="0.35"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  <c r="AB532" s="170"/>
      <c r="AC532" s="170"/>
      <c r="AD532" s="170"/>
      <c r="AE532" s="170"/>
    </row>
    <row r="533" spans="15:31" ht="14.25" customHeight="1" x14ac:dyDescent="0.35"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  <c r="AB533" s="170"/>
      <c r="AC533" s="170"/>
      <c r="AD533" s="170"/>
      <c r="AE533" s="170"/>
    </row>
    <row r="534" spans="15:31" ht="14.25" customHeight="1" x14ac:dyDescent="0.35"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  <c r="AB534" s="170"/>
      <c r="AC534" s="170"/>
      <c r="AD534" s="170"/>
      <c r="AE534" s="170"/>
    </row>
    <row r="535" spans="15:31" ht="14.25" customHeight="1" x14ac:dyDescent="0.35"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  <c r="AB535" s="170"/>
      <c r="AC535" s="170"/>
      <c r="AD535" s="170"/>
      <c r="AE535" s="170"/>
    </row>
    <row r="536" spans="15:31" ht="14.25" customHeight="1" x14ac:dyDescent="0.35"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  <c r="AB536" s="170"/>
      <c r="AC536" s="170"/>
      <c r="AD536" s="170"/>
      <c r="AE536" s="170"/>
    </row>
    <row r="537" spans="15:31" ht="14.25" customHeight="1" x14ac:dyDescent="0.35"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  <c r="AB537" s="170"/>
      <c r="AC537" s="170"/>
      <c r="AD537" s="170"/>
      <c r="AE537" s="170"/>
    </row>
    <row r="538" spans="15:31" ht="14.25" customHeight="1" x14ac:dyDescent="0.35"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  <c r="AB538" s="170"/>
      <c r="AC538" s="170"/>
      <c r="AD538" s="170"/>
      <c r="AE538" s="170"/>
    </row>
    <row r="539" spans="15:31" ht="14.25" customHeight="1" x14ac:dyDescent="0.35"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  <c r="AB539" s="170"/>
      <c r="AC539" s="170"/>
      <c r="AD539" s="170"/>
      <c r="AE539" s="170"/>
    </row>
    <row r="540" spans="15:31" ht="14.25" customHeight="1" x14ac:dyDescent="0.35"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  <c r="AB540" s="170"/>
      <c r="AC540" s="170"/>
      <c r="AD540" s="170"/>
      <c r="AE540" s="170"/>
    </row>
    <row r="541" spans="15:31" ht="14.25" customHeight="1" x14ac:dyDescent="0.35"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  <c r="AC541" s="170"/>
      <c r="AD541" s="170"/>
      <c r="AE541" s="170"/>
    </row>
    <row r="542" spans="15:31" ht="14.25" customHeight="1" x14ac:dyDescent="0.35"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  <c r="AB542" s="170"/>
      <c r="AC542" s="170"/>
      <c r="AD542" s="170"/>
      <c r="AE542" s="170"/>
    </row>
    <row r="543" spans="15:31" ht="14.25" customHeight="1" x14ac:dyDescent="0.35"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  <c r="AB543" s="170"/>
      <c r="AC543" s="170"/>
      <c r="AD543" s="170"/>
      <c r="AE543" s="170"/>
    </row>
    <row r="544" spans="15:31" ht="14.25" customHeight="1" x14ac:dyDescent="0.35"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  <c r="AB544" s="170"/>
      <c r="AC544" s="170"/>
      <c r="AD544" s="170"/>
      <c r="AE544" s="170"/>
    </row>
    <row r="545" spans="15:31" ht="14.25" customHeight="1" x14ac:dyDescent="0.35"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</row>
    <row r="546" spans="15:31" ht="14.25" customHeight="1" x14ac:dyDescent="0.35"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  <c r="AB546" s="170"/>
      <c r="AC546" s="170"/>
      <c r="AD546" s="170"/>
      <c r="AE546" s="170"/>
    </row>
    <row r="547" spans="15:31" ht="14.25" customHeight="1" x14ac:dyDescent="0.35"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</row>
    <row r="548" spans="15:31" ht="14.25" customHeight="1" x14ac:dyDescent="0.35"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  <c r="AB548" s="170"/>
      <c r="AC548" s="170"/>
      <c r="AD548" s="170"/>
      <c r="AE548" s="170"/>
    </row>
    <row r="549" spans="15:31" ht="14.25" customHeight="1" x14ac:dyDescent="0.35"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  <c r="AB549" s="170"/>
      <c r="AC549" s="170"/>
      <c r="AD549" s="170"/>
      <c r="AE549" s="170"/>
    </row>
    <row r="550" spans="15:31" ht="14.25" customHeight="1" x14ac:dyDescent="0.35"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  <c r="AB550" s="170"/>
      <c r="AC550" s="170"/>
      <c r="AD550" s="170"/>
      <c r="AE550" s="170"/>
    </row>
    <row r="551" spans="15:31" ht="14.25" customHeight="1" x14ac:dyDescent="0.35"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  <c r="AB551" s="170"/>
      <c r="AC551" s="170"/>
      <c r="AD551" s="170"/>
      <c r="AE551" s="170"/>
    </row>
    <row r="552" spans="15:31" ht="14.25" customHeight="1" x14ac:dyDescent="0.35"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  <c r="AB552" s="170"/>
      <c r="AC552" s="170"/>
      <c r="AD552" s="170"/>
      <c r="AE552" s="170"/>
    </row>
    <row r="553" spans="15:31" ht="14.25" customHeight="1" x14ac:dyDescent="0.35"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  <c r="AB553" s="170"/>
      <c r="AC553" s="170"/>
      <c r="AD553" s="170"/>
      <c r="AE553" s="170"/>
    </row>
    <row r="554" spans="15:31" ht="14.25" customHeight="1" x14ac:dyDescent="0.35"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  <c r="AB554" s="170"/>
      <c r="AC554" s="170"/>
      <c r="AD554" s="170"/>
      <c r="AE554" s="170"/>
    </row>
    <row r="555" spans="15:31" ht="14.25" customHeight="1" x14ac:dyDescent="0.35"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  <c r="AB555" s="170"/>
      <c r="AC555" s="170"/>
      <c r="AD555" s="170"/>
      <c r="AE555" s="170"/>
    </row>
    <row r="556" spans="15:31" ht="14.25" customHeight="1" x14ac:dyDescent="0.35"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  <c r="AB556" s="170"/>
      <c r="AC556" s="170"/>
      <c r="AD556" s="170"/>
      <c r="AE556" s="170"/>
    </row>
    <row r="557" spans="15:31" ht="14.25" customHeight="1" x14ac:dyDescent="0.35"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  <c r="AB557" s="170"/>
      <c r="AC557" s="170"/>
      <c r="AD557" s="170"/>
      <c r="AE557" s="170"/>
    </row>
    <row r="558" spans="15:31" ht="14.25" customHeight="1" x14ac:dyDescent="0.35"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  <c r="AB558" s="170"/>
      <c r="AC558" s="170"/>
      <c r="AD558" s="170"/>
      <c r="AE558" s="170"/>
    </row>
    <row r="559" spans="15:31" ht="14.25" customHeight="1" x14ac:dyDescent="0.35"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  <c r="AB559" s="170"/>
      <c r="AC559" s="170"/>
      <c r="AD559" s="170"/>
      <c r="AE559" s="170"/>
    </row>
    <row r="560" spans="15:31" ht="14.25" customHeight="1" x14ac:dyDescent="0.35"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  <c r="AB560" s="170"/>
      <c r="AC560" s="170"/>
      <c r="AD560" s="170"/>
      <c r="AE560" s="170"/>
    </row>
    <row r="561" spans="15:31" ht="14.25" customHeight="1" x14ac:dyDescent="0.35"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  <c r="AB561" s="170"/>
      <c r="AC561" s="170"/>
      <c r="AD561" s="170"/>
      <c r="AE561" s="170"/>
    </row>
    <row r="562" spans="15:31" ht="14.25" customHeight="1" x14ac:dyDescent="0.35"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  <c r="AB562" s="170"/>
      <c r="AC562" s="170"/>
      <c r="AD562" s="170"/>
      <c r="AE562" s="170"/>
    </row>
    <row r="563" spans="15:31" ht="14.25" customHeight="1" x14ac:dyDescent="0.35"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  <c r="AB563" s="170"/>
      <c r="AC563" s="170"/>
      <c r="AD563" s="170"/>
      <c r="AE563" s="170"/>
    </row>
    <row r="564" spans="15:31" ht="14.25" customHeight="1" x14ac:dyDescent="0.35"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  <c r="AB564" s="170"/>
      <c r="AC564" s="170"/>
      <c r="AD564" s="170"/>
      <c r="AE564" s="170"/>
    </row>
    <row r="565" spans="15:31" ht="14.25" customHeight="1" x14ac:dyDescent="0.35"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  <c r="AB565" s="170"/>
      <c r="AC565" s="170"/>
      <c r="AD565" s="170"/>
      <c r="AE565" s="170"/>
    </row>
    <row r="566" spans="15:31" ht="14.25" customHeight="1" x14ac:dyDescent="0.35"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  <c r="AB566" s="170"/>
      <c r="AC566" s="170"/>
      <c r="AD566" s="170"/>
      <c r="AE566" s="170"/>
    </row>
    <row r="567" spans="15:31" ht="14.25" customHeight="1" x14ac:dyDescent="0.35"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  <c r="AB567" s="170"/>
      <c r="AC567" s="170"/>
      <c r="AD567" s="170"/>
      <c r="AE567" s="170"/>
    </row>
    <row r="568" spans="15:31" ht="14.25" customHeight="1" x14ac:dyDescent="0.35"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  <c r="AB568" s="170"/>
      <c r="AC568" s="170"/>
      <c r="AD568" s="170"/>
      <c r="AE568" s="170"/>
    </row>
    <row r="569" spans="15:31" ht="14.25" customHeight="1" x14ac:dyDescent="0.35"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  <c r="AB569" s="170"/>
      <c r="AC569" s="170"/>
      <c r="AD569" s="170"/>
      <c r="AE569" s="170"/>
    </row>
    <row r="570" spans="15:31" ht="14.25" customHeight="1" x14ac:dyDescent="0.35"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  <c r="AB570" s="170"/>
      <c r="AC570" s="170"/>
      <c r="AD570" s="170"/>
      <c r="AE570" s="170"/>
    </row>
    <row r="571" spans="15:31" ht="14.25" customHeight="1" x14ac:dyDescent="0.35"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  <c r="AB571" s="170"/>
      <c r="AC571" s="170"/>
      <c r="AD571" s="170"/>
      <c r="AE571" s="170"/>
    </row>
    <row r="572" spans="15:31" ht="14.25" customHeight="1" x14ac:dyDescent="0.35"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  <c r="AB572" s="170"/>
      <c r="AC572" s="170"/>
      <c r="AD572" s="170"/>
      <c r="AE572" s="170"/>
    </row>
    <row r="573" spans="15:31" ht="14.25" customHeight="1" x14ac:dyDescent="0.35"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  <c r="AB573" s="170"/>
      <c r="AC573" s="170"/>
      <c r="AD573" s="170"/>
      <c r="AE573" s="170"/>
    </row>
    <row r="574" spans="15:31" ht="14.25" customHeight="1" x14ac:dyDescent="0.35"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  <c r="AC574" s="170"/>
      <c r="AD574" s="170"/>
      <c r="AE574" s="170"/>
    </row>
    <row r="575" spans="15:31" ht="14.25" customHeight="1" x14ac:dyDescent="0.35"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  <c r="AB575" s="170"/>
      <c r="AC575" s="170"/>
      <c r="AD575" s="170"/>
      <c r="AE575" s="170"/>
    </row>
    <row r="576" spans="15:31" ht="14.25" customHeight="1" x14ac:dyDescent="0.35"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  <c r="AB576" s="170"/>
      <c r="AC576" s="170"/>
      <c r="AD576" s="170"/>
      <c r="AE576" s="170"/>
    </row>
    <row r="577" spans="15:31" ht="14.25" customHeight="1" x14ac:dyDescent="0.35"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  <c r="AB577" s="170"/>
      <c r="AC577" s="170"/>
      <c r="AD577" s="170"/>
      <c r="AE577" s="170"/>
    </row>
    <row r="578" spans="15:31" ht="14.25" customHeight="1" x14ac:dyDescent="0.35"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  <c r="AB578" s="170"/>
      <c r="AC578" s="170"/>
      <c r="AD578" s="170"/>
      <c r="AE578" s="170"/>
    </row>
    <row r="579" spans="15:31" ht="14.25" customHeight="1" x14ac:dyDescent="0.35"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  <c r="AB579" s="170"/>
      <c r="AC579" s="170"/>
      <c r="AD579" s="170"/>
      <c r="AE579" s="170"/>
    </row>
    <row r="580" spans="15:31" ht="14.25" customHeight="1" x14ac:dyDescent="0.35"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  <c r="AB580" s="170"/>
      <c r="AC580" s="170"/>
      <c r="AD580" s="170"/>
      <c r="AE580" s="170"/>
    </row>
    <row r="581" spans="15:31" ht="14.25" customHeight="1" x14ac:dyDescent="0.35"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  <c r="AB581" s="170"/>
      <c r="AC581" s="170"/>
      <c r="AD581" s="170"/>
      <c r="AE581" s="170"/>
    </row>
    <row r="582" spans="15:31" ht="14.25" customHeight="1" x14ac:dyDescent="0.35"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  <c r="AB582" s="170"/>
      <c r="AC582" s="170"/>
      <c r="AD582" s="170"/>
      <c r="AE582" s="170"/>
    </row>
    <row r="583" spans="15:31" ht="14.25" customHeight="1" x14ac:dyDescent="0.35"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  <c r="AB583" s="170"/>
      <c r="AC583" s="170"/>
      <c r="AD583" s="170"/>
      <c r="AE583" s="170"/>
    </row>
    <row r="584" spans="15:31" ht="14.25" customHeight="1" x14ac:dyDescent="0.35"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  <c r="AB584" s="170"/>
      <c r="AC584" s="170"/>
      <c r="AD584" s="170"/>
      <c r="AE584" s="170"/>
    </row>
    <row r="585" spans="15:31" ht="14.25" customHeight="1" x14ac:dyDescent="0.35"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  <c r="AB585" s="170"/>
      <c r="AC585" s="170"/>
      <c r="AD585" s="170"/>
      <c r="AE585" s="170"/>
    </row>
    <row r="586" spans="15:31" ht="14.25" customHeight="1" x14ac:dyDescent="0.35"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  <c r="AC586" s="170"/>
      <c r="AD586" s="170"/>
      <c r="AE586" s="170"/>
    </row>
    <row r="587" spans="15:31" ht="14.25" customHeight="1" x14ac:dyDescent="0.35"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  <c r="AB587" s="170"/>
      <c r="AC587" s="170"/>
      <c r="AD587" s="170"/>
      <c r="AE587" s="170"/>
    </row>
    <row r="588" spans="15:31" ht="14.25" customHeight="1" x14ac:dyDescent="0.35"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  <c r="AB588" s="170"/>
      <c r="AC588" s="170"/>
      <c r="AD588" s="170"/>
      <c r="AE588" s="170"/>
    </row>
    <row r="589" spans="15:31" ht="14.25" customHeight="1" x14ac:dyDescent="0.35"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  <c r="AB589" s="170"/>
      <c r="AC589" s="170"/>
      <c r="AD589" s="170"/>
      <c r="AE589" s="170"/>
    </row>
    <row r="590" spans="15:31" ht="14.25" customHeight="1" x14ac:dyDescent="0.35"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  <c r="AB590" s="170"/>
      <c r="AC590" s="170"/>
      <c r="AD590" s="170"/>
      <c r="AE590" s="170"/>
    </row>
    <row r="591" spans="15:31" ht="14.25" customHeight="1" x14ac:dyDescent="0.35"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  <c r="AB591" s="170"/>
      <c r="AC591" s="170"/>
      <c r="AD591" s="170"/>
      <c r="AE591" s="170"/>
    </row>
    <row r="592" spans="15:31" ht="14.25" customHeight="1" x14ac:dyDescent="0.35"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  <c r="AB592" s="170"/>
      <c r="AC592" s="170"/>
      <c r="AD592" s="170"/>
      <c r="AE592" s="170"/>
    </row>
    <row r="593" spans="15:31" ht="14.25" customHeight="1" x14ac:dyDescent="0.35"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  <c r="AB593" s="170"/>
      <c r="AC593" s="170"/>
      <c r="AD593" s="170"/>
      <c r="AE593" s="170"/>
    </row>
    <row r="594" spans="15:31" ht="14.25" customHeight="1" x14ac:dyDescent="0.35"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  <c r="AB594" s="170"/>
      <c r="AC594" s="170"/>
      <c r="AD594" s="170"/>
      <c r="AE594" s="170"/>
    </row>
    <row r="595" spans="15:31" ht="14.25" customHeight="1" x14ac:dyDescent="0.35"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  <c r="AB595" s="170"/>
      <c r="AC595" s="170"/>
      <c r="AD595" s="170"/>
      <c r="AE595" s="170"/>
    </row>
    <row r="596" spans="15:31" ht="14.25" customHeight="1" x14ac:dyDescent="0.35"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0"/>
      <c r="AC596" s="170"/>
      <c r="AD596" s="170"/>
      <c r="AE596" s="170"/>
    </row>
    <row r="597" spans="15:31" ht="14.25" customHeight="1" x14ac:dyDescent="0.35"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  <c r="AB597" s="170"/>
      <c r="AC597" s="170"/>
      <c r="AD597" s="170"/>
      <c r="AE597" s="170"/>
    </row>
    <row r="598" spans="15:31" ht="14.25" customHeight="1" x14ac:dyDescent="0.35"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  <c r="AB598" s="170"/>
      <c r="AC598" s="170"/>
      <c r="AD598" s="170"/>
      <c r="AE598" s="170"/>
    </row>
    <row r="599" spans="15:31" ht="14.25" customHeight="1" x14ac:dyDescent="0.35"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  <c r="AB599" s="170"/>
      <c r="AC599" s="170"/>
      <c r="AD599" s="170"/>
      <c r="AE599" s="170"/>
    </row>
    <row r="600" spans="15:31" ht="14.25" customHeight="1" x14ac:dyDescent="0.35"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  <c r="AB600" s="170"/>
      <c r="AC600" s="170"/>
      <c r="AD600" s="170"/>
      <c r="AE600" s="170"/>
    </row>
    <row r="601" spans="15:31" ht="14.25" customHeight="1" x14ac:dyDescent="0.35"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  <c r="AC601" s="170"/>
      <c r="AD601" s="170"/>
      <c r="AE601" s="170"/>
    </row>
    <row r="602" spans="15:31" ht="14.25" customHeight="1" x14ac:dyDescent="0.35"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  <c r="AB602" s="170"/>
      <c r="AC602" s="170"/>
      <c r="AD602" s="170"/>
      <c r="AE602" s="170"/>
    </row>
    <row r="603" spans="15:31" ht="14.25" customHeight="1" x14ac:dyDescent="0.35"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  <c r="AB603" s="170"/>
      <c r="AC603" s="170"/>
      <c r="AD603" s="170"/>
      <c r="AE603" s="170"/>
    </row>
    <row r="604" spans="15:31" ht="14.25" customHeight="1" x14ac:dyDescent="0.35"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  <c r="AB604" s="170"/>
      <c r="AC604" s="170"/>
      <c r="AD604" s="170"/>
      <c r="AE604" s="170"/>
    </row>
    <row r="605" spans="15:31" ht="14.25" customHeight="1" x14ac:dyDescent="0.35"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  <c r="AB605" s="170"/>
      <c r="AC605" s="170"/>
      <c r="AD605" s="170"/>
      <c r="AE605" s="170"/>
    </row>
    <row r="606" spans="15:31" ht="14.25" customHeight="1" x14ac:dyDescent="0.35"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  <c r="AB606" s="170"/>
      <c r="AC606" s="170"/>
      <c r="AD606" s="170"/>
      <c r="AE606" s="170"/>
    </row>
    <row r="607" spans="15:31" ht="14.25" customHeight="1" x14ac:dyDescent="0.35"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  <c r="AB607" s="170"/>
      <c r="AC607" s="170"/>
      <c r="AD607" s="170"/>
      <c r="AE607" s="170"/>
    </row>
    <row r="608" spans="15:31" ht="14.25" customHeight="1" x14ac:dyDescent="0.35"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  <c r="AB608" s="170"/>
      <c r="AC608" s="170"/>
      <c r="AD608" s="170"/>
      <c r="AE608" s="170"/>
    </row>
    <row r="609" spans="15:31" ht="14.25" customHeight="1" x14ac:dyDescent="0.35"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  <c r="AB609" s="170"/>
      <c r="AC609" s="170"/>
      <c r="AD609" s="170"/>
      <c r="AE609" s="170"/>
    </row>
    <row r="610" spans="15:31" ht="14.25" customHeight="1" x14ac:dyDescent="0.35"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  <c r="AB610" s="170"/>
      <c r="AC610" s="170"/>
      <c r="AD610" s="170"/>
      <c r="AE610" s="170"/>
    </row>
    <row r="611" spans="15:31" ht="14.25" customHeight="1" x14ac:dyDescent="0.35"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  <c r="AB611" s="170"/>
      <c r="AC611" s="170"/>
      <c r="AD611" s="170"/>
      <c r="AE611" s="170"/>
    </row>
    <row r="612" spans="15:31" ht="14.25" customHeight="1" x14ac:dyDescent="0.35"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  <c r="AB612" s="170"/>
      <c r="AC612" s="170"/>
      <c r="AD612" s="170"/>
      <c r="AE612" s="170"/>
    </row>
    <row r="613" spans="15:31" ht="14.25" customHeight="1" x14ac:dyDescent="0.35"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  <c r="AB613" s="170"/>
      <c r="AC613" s="170"/>
      <c r="AD613" s="170"/>
      <c r="AE613" s="170"/>
    </row>
    <row r="614" spans="15:31" ht="14.25" customHeight="1" x14ac:dyDescent="0.35"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</row>
    <row r="615" spans="15:31" ht="14.25" customHeight="1" x14ac:dyDescent="0.35"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  <c r="AB615" s="170"/>
      <c r="AC615" s="170"/>
      <c r="AD615" s="170"/>
      <c r="AE615" s="170"/>
    </row>
    <row r="616" spans="15:31" ht="14.25" customHeight="1" x14ac:dyDescent="0.35"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</row>
    <row r="617" spans="15:31" ht="14.25" customHeight="1" x14ac:dyDescent="0.35"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  <c r="AB617" s="170"/>
      <c r="AC617" s="170"/>
      <c r="AD617" s="170"/>
      <c r="AE617" s="170"/>
    </row>
    <row r="618" spans="15:31" ht="14.25" customHeight="1" x14ac:dyDescent="0.35"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  <c r="AC618" s="170"/>
      <c r="AD618" s="170"/>
      <c r="AE618" s="170"/>
    </row>
    <row r="619" spans="15:31" ht="14.25" customHeight="1" x14ac:dyDescent="0.35"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  <c r="AB619" s="170"/>
      <c r="AC619" s="170"/>
      <c r="AD619" s="170"/>
      <c r="AE619" s="170"/>
    </row>
    <row r="620" spans="15:31" ht="14.25" customHeight="1" x14ac:dyDescent="0.35"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  <c r="AB620" s="170"/>
      <c r="AC620" s="170"/>
      <c r="AD620" s="170"/>
      <c r="AE620" s="170"/>
    </row>
    <row r="621" spans="15:31" ht="14.25" customHeight="1" x14ac:dyDescent="0.35"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  <c r="AB621" s="170"/>
      <c r="AC621" s="170"/>
      <c r="AD621" s="170"/>
      <c r="AE621" s="170"/>
    </row>
    <row r="622" spans="15:31" ht="14.25" customHeight="1" x14ac:dyDescent="0.35"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  <c r="AB622" s="170"/>
      <c r="AC622" s="170"/>
      <c r="AD622" s="170"/>
      <c r="AE622" s="170"/>
    </row>
    <row r="623" spans="15:31" ht="14.25" customHeight="1" x14ac:dyDescent="0.35"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  <c r="AB623" s="170"/>
      <c r="AC623" s="170"/>
      <c r="AD623" s="170"/>
      <c r="AE623" s="170"/>
    </row>
    <row r="624" spans="15:31" ht="14.25" customHeight="1" x14ac:dyDescent="0.35"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  <c r="AB624" s="170"/>
      <c r="AC624" s="170"/>
      <c r="AD624" s="170"/>
      <c r="AE624" s="170"/>
    </row>
    <row r="625" spans="15:31" ht="14.25" customHeight="1" x14ac:dyDescent="0.35"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  <c r="AB625" s="170"/>
      <c r="AC625" s="170"/>
      <c r="AD625" s="170"/>
      <c r="AE625" s="170"/>
    </row>
    <row r="626" spans="15:31" ht="14.25" customHeight="1" x14ac:dyDescent="0.35"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  <c r="AB626" s="170"/>
      <c r="AC626" s="170"/>
      <c r="AD626" s="170"/>
      <c r="AE626" s="170"/>
    </row>
    <row r="627" spans="15:31" ht="14.25" customHeight="1" x14ac:dyDescent="0.35"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  <c r="AB627" s="170"/>
      <c r="AC627" s="170"/>
      <c r="AD627" s="170"/>
      <c r="AE627" s="170"/>
    </row>
    <row r="628" spans="15:31" ht="14.25" customHeight="1" x14ac:dyDescent="0.35"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  <c r="AB628" s="170"/>
      <c r="AC628" s="170"/>
      <c r="AD628" s="170"/>
      <c r="AE628" s="170"/>
    </row>
    <row r="629" spans="15:31" ht="14.25" customHeight="1" x14ac:dyDescent="0.35"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  <c r="AB629" s="170"/>
      <c r="AC629" s="170"/>
      <c r="AD629" s="170"/>
      <c r="AE629" s="170"/>
    </row>
    <row r="630" spans="15:31" ht="14.25" customHeight="1" x14ac:dyDescent="0.35"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  <c r="AB630" s="170"/>
      <c r="AC630" s="170"/>
      <c r="AD630" s="170"/>
      <c r="AE630" s="170"/>
    </row>
    <row r="631" spans="15:31" ht="14.25" customHeight="1" x14ac:dyDescent="0.35"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  <c r="AB631" s="170"/>
      <c r="AC631" s="170"/>
      <c r="AD631" s="170"/>
      <c r="AE631" s="170"/>
    </row>
    <row r="632" spans="15:31" ht="14.25" customHeight="1" x14ac:dyDescent="0.35"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  <c r="AB632" s="170"/>
      <c r="AC632" s="170"/>
      <c r="AD632" s="170"/>
      <c r="AE632" s="170"/>
    </row>
    <row r="633" spans="15:31" ht="14.25" customHeight="1" x14ac:dyDescent="0.35"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  <c r="AB633" s="170"/>
      <c r="AC633" s="170"/>
      <c r="AD633" s="170"/>
      <c r="AE633" s="170"/>
    </row>
    <row r="634" spans="15:31" ht="14.25" customHeight="1" x14ac:dyDescent="0.35"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  <c r="AB634" s="170"/>
      <c r="AC634" s="170"/>
      <c r="AD634" s="170"/>
      <c r="AE634" s="170"/>
    </row>
    <row r="635" spans="15:31" ht="14.25" customHeight="1" x14ac:dyDescent="0.35"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  <c r="AB635" s="170"/>
      <c r="AC635" s="170"/>
      <c r="AD635" s="170"/>
      <c r="AE635" s="170"/>
    </row>
    <row r="636" spans="15:31" ht="14.25" customHeight="1" x14ac:dyDescent="0.35"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  <c r="AB636" s="170"/>
      <c r="AC636" s="170"/>
      <c r="AD636" s="170"/>
      <c r="AE636" s="170"/>
    </row>
    <row r="637" spans="15:31" ht="14.25" customHeight="1" x14ac:dyDescent="0.35"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  <c r="AB637" s="170"/>
      <c r="AC637" s="170"/>
      <c r="AD637" s="170"/>
      <c r="AE637" s="170"/>
    </row>
    <row r="638" spans="15:31" ht="14.25" customHeight="1" x14ac:dyDescent="0.35"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0"/>
      <c r="AC638" s="170"/>
      <c r="AD638" s="170"/>
      <c r="AE638" s="170"/>
    </row>
    <row r="639" spans="15:31" ht="14.25" customHeight="1" x14ac:dyDescent="0.35"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  <c r="AB639" s="170"/>
      <c r="AC639" s="170"/>
      <c r="AD639" s="170"/>
      <c r="AE639" s="170"/>
    </row>
    <row r="640" spans="15:31" ht="14.25" customHeight="1" x14ac:dyDescent="0.35"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  <c r="AB640" s="170"/>
      <c r="AC640" s="170"/>
      <c r="AD640" s="170"/>
      <c r="AE640" s="170"/>
    </row>
    <row r="641" spans="15:31" ht="14.25" customHeight="1" x14ac:dyDescent="0.35"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  <c r="AB641" s="170"/>
      <c r="AC641" s="170"/>
      <c r="AD641" s="170"/>
      <c r="AE641" s="170"/>
    </row>
    <row r="642" spans="15:31" ht="14.25" customHeight="1" x14ac:dyDescent="0.35"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  <c r="AC642" s="170"/>
      <c r="AD642" s="170"/>
      <c r="AE642" s="170"/>
    </row>
    <row r="643" spans="15:31" ht="14.25" customHeight="1" x14ac:dyDescent="0.35"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  <c r="AB643" s="170"/>
      <c r="AC643" s="170"/>
      <c r="AD643" s="170"/>
      <c r="AE643" s="170"/>
    </row>
    <row r="644" spans="15:31" ht="14.25" customHeight="1" x14ac:dyDescent="0.35"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  <c r="AB644" s="170"/>
      <c r="AC644" s="170"/>
      <c r="AD644" s="170"/>
      <c r="AE644" s="170"/>
    </row>
    <row r="645" spans="15:31" ht="14.25" customHeight="1" x14ac:dyDescent="0.35"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  <c r="AB645" s="170"/>
      <c r="AC645" s="170"/>
      <c r="AD645" s="170"/>
      <c r="AE645" s="170"/>
    </row>
    <row r="646" spans="15:31" ht="14.25" customHeight="1" x14ac:dyDescent="0.35"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  <c r="AB646" s="170"/>
      <c r="AC646" s="170"/>
      <c r="AD646" s="170"/>
      <c r="AE646" s="170"/>
    </row>
    <row r="647" spans="15:31" ht="14.25" customHeight="1" x14ac:dyDescent="0.35"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  <c r="AB647" s="170"/>
      <c r="AC647" s="170"/>
      <c r="AD647" s="170"/>
      <c r="AE647" s="170"/>
    </row>
    <row r="648" spans="15:31" ht="14.25" customHeight="1" x14ac:dyDescent="0.35"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  <c r="AB648" s="170"/>
      <c r="AC648" s="170"/>
      <c r="AD648" s="170"/>
      <c r="AE648" s="170"/>
    </row>
    <row r="649" spans="15:31" ht="14.25" customHeight="1" x14ac:dyDescent="0.35"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  <c r="AB649" s="170"/>
      <c r="AC649" s="170"/>
      <c r="AD649" s="170"/>
      <c r="AE649" s="170"/>
    </row>
    <row r="650" spans="15:31" ht="14.25" customHeight="1" x14ac:dyDescent="0.35"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  <c r="AB650" s="170"/>
      <c r="AC650" s="170"/>
      <c r="AD650" s="170"/>
      <c r="AE650" s="170"/>
    </row>
    <row r="651" spans="15:31" ht="14.25" customHeight="1" x14ac:dyDescent="0.35"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  <c r="AB651" s="170"/>
      <c r="AC651" s="170"/>
      <c r="AD651" s="170"/>
      <c r="AE651" s="170"/>
    </row>
    <row r="652" spans="15:31" ht="14.25" customHeight="1" x14ac:dyDescent="0.35"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  <c r="AB652" s="170"/>
      <c r="AC652" s="170"/>
      <c r="AD652" s="170"/>
      <c r="AE652" s="170"/>
    </row>
    <row r="653" spans="15:31" ht="14.25" customHeight="1" x14ac:dyDescent="0.35"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  <c r="AB653" s="170"/>
      <c r="AC653" s="170"/>
      <c r="AD653" s="170"/>
      <c r="AE653" s="170"/>
    </row>
    <row r="654" spans="15:31" ht="14.25" customHeight="1" x14ac:dyDescent="0.35"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  <c r="AB654" s="170"/>
      <c r="AC654" s="170"/>
      <c r="AD654" s="170"/>
      <c r="AE654" s="170"/>
    </row>
    <row r="655" spans="15:31" ht="14.25" customHeight="1" x14ac:dyDescent="0.35"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  <c r="AC655" s="170"/>
      <c r="AD655" s="170"/>
      <c r="AE655" s="170"/>
    </row>
    <row r="656" spans="15:31" ht="14.25" customHeight="1" x14ac:dyDescent="0.35"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  <c r="AB656" s="170"/>
      <c r="AC656" s="170"/>
      <c r="AD656" s="170"/>
      <c r="AE656" s="170"/>
    </row>
    <row r="657" spans="15:31" ht="14.25" customHeight="1" x14ac:dyDescent="0.35"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  <c r="AB657" s="170"/>
      <c r="AC657" s="170"/>
      <c r="AD657" s="170"/>
      <c r="AE657" s="170"/>
    </row>
    <row r="658" spans="15:31" ht="14.25" customHeight="1" x14ac:dyDescent="0.35"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  <c r="AB658" s="170"/>
      <c r="AC658" s="170"/>
      <c r="AD658" s="170"/>
      <c r="AE658" s="170"/>
    </row>
    <row r="659" spans="15:31" ht="14.25" customHeight="1" x14ac:dyDescent="0.35"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  <c r="AB659" s="170"/>
      <c r="AC659" s="170"/>
      <c r="AD659" s="170"/>
      <c r="AE659" s="170"/>
    </row>
    <row r="660" spans="15:31" ht="14.25" customHeight="1" x14ac:dyDescent="0.35"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  <c r="AB660" s="170"/>
      <c r="AC660" s="170"/>
      <c r="AD660" s="170"/>
      <c r="AE660" s="170"/>
    </row>
    <row r="661" spans="15:31" ht="14.25" customHeight="1" x14ac:dyDescent="0.35"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  <c r="AB661" s="170"/>
      <c r="AC661" s="170"/>
      <c r="AD661" s="170"/>
      <c r="AE661" s="170"/>
    </row>
    <row r="662" spans="15:31" ht="14.25" customHeight="1" x14ac:dyDescent="0.35"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  <c r="AB662" s="170"/>
      <c r="AC662" s="170"/>
      <c r="AD662" s="170"/>
      <c r="AE662" s="170"/>
    </row>
    <row r="663" spans="15:31" ht="14.25" customHeight="1" x14ac:dyDescent="0.35"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  <c r="AB663" s="170"/>
      <c r="AC663" s="170"/>
      <c r="AD663" s="170"/>
      <c r="AE663" s="170"/>
    </row>
    <row r="664" spans="15:31" ht="14.25" customHeight="1" x14ac:dyDescent="0.35"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  <c r="AB664" s="170"/>
      <c r="AC664" s="170"/>
      <c r="AD664" s="170"/>
      <c r="AE664" s="170"/>
    </row>
    <row r="665" spans="15:31" ht="14.25" customHeight="1" x14ac:dyDescent="0.35"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  <c r="AB665" s="170"/>
      <c r="AC665" s="170"/>
      <c r="AD665" s="170"/>
      <c r="AE665" s="170"/>
    </row>
    <row r="666" spans="15:31" ht="14.25" customHeight="1" x14ac:dyDescent="0.35"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  <c r="AB666" s="170"/>
      <c r="AC666" s="170"/>
      <c r="AD666" s="170"/>
      <c r="AE666" s="170"/>
    </row>
    <row r="667" spans="15:31" ht="14.25" customHeight="1" x14ac:dyDescent="0.35"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  <c r="AB667" s="170"/>
      <c r="AC667" s="170"/>
      <c r="AD667" s="170"/>
      <c r="AE667" s="170"/>
    </row>
    <row r="668" spans="15:31" ht="14.25" customHeight="1" x14ac:dyDescent="0.35"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  <c r="AB668" s="170"/>
      <c r="AC668" s="170"/>
      <c r="AD668" s="170"/>
      <c r="AE668" s="170"/>
    </row>
    <row r="669" spans="15:31" ht="14.25" customHeight="1" x14ac:dyDescent="0.35"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  <c r="AB669" s="170"/>
      <c r="AC669" s="170"/>
      <c r="AD669" s="170"/>
      <c r="AE669" s="170"/>
    </row>
    <row r="670" spans="15:31" ht="14.25" customHeight="1" x14ac:dyDescent="0.35"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  <c r="AB670" s="170"/>
      <c r="AC670" s="170"/>
      <c r="AD670" s="170"/>
      <c r="AE670" s="170"/>
    </row>
    <row r="671" spans="15:31" ht="14.25" customHeight="1" x14ac:dyDescent="0.35"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  <c r="AB671" s="170"/>
      <c r="AC671" s="170"/>
      <c r="AD671" s="170"/>
      <c r="AE671" s="170"/>
    </row>
    <row r="672" spans="15:31" ht="14.25" customHeight="1" x14ac:dyDescent="0.35"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  <c r="AB672" s="170"/>
      <c r="AC672" s="170"/>
      <c r="AD672" s="170"/>
      <c r="AE672" s="170"/>
    </row>
    <row r="673" spans="15:31" ht="14.25" customHeight="1" x14ac:dyDescent="0.35"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  <c r="AB673" s="170"/>
      <c r="AC673" s="170"/>
      <c r="AD673" s="170"/>
      <c r="AE673" s="170"/>
    </row>
    <row r="674" spans="15:31" ht="14.25" customHeight="1" x14ac:dyDescent="0.35"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  <c r="AB674" s="170"/>
      <c r="AC674" s="170"/>
      <c r="AD674" s="170"/>
      <c r="AE674" s="170"/>
    </row>
    <row r="675" spans="15:31" ht="14.25" customHeight="1" x14ac:dyDescent="0.35"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  <c r="AB675" s="170"/>
      <c r="AC675" s="170"/>
      <c r="AD675" s="170"/>
      <c r="AE675" s="170"/>
    </row>
    <row r="676" spans="15:31" ht="14.25" customHeight="1" x14ac:dyDescent="0.35"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  <c r="AB676" s="170"/>
      <c r="AC676" s="170"/>
      <c r="AD676" s="170"/>
      <c r="AE676" s="170"/>
    </row>
    <row r="677" spans="15:31" ht="14.25" customHeight="1" x14ac:dyDescent="0.35"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  <c r="AB677" s="170"/>
      <c r="AC677" s="170"/>
      <c r="AD677" s="170"/>
      <c r="AE677" s="170"/>
    </row>
    <row r="678" spans="15:31" ht="14.25" customHeight="1" x14ac:dyDescent="0.35"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  <c r="AB678" s="170"/>
      <c r="AC678" s="170"/>
      <c r="AD678" s="170"/>
      <c r="AE678" s="170"/>
    </row>
    <row r="679" spans="15:31" ht="14.25" customHeight="1" x14ac:dyDescent="0.35"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  <c r="AB679" s="170"/>
      <c r="AC679" s="170"/>
      <c r="AD679" s="170"/>
      <c r="AE679" s="170"/>
    </row>
    <row r="680" spans="15:31" ht="14.25" customHeight="1" x14ac:dyDescent="0.35"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  <c r="AB680" s="170"/>
      <c r="AC680" s="170"/>
      <c r="AD680" s="170"/>
      <c r="AE680" s="170"/>
    </row>
    <row r="681" spans="15:31" ht="14.25" customHeight="1" x14ac:dyDescent="0.35"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  <c r="AB681" s="170"/>
      <c r="AC681" s="170"/>
      <c r="AD681" s="170"/>
      <c r="AE681" s="170"/>
    </row>
    <row r="682" spans="15:31" ht="14.25" customHeight="1" x14ac:dyDescent="0.35"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  <c r="AB682" s="170"/>
      <c r="AC682" s="170"/>
      <c r="AD682" s="170"/>
      <c r="AE682" s="170"/>
    </row>
    <row r="683" spans="15:31" ht="14.25" customHeight="1" x14ac:dyDescent="0.35"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  <c r="AB683" s="170"/>
      <c r="AC683" s="170"/>
      <c r="AD683" s="170"/>
      <c r="AE683" s="170"/>
    </row>
    <row r="684" spans="15:31" ht="14.25" customHeight="1" x14ac:dyDescent="0.35"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  <c r="AB684" s="170"/>
      <c r="AC684" s="170"/>
      <c r="AD684" s="170"/>
      <c r="AE684" s="170"/>
    </row>
    <row r="685" spans="15:31" ht="14.25" customHeight="1" x14ac:dyDescent="0.35"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  <c r="AB685" s="170"/>
      <c r="AC685" s="170"/>
      <c r="AD685" s="170"/>
      <c r="AE685" s="170"/>
    </row>
    <row r="686" spans="15:31" ht="14.25" customHeight="1" x14ac:dyDescent="0.35"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  <c r="AB686" s="170"/>
      <c r="AC686" s="170"/>
      <c r="AD686" s="170"/>
      <c r="AE686" s="170"/>
    </row>
    <row r="687" spans="15:31" ht="14.25" customHeight="1" x14ac:dyDescent="0.35"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  <c r="AB687" s="170"/>
      <c r="AC687" s="170"/>
      <c r="AD687" s="170"/>
      <c r="AE687" s="170"/>
    </row>
    <row r="688" spans="15:31" ht="14.25" customHeight="1" x14ac:dyDescent="0.35"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  <c r="AB688" s="170"/>
      <c r="AC688" s="170"/>
      <c r="AD688" s="170"/>
      <c r="AE688" s="170"/>
    </row>
    <row r="689" spans="15:31" ht="14.25" customHeight="1" x14ac:dyDescent="0.35"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  <c r="AB689" s="170"/>
      <c r="AC689" s="170"/>
      <c r="AD689" s="170"/>
      <c r="AE689" s="170"/>
    </row>
    <row r="690" spans="15:31" ht="14.25" customHeight="1" x14ac:dyDescent="0.35"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  <c r="AB690" s="170"/>
      <c r="AC690" s="170"/>
      <c r="AD690" s="170"/>
      <c r="AE690" s="170"/>
    </row>
    <row r="691" spans="15:31" ht="14.25" customHeight="1" x14ac:dyDescent="0.35"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  <c r="AB691" s="170"/>
      <c r="AC691" s="170"/>
      <c r="AD691" s="170"/>
      <c r="AE691" s="170"/>
    </row>
    <row r="692" spans="15:31" ht="14.25" customHeight="1" x14ac:dyDescent="0.35"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  <c r="AB692" s="170"/>
      <c r="AC692" s="170"/>
      <c r="AD692" s="170"/>
      <c r="AE692" s="170"/>
    </row>
    <row r="693" spans="15:31" ht="14.25" customHeight="1" x14ac:dyDescent="0.35"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  <c r="AB693" s="170"/>
      <c r="AC693" s="170"/>
      <c r="AD693" s="170"/>
      <c r="AE693" s="170"/>
    </row>
    <row r="694" spans="15:31" ht="14.25" customHeight="1" x14ac:dyDescent="0.35"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  <c r="AB694" s="170"/>
      <c r="AC694" s="170"/>
      <c r="AD694" s="170"/>
      <c r="AE694" s="170"/>
    </row>
    <row r="695" spans="15:31" ht="14.25" customHeight="1" x14ac:dyDescent="0.35"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  <c r="AB695" s="170"/>
      <c r="AC695" s="170"/>
      <c r="AD695" s="170"/>
      <c r="AE695" s="170"/>
    </row>
    <row r="696" spans="15:31" ht="14.25" customHeight="1" x14ac:dyDescent="0.35"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  <c r="AB696" s="170"/>
      <c r="AC696" s="170"/>
      <c r="AD696" s="170"/>
      <c r="AE696" s="170"/>
    </row>
    <row r="697" spans="15:31" ht="14.25" customHeight="1" x14ac:dyDescent="0.35"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  <c r="AB697" s="170"/>
      <c r="AC697" s="170"/>
      <c r="AD697" s="170"/>
      <c r="AE697" s="170"/>
    </row>
    <row r="698" spans="15:31" ht="14.25" customHeight="1" x14ac:dyDescent="0.35"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  <c r="AB698" s="170"/>
      <c r="AC698" s="170"/>
      <c r="AD698" s="170"/>
      <c r="AE698" s="170"/>
    </row>
    <row r="699" spans="15:31" ht="14.25" customHeight="1" x14ac:dyDescent="0.35"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  <c r="AB699" s="170"/>
      <c r="AC699" s="170"/>
      <c r="AD699" s="170"/>
      <c r="AE699" s="170"/>
    </row>
    <row r="700" spans="15:31" ht="14.25" customHeight="1" x14ac:dyDescent="0.35"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  <c r="AB700" s="170"/>
      <c r="AC700" s="170"/>
      <c r="AD700" s="170"/>
      <c r="AE700" s="170"/>
    </row>
    <row r="701" spans="15:31" ht="14.25" customHeight="1" x14ac:dyDescent="0.35"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  <c r="AB701" s="170"/>
      <c r="AC701" s="170"/>
      <c r="AD701" s="170"/>
      <c r="AE701" s="170"/>
    </row>
    <row r="702" spans="15:31" ht="14.25" customHeight="1" x14ac:dyDescent="0.35"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  <c r="AB702" s="170"/>
      <c r="AC702" s="170"/>
      <c r="AD702" s="170"/>
      <c r="AE702" s="170"/>
    </row>
    <row r="703" spans="15:31" ht="14.25" customHeight="1" x14ac:dyDescent="0.35"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  <c r="AB703" s="170"/>
      <c r="AC703" s="170"/>
      <c r="AD703" s="170"/>
      <c r="AE703" s="170"/>
    </row>
    <row r="704" spans="15:31" ht="14.25" customHeight="1" x14ac:dyDescent="0.35"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  <c r="AB704" s="170"/>
      <c r="AC704" s="170"/>
      <c r="AD704" s="170"/>
      <c r="AE704" s="170"/>
    </row>
    <row r="705" spans="15:31" ht="14.25" customHeight="1" x14ac:dyDescent="0.35"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  <c r="AB705" s="170"/>
      <c r="AC705" s="170"/>
      <c r="AD705" s="170"/>
      <c r="AE705" s="170"/>
    </row>
    <row r="706" spans="15:31" ht="14.25" customHeight="1" x14ac:dyDescent="0.35"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  <c r="AC706" s="170"/>
      <c r="AD706" s="170"/>
      <c r="AE706" s="170"/>
    </row>
    <row r="707" spans="15:31" ht="14.25" customHeight="1" x14ac:dyDescent="0.35"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  <c r="AB707" s="170"/>
      <c r="AC707" s="170"/>
      <c r="AD707" s="170"/>
      <c r="AE707" s="170"/>
    </row>
    <row r="708" spans="15:31" ht="14.25" customHeight="1" x14ac:dyDescent="0.35"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  <c r="AB708" s="170"/>
      <c r="AC708" s="170"/>
      <c r="AD708" s="170"/>
      <c r="AE708" s="170"/>
    </row>
    <row r="709" spans="15:31" ht="14.25" customHeight="1" x14ac:dyDescent="0.35"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  <c r="AB709" s="170"/>
      <c r="AC709" s="170"/>
      <c r="AD709" s="170"/>
      <c r="AE709" s="170"/>
    </row>
    <row r="710" spans="15:31" ht="14.25" customHeight="1" x14ac:dyDescent="0.35"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  <c r="AB710" s="170"/>
      <c r="AC710" s="170"/>
      <c r="AD710" s="170"/>
      <c r="AE710" s="170"/>
    </row>
    <row r="711" spans="15:31" ht="14.25" customHeight="1" x14ac:dyDescent="0.35"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  <c r="AB711" s="170"/>
      <c r="AC711" s="170"/>
      <c r="AD711" s="170"/>
      <c r="AE711" s="170"/>
    </row>
    <row r="712" spans="15:31" ht="14.25" customHeight="1" x14ac:dyDescent="0.35"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  <c r="AB712" s="170"/>
      <c r="AC712" s="170"/>
      <c r="AD712" s="170"/>
      <c r="AE712" s="170"/>
    </row>
    <row r="713" spans="15:31" ht="14.25" customHeight="1" x14ac:dyDescent="0.35"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  <c r="AB713" s="170"/>
      <c r="AC713" s="170"/>
      <c r="AD713" s="170"/>
      <c r="AE713" s="170"/>
    </row>
    <row r="714" spans="15:31" ht="14.25" customHeight="1" x14ac:dyDescent="0.35"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  <c r="AB714" s="170"/>
      <c r="AC714" s="170"/>
      <c r="AD714" s="170"/>
      <c r="AE714" s="170"/>
    </row>
    <row r="715" spans="15:31" ht="14.25" customHeight="1" x14ac:dyDescent="0.35"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  <c r="AB715" s="170"/>
      <c r="AC715" s="170"/>
      <c r="AD715" s="170"/>
      <c r="AE715" s="170"/>
    </row>
    <row r="716" spans="15:31" ht="14.25" customHeight="1" x14ac:dyDescent="0.35"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  <c r="AB716" s="170"/>
      <c r="AC716" s="170"/>
      <c r="AD716" s="170"/>
      <c r="AE716" s="170"/>
    </row>
    <row r="717" spans="15:31" ht="14.25" customHeight="1" x14ac:dyDescent="0.35"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  <c r="AB717" s="170"/>
      <c r="AC717" s="170"/>
      <c r="AD717" s="170"/>
      <c r="AE717" s="170"/>
    </row>
    <row r="718" spans="15:31" ht="14.25" customHeight="1" x14ac:dyDescent="0.35"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  <c r="AB718" s="170"/>
      <c r="AC718" s="170"/>
      <c r="AD718" s="170"/>
      <c r="AE718" s="170"/>
    </row>
    <row r="719" spans="15:31" ht="14.25" customHeight="1" x14ac:dyDescent="0.35"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  <c r="AB719" s="170"/>
      <c r="AC719" s="170"/>
      <c r="AD719" s="170"/>
      <c r="AE719" s="170"/>
    </row>
    <row r="720" spans="15:31" ht="14.25" customHeight="1" x14ac:dyDescent="0.35"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  <c r="AB720" s="170"/>
      <c r="AC720" s="170"/>
      <c r="AD720" s="170"/>
      <c r="AE720" s="170"/>
    </row>
    <row r="721" spans="15:31" ht="14.25" customHeight="1" x14ac:dyDescent="0.35"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  <c r="AB721" s="170"/>
      <c r="AC721" s="170"/>
      <c r="AD721" s="170"/>
      <c r="AE721" s="170"/>
    </row>
    <row r="722" spans="15:31" ht="14.25" customHeight="1" x14ac:dyDescent="0.35"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  <c r="AB722" s="170"/>
      <c r="AC722" s="170"/>
      <c r="AD722" s="170"/>
      <c r="AE722" s="170"/>
    </row>
    <row r="723" spans="15:31" ht="14.25" customHeight="1" x14ac:dyDescent="0.35"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  <c r="AB723" s="170"/>
      <c r="AC723" s="170"/>
      <c r="AD723" s="170"/>
      <c r="AE723" s="170"/>
    </row>
    <row r="724" spans="15:31" ht="14.25" customHeight="1" x14ac:dyDescent="0.35"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  <c r="AB724" s="170"/>
      <c r="AC724" s="170"/>
      <c r="AD724" s="170"/>
      <c r="AE724" s="170"/>
    </row>
    <row r="725" spans="15:31" ht="14.25" customHeight="1" x14ac:dyDescent="0.35"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  <c r="AB725" s="170"/>
      <c r="AC725" s="170"/>
      <c r="AD725" s="170"/>
      <c r="AE725" s="170"/>
    </row>
    <row r="726" spans="15:31" ht="14.25" customHeight="1" x14ac:dyDescent="0.35"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  <c r="AB726" s="170"/>
      <c r="AC726" s="170"/>
      <c r="AD726" s="170"/>
      <c r="AE726" s="170"/>
    </row>
    <row r="727" spans="15:31" ht="14.25" customHeight="1" x14ac:dyDescent="0.35"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  <c r="AB727" s="170"/>
      <c r="AC727" s="170"/>
      <c r="AD727" s="170"/>
      <c r="AE727" s="170"/>
    </row>
    <row r="728" spans="15:31" ht="14.25" customHeight="1" x14ac:dyDescent="0.35"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  <c r="AB728" s="170"/>
      <c r="AC728" s="170"/>
      <c r="AD728" s="170"/>
      <c r="AE728" s="170"/>
    </row>
    <row r="729" spans="15:31" ht="14.25" customHeight="1" x14ac:dyDescent="0.35"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  <c r="AB729" s="170"/>
      <c r="AC729" s="170"/>
      <c r="AD729" s="170"/>
      <c r="AE729" s="170"/>
    </row>
    <row r="730" spans="15:31" ht="14.25" customHeight="1" x14ac:dyDescent="0.35"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0"/>
      <c r="AC730" s="170"/>
      <c r="AD730" s="170"/>
      <c r="AE730" s="170"/>
    </row>
    <row r="731" spans="15:31" ht="14.25" customHeight="1" x14ac:dyDescent="0.35"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  <c r="AB731" s="170"/>
      <c r="AC731" s="170"/>
      <c r="AD731" s="170"/>
      <c r="AE731" s="170"/>
    </row>
    <row r="732" spans="15:31" ht="14.25" customHeight="1" x14ac:dyDescent="0.35"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  <c r="AB732" s="170"/>
      <c r="AC732" s="170"/>
      <c r="AD732" s="170"/>
      <c r="AE732" s="170"/>
    </row>
    <row r="733" spans="15:31" ht="14.25" customHeight="1" x14ac:dyDescent="0.35"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  <c r="AB733" s="170"/>
      <c r="AC733" s="170"/>
      <c r="AD733" s="170"/>
      <c r="AE733" s="170"/>
    </row>
    <row r="734" spans="15:31" ht="14.25" customHeight="1" x14ac:dyDescent="0.35"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  <c r="AB734" s="170"/>
      <c r="AC734" s="170"/>
      <c r="AD734" s="170"/>
      <c r="AE734" s="170"/>
    </row>
    <row r="735" spans="15:31" ht="14.25" customHeight="1" x14ac:dyDescent="0.35"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  <c r="AB735" s="170"/>
      <c r="AC735" s="170"/>
      <c r="AD735" s="170"/>
      <c r="AE735" s="170"/>
    </row>
    <row r="736" spans="15:31" ht="14.25" customHeight="1" x14ac:dyDescent="0.35"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  <c r="AB736" s="170"/>
      <c r="AC736" s="170"/>
      <c r="AD736" s="170"/>
      <c r="AE736" s="170"/>
    </row>
    <row r="737" spans="15:31" ht="14.25" customHeight="1" x14ac:dyDescent="0.35"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  <c r="AB737" s="170"/>
      <c r="AC737" s="170"/>
      <c r="AD737" s="170"/>
      <c r="AE737" s="170"/>
    </row>
    <row r="738" spans="15:31" ht="14.25" customHeight="1" x14ac:dyDescent="0.35"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  <c r="AB738" s="170"/>
      <c r="AC738" s="170"/>
      <c r="AD738" s="170"/>
      <c r="AE738" s="170"/>
    </row>
    <row r="739" spans="15:31" ht="14.25" customHeight="1" x14ac:dyDescent="0.35"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  <c r="AB739" s="170"/>
      <c r="AC739" s="170"/>
      <c r="AD739" s="170"/>
      <c r="AE739" s="170"/>
    </row>
    <row r="740" spans="15:31" ht="14.25" customHeight="1" x14ac:dyDescent="0.35"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  <c r="AB740" s="170"/>
      <c r="AC740" s="170"/>
      <c r="AD740" s="170"/>
      <c r="AE740" s="170"/>
    </row>
    <row r="741" spans="15:31" ht="14.25" customHeight="1" x14ac:dyDescent="0.35"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  <c r="AB741" s="170"/>
      <c r="AC741" s="170"/>
      <c r="AD741" s="170"/>
      <c r="AE741" s="170"/>
    </row>
    <row r="742" spans="15:31" ht="14.25" customHeight="1" x14ac:dyDescent="0.35"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  <c r="AB742" s="170"/>
      <c r="AC742" s="170"/>
      <c r="AD742" s="170"/>
      <c r="AE742" s="170"/>
    </row>
    <row r="743" spans="15:31" ht="14.25" customHeight="1" x14ac:dyDescent="0.35"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  <c r="AB743" s="170"/>
      <c r="AC743" s="170"/>
      <c r="AD743" s="170"/>
      <c r="AE743" s="170"/>
    </row>
    <row r="744" spans="15:31" ht="14.25" customHeight="1" x14ac:dyDescent="0.35"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  <c r="AB744" s="170"/>
      <c r="AC744" s="170"/>
      <c r="AD744" s="170"/>
      <c r="AE744" s="170"/>
    </row>
    <row r="745" spans="15:31" ht="14.25" customHeight="1" x14ac:dyDescent="0.35"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  <c r="AB745" s="170"/>
      <c r="AC745" s="170"/>
      <c r="AD745" s="170"/>
      <c r="AE745" s="170"/>
    </row>
    <row r="746" spans="15:31" ht="14.25" customHeight="1" x14ac:dyDescent="0.35"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  <c r="AB746" s="170"/>
      <c r="AC746" s="170"/>
      <c r="AD746" s="170"/>
      <c r="AE746" s="170"/>
    </row>
    <row r="747" spans="15:31" ht="14.25" customHeight="1" x14ac:dyDescent="0.35"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  <c r="AB747" s="170"/>
      <c r="AC747" s="170"/>
      <c r="AD747" s="170"/>
      <c r="AE747" s="170"/>
    </row>
    <row r="748" spans="15:31" ht="14.25" customHeight="1" x14ac:dyDescent="0.35"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  <c r="AB748" s="170"/>
      <c r="AC748" s="170"/>
      <c r="AD748" s="170"/>
      <c r="AE748" s="170"/>
    </row>
    <row r="749" spans="15:31" ht="14.25" customHeight="1" x14ac:dyDescent="0.35"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  <c r="AB749" s="170"/>
      <c r="AC749" s="170"/>
      <c r="AD749" s="170"/>
      <c r="AE749" s="170"/>
    </row>
    <row r="750" spans="15:31" ht="14.25" customHeight="1" x14ac:dyDescent="0.35"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  <c r="AB750" s="170"/>
      <c r="AC750" s="170"/>
      <c r="AD750" s="170"/>
      <c r="AE750" s="170"/>
    </row>
    <row r="751" spans="15:31" ht="14.25" customHeight="1" x14ac:dyDescent="0.35"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  <c r="AB751" s="170"/>
      <c r="AC751" s="170"/>
      <c r="AD751" s="170"/>
      <c r="AE751" s="170"/>
    </row>
    <row r="752" spans="15:31" ht="14.25" customHeight="1" x14ac:dyDescent="0.35"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  <c r="AB752" s="170"/>
      <c r="AC752" s="170"/>
      <c r="AD752" s="170"/>
      <c r="AE752" s="170"/>
    </row>
    <row r="753" spans="15:31" ht="14.25" customHeight="1" x14ac:dyDescent="0.35"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  <c r="AB753" s="170"/>
      <c r="AC753" s="170"/>
      <c r="AD753" s="170"/>
      <c r="AE753" s="170"/>
    </row>
    <row r="754" spans="15:31" ht="14.25" customHeight="1" x14ac:dyDescent="0.35"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  <c r="AB754" s="170"/>
      <c r="AC754" s="170"/>
      <c r="AD754" s="170"/>
      <c r="AE754" s="170"/>
    </row>
    <row r="755" spans="15:31" ht="14.25" customHeight="1" x14ac:dyDescent="0.35"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  <c r="AB755" s="170"/>
      <c r="AC755" s="170"/>
      <c r="AD755" s="170"/>
      <c r="AE755" s="170"/>
    </row>
    <row r="756" spans="15:31" ht="14.25" customHeight="1" x14ac:dyDescent="0.35"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  <c r="AB756" s="170"/>
      <c r="AC756" s="170"/>
      <c r="AD756" s="170"/>
      <c r="AE756" s="170"/>
    </row>
    <row r="757" spans="15:31" ht="14.25" customHeight="1" x14ac:dyDescent="0.35"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  <c r="AB757" s="170"/>
      <c r="AC757" s="170"/>
      <c r="AD757" s="170"/>
      <c r="AE757" s="170"/>
    </row>
    <row r="758" spans="15:31" ht="14.25" customHeight="1" x14ac:dyDescent="0.35"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  <c r="AB758" s="170"/>
      <c r="AC758" s="170"/>
      <c r="AD758" s="170"/>
      <c r="AE758" s="170"/>
    </row>
    <row r="759" spans="15:31" ht="14.25" customHeight="1" x14ac:dyDescent="0.35"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  <c r="AB759" s="170"/>
      <c r="AC759" s="170"/>
      <c r="AD759" s="170"/>
      <c r="AE759" s="170"/>
    </row>
    <row r="760" spans="15:31" ht="14.25" customHeight="1" x14ac:dyDescent="0.35"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  <c r="AB760" s="170"/>
      <c r="AC760" s="170"/>
      <c r="AD760" s="170"/>
      <c r="AE760" s="170"/>
    </row>
    <row r="761" spans="15:31" ht="14.25" customHeight="1" x14ac:dyDescent="0.35"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  <c r="AB761" s="170"/>
      <c r="AC761" s="170"/>
      <c r="AD761" s="170"/>
      <c r="AE761" s="170"/>
    </row>
    <row r="762" spans="15:31" ht="14.25" customHeight="1" x14ac:dyDescent="0.35"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  <c r="AB762" s="170"/>
      <c r="AC762" s="170"/>
      <c r="AD762" s="170"/>
      <c r="AE762" s="170"/>
    </row>
    <row r="763" spans="15:31" ht="14.25" customHeight="1" x14ac:dyDescent="0.35"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  <c r="AB763" s="170"/>
      <c r="AC763" s="170"/>
      <c r="AD763" s="170"/>
      <c r="AE763" s="170"/>
    </row>
    <row r="764" spans="15:31" ht="14.25" customHeight="1" x14ac:dyDescent="0.35"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  <c r="AB764" s="170"/>
      <c r="AC764" s="170"/>
      <c r="AD764" s="170"/>
      <c r="AE764" s="170"/>
    </row>
    <row r="765" spans="15:31" ht="14.25" customHeight="1" x14ac:dyDescent="0.35"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  <c r="AB765" s="170"/>
      <c r="AC765" s="170"/>
      <c r="AD765" s="170"/>
      <c r="AE765" s="170"/>
    </row>
    <row r="766" spans="15:31" ht="14.25" customHeight="1" x14ac:dyDescent="0.35"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  <c r="AB766" s="170"/>
      <c r="AC766" s="170"/>
      <c r="AD766" s="170"/>
      <c r="AE766" s="170"/>
    </row>
    <row r="767" spans="15:31" ht="14.25" customHeight="1" x14ac:dyDescent="0.35"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  <c r="AB767" s="170"/>
      <c r="AC767" s="170"/>
      <c r="AD767" s="170"/>
      <c r="AE767" s="170"/>
    </row>
    <row r="768" spans="15:31" ht="14.25" customHeight="1" x14ac:dyDescent="0.35"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  <c r="AB768" s="170"/>
      <c r="AC768" s="170"/>
      <c r="AD768" s="170"/>
      <c r="AE768" s="170"/>
    </row>
    <row r="769" spans="15:31" ht="14.25" customHeight="1" x14ac:dyDescent="0.35"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  <c r="AB769" s="170"/>
      <c r="AC769" s="170"/>
      <c r="AD769" s="170"/>
      <c r="AE769" s="170"/>
    </row>
    <row r="770" spans="15:31" ht="14.25" customHeight="1" x14ac:dyDescent="0.35"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  <c r="AC770" s="170"/>
      <c r="AD770" s="170"/>
      <c r="AE770" s="170"/>
    </row>
    <row r="771" spans="15:31" ht="14.25" customHeight="1" x14ac:dyDescent="0.35"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  <c r="AB771" s="170"/>
      <c r="AC771" s="170"/>
      <c r="AD771" s="170"/>
      <c r="AE771" s="170"/>
    </row>
    <row r="772" spans="15:31" ht="14.25" customHeight="1" x14ac:dyDescent="0.35"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  <c r="AB772" s="170"/>
      <c r="AC772" s="170"/>
      <c r="AD772" s="170"/>
      <c r="AE772" s="170"/>
    </row>
    <row r="773" spans="15:31" ht="14.25" customHeight="1" x14ac:dyDescent="0.35"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  <c r="AB773" s="170"/>
      <c r="AC773" s="170"/>
      <c r="AD773" s="170"/>
      <c r="AE773" s="170"/>
    </row>
    <row r="774" spans="15:31" ht="14.25" customHeight="1" x14ac:dyDescent="0.35"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  <c r="AB774" s="170"/>
      <c r="AC774" s="170"/>
      <c r="AD774" s="170"/>
      <c r="AE774" s="170"/>
    </row>
    <row r="775" spans="15:31" ht="14.25" customHeight="1" x14ac:dyDescent="0.35"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  <c r="AB775" s="170"/>
      <c r="AC775" s="170"/>
      <c r="AD775" s="170"/>
      <c r="AE775" s="170"/>
    </row>
    <row r="776" spans="15:31" ht="14.25" customHeight="1" x14ac:dyDescent="0.35"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  <c r="AB776" s="170"/>
      <c r="AC776" s="170"/>
      <c r="AD776" s="170"/>
      <c r="AE776" s="170"/>
    </row>
    <row r="777" spans="15:31" ht="14.25" customHeight="1" x14ac:dyDescent="0.35"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  <c r="AB777" s="170"/>
      <c r="AC777" s="170"/>
      <c r="AD777" s="170"/>
      <c r="AE777" s="170"/>
    </row>
    <row r="778" spans="15:31" ht="14.25" customHeight="1" x14ac:dyDescent="0.35"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  <c r="AB778" s="170"/>
      <c r="AC778" s="170"/>
      <c r="AD778" s="170"/>
      <c r="AE778" s="170"/>
    </row>
    <row r="779" spans="15:31" ht="14.25" customHeight="1" x14ac:dyDescent="0.35"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  <c r="AB779" s="170"/>
      <c r="AC779" s="170"/>
      <c r="AD779" s="170"/>
      <c r="AE779" s="170"/>
    </row>
    <row r="780" spans="15:31" ht="14.25" customHeight="1" x14ac:dyDescent="0.35"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  <c r="AC780" s="170"/>
      <c r="AD780" s="170"/>
      <c r="AE780" s="170"/>
    </row>
    <row r="781" spans="15:31" ht="14.25" customHeight="1" x14ac:dyDescent="0.35"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  <c r="AB781" s="170"/>
      <c r="AC781" s="170"/>
      <c r="AD781" s="170"/>
      <c r="AE781" s="170"/>
    </row>
    <row r="782" spans="15:31" ht="14.25" customHeight="1" x14ac:dyDescent="0.35"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  <c r="AB782" s="170"/>
      <c r="AC782" s="170"/>
      <c r="AD782" s="170"/>
      <c r="AE782" s="170"/>
    </row>
    <row r="783" spans="15:31" ht="14.25" customHeight="1" x14ac:dyDescent="0.35"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  <c r="AB783" s="170"/>
      <c r="AC783" s="170"/>
      <c r="AD783" s="170"/>
      <c r="AE783" s="170"/>
    </row>
    <row r="784" spans="15:31" ht="14.25" customHeight="1" x14ac:dyDescent="0.35"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  <c r="AB784" s="170"/>
      <c r="AC784" s="170"/>
      <c r="AD784" s="170"/>
      <c r="AE784" s="170"/>
    </row>
    <row r="785" spans="15:31" ht="14.25" customHeight="1" x14ac:dyDescent="0.35"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  <c r="AB785" s="170"/>
      <c r="AC785" s="170"/>
      <c r="AD785" s="170"/>
      <c r="AE785" s="170"/>
    </row>
    <row r="786" spans="15:31" ht="14.25" customHeight="1" x14ac:dyDescent="0.35"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  <c r="AB786" s="170"/>
      <c r="AC786" s="170"/>
      <c r="AD786" s="170"/>
      <c r="AE786" s="170"/>
    </row>
    <row r="787" spans="15:31" ht="14.25" customHeight="1" x14ac:dyDescent="0.35"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  <c r="AB787" s="170"/>
      <c r="AC787" s="170"/>
      <c r="AD787" s="170"/>
      <c r="AE787" s="170"/>
    </row>
    <row r="788" spans="15:31" ht="14.25" customHeight="1" x14ac:dyDescent="0.35"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  <c r="AB788" s="170"/>
      <c r="AC788" s="170"/>
      <c r="AD788" s="170"/>
      <c r="AE788" s="170"/>
    </row>
    <row r="789" spans="15:31" ht="14.25" customHeight="1" x14ac:dyDescent="0.35"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  <c r="AB789" s="170"/>
      <c r="AC789" s="170"/>
      <c r="AD789" s="170"/>
      <c r="AE789" s="170"/>
    </row>
    <row r="790" spans="15:31" ht="14.25" customHeight="1" x14ac:dyDescent="0.35"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  <c r="AB790" s="170"/>
      <c r="AC790" s="170"/>
      <c r="AD790" s="170"/>
      <c r="AE790" s="170"/>
    </row>
    <row r="791" spans="15:31" ht="14.25" customHeight="1" x14ac:dyDescent="0.35"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  <c r="AB791" s="170"/>
      <c r="AC791" s="170"/>
      <c r="AD791" s="170"/>
      <c r="AE791" s="170"/>
    </row>
    <row r="792" spans="15:31" ht="14.25" customHeight="1" x14ac:dyDescent="0.35"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  <c r="AB792" s="170"/>
      <c r="AC792" s="170"/>
      <c r="AD792" s="170"/>
      <c r="AE792" s="170"/>
    </row>
    <row r="793" spans="15:31" ht="14.25" customHeight="1" x14ac:dyDescent="0.35"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  <c r="AB793" s="170"/>
      <c r="AC793" s="170"/>
      <c r="AD793" s="170"/>
      <c r="AE793" s="170"/>
    </row>
    <row r="794" spans="15:31" ht="14.25" customHeight="1" x14ac:dyDescent="0.35"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  <c r="AB794" s="170"/>
      <c r="AC794" s="170"/>
      <c r="AD794" s="170"/>
      <c r="AE794" s="170"/>
    </row>
    <row r="795" spans="15:31" ht="14.25" customHeight="1" x14ac:dyDescent="0.35"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  <c r="AB795" s="170"/>
      <c r="AC795" s="170"/>
      <c r="AD795" s="170"/>
      <c r="AE795" s="170"/>
    </row>
    <row r="796" spans="15:31" ht="14.25" customHeight="1" x14ac:dyDescent="0.35"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  <c r="AB796" s="170"/>
      <c r="AC796" s="170"/>
      <c r="AD796" s="170"/>
      <c r="AE796" s="170"/>
    </row>
    <row r="797" spans="15:31" ht="14.25" customHeight="1" x14ac:dyDescent="0.35"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  <c r="AB797" s="170"/>
      <c r="AC797" s="170"/>
      <c r="AD797" s="170"/>
      <c r="AE797" s="170"/>
    </row>
    <row r="798" spans="15:31" ht="14.25" customHeight="1" x14ac:dyDescent="0.35"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  <c r="AC798" s="170"/>
      <c r="AD798" s="170"/>
      <c r="AE798" s="170"/>
    </row>
    <row r="799" spans="15:31" ht="14.25" customHeight="1" x14ac:dyDescent="0.35"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  <c r="AC799" s="170"/>
      <c r="AD799" s="170"/>
      <c r="AE799" s="170"/>
    </row>
    <row r="800" spans="15:31" ht="14.25" customHeight="1" x14ac:dyDescent="0.35"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  <c r="AC800" s="170"/>
      <c r="AD800" s="170"/>
      <c r="AE800" s="170"/>
    </row>
    <row r="801" spans="15:31" ht="14.25" customHeight="1" x14ac:dyDescent="0.35"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  <c r="AB801" s="170"/>
      <c r="AC801" s="170"/>
      <c r="AD801" s="170"/>
      <c r="AE801" s="170"/>
    </row>
    <row r="802" spans="15:31" ht="14.25" customHeight="1" x14ac:dyDescent="0.35"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  <c r="AB802" s="170"/>
      <c r="AC802" s="170"/>
      <c r="AD802" s="170"/>
      <c r="AE802" s="170"/>
    </row>
    <row r="803" spans="15:31" ht="14.25" customHeight="1" x14ac:dyDescent="0.35"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  <c r="AB803" s="170"/>
      <c r="AC803" s="170"/>
      <c r="AD803" s="170"/>
      <c r="AE803" s="170"/>
    </row>
    <row r="804" spans="15:31" ht="14.25" customHeight="1" x14ac:dyDescent="0.35"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  <c r="AB804" s="170"/>
      <c r="AC804" s="170"/>
      <c r="AD804" s="170"/>
      <c r="AE804" s="170"/>
    </row>
    <row r="805" spans="15:31" ht="14.25" customHeight="1" x14ac:dyDescent="0.35"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  <c r="AB805" s="170"/>
      <c r="AC805" s="170"/>
      <c r="AD805" s="170"/>
      <c r="AE805" s="170"/>
    </row>
    <row r="806" spans="15:31" ht="14.25" customHeight="1" x14ac:dyDescent="0.35"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  <c r="AB806" s="170"/>
      <c r="AC806" s="170"/>
      <c r="AD806" s="170"/>
      <c r="AE806" s="170"/>
    </row>
    <row r="807" spans="15:31" ht="14.25" customHeight="1" x14ac:dyDescent="0.35"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  <c r="AB807" s="170"/>
      <c r="AC807" s="170"/>
      <c r="AD807" s="170"/>
      <c r="AE807" s="170"/>
    </row>
    <row r="808" spans="15:31" ht="14.25" customHeight="1" x14ac:dyDescent="0.35"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  <c r="AB808" s="170"/>
      <c r="AC808" s="170"/>
      <c r="AD808" s="170"/>
      <c r="AE808" s="170"/>
    </row>
    <row r="809" spans="15:31" ht="14.25" customHeight="1" x14ac:dyDescent="0.35"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  <c r="AB809" s="170"/>
      <c r="AC809" s="170"/>
      <c r="AD809" s="170"/>
      <c r="AE809" s="170"/>
    </row>
    <row r="810" spans="15:31" ht="14.25" customHeight="1" x14ac:dyDescent="0.35"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  <c r="AB810" s="170"/>
      <c r="AC810" s="170"/>
      <c r="AD810" s="170"/>
      <c r="AE810" s="170"/>
    </row>
    <row r="811" spans="15:31" ht="14.25" customHeight="1" x14ac:dyDescent="0.35"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  <c r="AB811" s="170"/>
      <c r="AC811" s="170"/>
      <c r="AD811" s="170"/>
      <c r="AE811" s="170"/>
    </row>
    <row r="812" spans="15:31" ht="14.25" customHeight="1" x14ac:dyDescent="0.35"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  <c r="AB812" s="170"/>
      <c r="AC812" s="170"/>
      <c r="AD812" s="170"/>
      <c r="AE812" s="170"/>
    </row>
    <row r="813" spans="15:31" ht="14.25" customHeight="1" x14ac:dyDescent="0.35"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  <c r="AB813" s="170"/>
      <c r="AC813" s="170"/>
      <c r="AD813" s="170"/>
      <c r="AE813" s="170"/>
    </row>
    <row r="814" spans="15:31" ht="14.25" customHeight="1" x14ac:dyDescent="0.35"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  <c r="AB814" s="170"/>
      <c r="AC814" s="170"/>
      <c r="AD814" s="170"/>
      <c r="AE814" s="170"/>
    </row>
    <row r="815" spans="15:31" ht="14.25" customHeight="1" x14ac:dyDescent="0.35"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  <c r="AB815" s="170"/>
      <c r="AC815" s="170"/>
      <c r="AD815" s="170"/>
      <c r="AE815" s="170"/>
    </row>
    <row r="816" spans="15:31" ht="14.25" customHeight="1" x14ac:dyDescent="0.35"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  <c r="AB816" s="170"/>
      <c r="AC816" s="170"/>
      <c r="AD816" s="170"/>
      <c r="AE816" s="170"/>
    </row>
    <row r="817" spans="15:31" ht="14.25" customHeight="1" x14ac:dyDescent="0.35"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  <c r="AB817" s="170"/>
      <c r="AC817" s="170"/>
      <c r="AD817" s="170"/>
      <c r="AE817" s="170"/>
    </row>
    <row r="818" spans="15:31" ht="14.25" customHeight="1" x14ac:dyDescent="0.35"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  <c r="AB818" s="170"/>
      <c r="AC818" s="170"/>
      <c r="AD818" s="170"/>
      <c r="AE818" s="170"/>
    </row>
    <row r="819" spans="15:31" ht="14.25" customHeight="1" x14ac:dyDescent="0.35"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  <c r="AB819" s="170"/>
      <c r="AC819" s="170"/>
      <c r="AD819" s="170"/>
      <c r="AE819" s="170"/>
    </row>
    <row r="820" spans="15:31" ht="14.25" customHeight="1" x14ac:dyDescent="0.35"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  <c r="AB820" s="170"/>
      <c r="AC820" s="170"/>
      <c r="AD820" s="170"/>
      <c r="AE820" s="170"/>
    </row>
    <row r="821" spans="15:31" ht="14.25" customHeight="1" x14ac:dyDescent="0.35"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  <c r="AB821" s="170"/>
      <c r="AC821" s="170"/>
      <c r="AD821" s="170"/>
      <c r="AE821" s="170"/>
    </row>
    <row r="822" spans="15:31" ht="14.25" customHeight="1" x14ac:dyDescent="0.35"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  <c r="AB822" s="170"/>
      <c r="AC822" s="170"/>
      <c r="AD822" s="170"/>
      <c r="AE822" s="170"/>
    </row>
    <row r="823" spans="15:31" ht="14.25" customHeight="1" x14ac:dyDescent="0.35"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  <c r="AB823" s="170"/>
      <c r="AC823" s="170"/>
      <c r="AD823" s="170"/>
      <c r="AE823" s="170"/>
    </row>
    <row r="824" spans="15:31" ht="14.25" customHeight="1" x14ac:dyDescent="0.35"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  <c r="AB824" s="170"/>
      <c r="AC824" s="170"/>
      <c r="AD824" s="170"/>
      <c r="AE824" s="170"/>
    </row>
    <row r="825" spans="15:31" ht="14.25" customHeight="1" x14ac:dyDescent="0.35"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  <c r="AB825" s="170"/>
      <c r="AC825" s="170"/>
      <c r="AD825" s="170"/>
      <c r="AE825" s="170"/>
    </row>
    <row r="826" spans="15:31" ht="14.25" customHeight="1" x14ac:dyDescent="0.35"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  <c r="AB826" s="170"/>
      <c r="AC826" s="170"/>
      <c r="AD826" s="170"/>
      <c r="AE826" s="170"/>
    </row>
    <row r="827" spans="15:31" ht="14.25" customHeight="1" x14ac:dyDescent="0.35"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  <c r="AB827" s="170"/>
      <c r="AC827" s="170"/>
      <c r="AD827" s="170"/>
      <c r="AE827" s="170"/>
    </row>
    <row r="828" spans="15:31" ht="14.25" customHeight="1" x14ac:dyDescent="0.35"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  <c r="AB828" s="170"/>
      <c r="AC828" s="170"/>
      <c r="AD828" s="170"/>
      <c r="AE828" s="170"/>
    </row>
    <row r="829" spans="15:31" ht="14.25" customHeight="1" x14ac:dyDescent="0.35"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  <c r="AB829" s="170"/>
      <c r="AC829" s="170"/>
      <c r="AD829" s="170"/>
      <c r="AE829" s="170"/>
    </row>
    <row r="830" spans="15:31" ht="14.25" customHeight="1" x14ac:dyDescent="0.35"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  <c r="AB830" s="170"/>
      <c r="AC830" s="170"/>
      <c r="AD830" s="170"/>
      <c r="AE830" s="170"/>
    </row>
    <row r="831" spans="15:31" ht="14.25" customHeight="1" x14ac:dyDescent="0.35"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  <c r="AB831" s="170"/>
      <c r="AC831" s="170"/>
      <c r="AD831" s="170"/>
      <c r="AE831" s="170"/>
    </row>
    <row r="832" spans="15:31" ht="14.25" customHeight="1" x14ac:dyDescent="0.35"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  <c r="AB832" s="170"/>
      <c r="AC832" s="170"/>
      <c r="AD832" s="170"/>
      <c r="AE832" s="170"/>
    </row>
    <row r="833" spans="15:31" ht="14.25" customHeight="1" x14ac:dyDescent="0.35"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  <c r="AB833" s="170"/>
      <c r="AC833" s="170"/>
      <c r="AD833" s="170"/>
      <c r="AE833" s="170"/>
    </row>
    <row r="834" spans="15:31" ht="14.25" customHeight="1" x14ac:dyDescent="0.35"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  <c r="AB834" s="170"/>
      <c r="AC834" s="170"/>
      <c r="AD834" s="170"/>
      <c r="AE834" s="170"/>
    </row>
    <row r="835" spans="15:31" ht="14.25" customHeight="1" x14ac:dyDescent="0.35"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  <c r="AB835" s="170"/>
      <c r="AC835" s="170"/>
      <c r="AD835" s="170"/>
      <c r="AE835" s="170"/>
    </row>
    <row r="836" spans="15:31" ht="14.25" customHeight="1" x14ac:dyDescent="0.35"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  <c r="AB836" s="170"/>
      <c r="AC836" s="170"/>
      <c r="AD836" s="170"/>
      <c r="AE836" s="170"/>
    </row>
    <row r="837" spans="15:31" ht="14.25" customHeight="1" x14ac:dyDescent="0.35"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  <c r="AB837" s="170"/>
      <c r="AC837" s="170"/>
      <c r="AD837" s="170"/>
      <c r="AE837" s="170"/>
    </row>
    <row r="838" spans="15:31" ht="14.25" customHeight="1" x14ac:dyDescent="0.35"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  <c r="AB838" s="170"/>
      <c r="AC838" s="170"/>
      <c r="AD838" s="170"/>
      <c r="AE838" s="170"/>
    </row>
    <row r="839" spans="15:31" ht="14.25" customHeight="1" x14ac:dyDescent="0.35"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0"/>
      <c r="AC839" s="170"/>
      <c r="AD839" s="170"/>
      <c r="AE839" s="170"/>
    </row>
    <row r="840" spans="15:31" ht="14.25" customHeight="1" x14ac:dyDescent="0.35"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  <c r="AB840" s="170"/>
      <c r="AC840" s="170"/>
      <c r="AD840" s="170"/>
      <c r="AE840" s="170"/>
    </row>
    <row r="841" spans="15:31" ht="14.25" customHeight="1" x14ac:dyDescent="0.35"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  <c r="AB841" s="170"/>
      <c r="AC841" s="170"/>
      <c r="AD841" s="170"/>
      <c r="AE841" s="170"/>
    </row>
    <row r="842" spans="15:31" ht="14.25" customHeight="1" x14ac:dyDescent="0.35"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  <c r="AB842" s="170"/>
      <c r="AC842" s="170"/>
      <c r="AD842" s="170"/>
      <c r="AE842" s="170"/>
    </row>
    <row r="843" spans="15:31" ht="14.25" customHeight="1" x14ac:dyDescent="0.35"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  <c r="AB843" s="170"/>
      <c r="AC843" s="170"/>
      <c r="AD843" s="170"/>
      <c r="AE843" s="170"/>
    </row>
    <row r="844" spans="15:31" ht="14.25" customHeight="1" x14ac:dyDescent="0.35"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  <c r="AB844" s="170"/>
      <c r="AC844" s="170"/>
      <c r="AD844" s="170"/>
      <c r="AE844" s="170"/>
    </row>
    <row r="845" spans="15:31" ht="14.25" customHeight="1" x14ac:dyDescent="0.35"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  <c r="AB845" s="170"/>
      <c r="AC845" s="170"/>
      <c r="AD845" s="170"/>
      <c r="AE845" s="170"/>
    </row>
    <row r="846" spans="15:31" ht="14.25" customHeight="1" x14ac:dyDescent="0.35"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  <c r="AB846" s="170"/>
      <c r="AC846" s="170"/>
      <c r="AD846" s="170"/>
      <c r="AE846" s="170"/>
    </row>
    <row r="847" spans="15:31" ht="14.25" customHeight="1" x14ac:dyDescent="0.35"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  <c r="AB847" s="170"/>
      <c r="AC847" s="170"/>
      <c r="AD847" s="170"/>
      <c r="AE847" s="170"/>
    </row>
    <row r="848" spans="15:31" ht="14.25" customHeight="1" x14ac:dyDescent="0.35"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  <c r="AB848" s="170"/>
      <c r="AC848" s="170"/>
      <c r="AD848" s="170"/>
      <c r="AE848" s="170"/>
    </row>
    <row r="849" spans="15:31" ht="14.25" customHeight="1" x14ac:dyDescent="0.35"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  <c r="AB849" s="170"/>
      <c r="AC849" s="170"/>
      <c r="AD849" s="170"/>
      <c r="AE849" s="170"/>
    </row>
    <row r="850" spans="15:31" ht="14.25" customHeight="1" x14ac:dyDescent="0.35"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  <c r="AB850" s="170"/>
      <c r="AC850" s="170"/>
      <c r="AD850" s="170"/>
      <c r="AE850" s="170"/>
    </row>
    <row r="851" spans="15:31" ht="14.25" customHeight="1" x14ac:dyDescent="0.35"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  <c r="AB851" s="170"/>
      <c r="AC851" s="170"/>
      <c r="AD851" s="170"/>
      <c r="AE851" s="170"/>
    </row>
    <row r="852" spans="15:31" ht="14.25" customHeight="1" x14ac:dyDescent="0.35"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  <c r="AB852" s="170"/>
      <c r="AC852" s="170"/>
      <c r="AD852" s="170"/>
      <c r="AE852" s="170"/>
    </row>
    <row r="853" spans="15:31" ht="14.25" customHeight="1" x14ac:dyDescent="0.35"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  <c r="AB853" s="170"/>
      <c r="AC853" s="170"/>
      <c r="AD853" s="170"/>
      <c r="AE853" s="170"/>
    </row>
    <row r="854" spans="15:31" ht="14.25" customHeight="1" x14ac:dyDescent="0.35"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  <c r="AB854" s="170"/>
      <c r="AC854" s="170"/>
      <c r="AD854" s="170"/>
      <c r="AE854" s="170"/>
    </row>
    <row r="855" spans="15:31" ht="14.25" customHeight="1" x14ac:dyDescent="0.35"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  <c r="AB855" s="170"/>
      <c r="AC855" s="170"/>
      <c r="AD855" s="170"/>
      <c r="AE855" s="170"/>
    </row>
    <row r="856" spans="15:31" ht="14.25" customHeight="1" x14ac:dyDescent="0.35"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  <c r="AB856" s="170"/>
      <c r="AC856" s="170"/>
      <c r="AD856" s="170"/>
      <c r="AE856" s="170"/>
    </row>
    <row r="857" spans="15:31" ht="14.25" customHeight="1" x14ac:dyDescent="0.35"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  <c r="AB857" s="170"/>
      <c r="AC857" s="170"/>
      <c r="AD857" s="170"/>
      <c r="AE857" s="170"/>
    </row>
    <row r="858" spans="15:31" ht="14.25" customHeight="1" x14ac:dyDescent="0.35"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  <c r="AB858" s="170"/>
      <c r="AC858" s="170"/>
      <c r="AD858" s="170"/>
      <c r="AE858" s="170"/>
    </row>
    <row r="859" spans="15:31" ht="14.25" customHeight="1" x14ac:dyDescent="0.35"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  <c r="AB859" s="170"/>
      <c r="AC859" s="170"/>
      <c r="AD859" s="170"/>
      <c r="AE859" s="170"/>
    </row>
    <row r="860" spans="15:31" ht="14.25" customHeight="1" x14ac:dyDescent="0.35"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  <c r="AB860" s="170"/>
      <c r="AC860" s="170"/>
      <c r="AD860" s="170"/>
      <c r="AE860" s="170"/>
    </row>
    <row r="861" spans="15:31" ht="14.25" customHeight="1" x14ac:dyDescent="0.35"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  <c r="AB861" s="170"/>
      <c r="AC861" s="170"/>
      <c r="AD861" s="170"/>
      <c r="AE861" s="170"/>
    </row>
    <row r="862" spans="15:31" ht="14.25" customHeight="1" x14ac:dyDescent="0.35"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  <c r="AB862" s="170"/>
      <c r="AC862" s="170"/>
      <c r="AD862" s="170"/>
      <c r="AE862" s="170"/>
    </row>
    <row r="863" spans="15:31" ht="14.25" customHeight="1" x14ac:dyDescent="0.35"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  <c r="AB863" s="170"/>
      <c r="AC863" s="170"/>
      <c r="AD863" s="170"/>
      <c r="AE863" s="170"/>
    </row>
    <row r="864" spans="15:31" ht="14.25" customHeight="1" x14ac:dyDescent="0.35"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  <c r="AB864" s="170"/>
      <c r="AC864" s="170"/>
      <c r="AD864" s="170"/>
      <c r="AE864" s="170"/>
    </row>
    <row r="865" spans="15:31" ht="14.25" customHeight="1" x14ac:dyDescent="0.35"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  <c r="AB865" s="170"/>
      <c r="AC865" s="170"/>
      <c r="AD865" s="170"/>
      <c r="AE865" s="170"/>
    </row>
    <row r="866" spans="15:31" ht="14.25" customHeight="1" x14ac:dyDescent="0.35"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  <c r="AB866" s="170"/>
      <c r="AC866" s="170"/>
      <c r="AD866" s="170"/>
      <c r="AE866" s="170"/>
    </row>
    <row r="867" spans="15:31" ht="14.25" customHeight="1" x14ac:dyDescent="0.35"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  <c r="AB867" s="170"/>
      <c r="AC867" s="170"/>
      <c r="AD867" s="170"/>
      <c r="AE867" s="170"/>
    </row>
    <row r="868" spans="15:31" ht="14.25" customHeight="1" x14ac:dyDescent="0.35"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  <c r="AB868" s="170"/>
      <c r="AC868" s="170"/>
      <c r="AD868" s="170"/>
      <c r="AE868" s="170"/>
    </row>
    <row r="869" spans="15:31" ht="14.25" customHeight="1" x14ac:dyDescent="0.35"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  <c r="AB869" s="170"/>
      <c r="AC869" s="170"/>
      <c r="AD869" s="170"/>
      <c r="AE869" s="170"/>
    </row>
    <row r="870" spans="15:31" ht="14.25" customHeight="1" x14ac:dyDescent="0.35"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  <c r="AB870" s="170"/>
      <c r="AC870" s="170"/>
      <c r="AD870" s="170"/>
      <c r="AE870" s="170"/>
    </row>
    <row r="871" spans="15:31" ht="14.25" customHeight="1" x14ac:dyDescent="0.35"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  <c r="AB871" s="170"/>
      <c r="AC871" s="170"/>
      <c r="AD871" s="170"/>
      <c r="AE871" s="170"/>
    </row>
    <row r="872" spans="15:31" ht="14.25" customHeight="1" x14ac:dyDescent="0.35"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  <c r="AB872" s="170"/>
      <c r="AC872" s="170"/>
      <c r="AD872" s="170"/>
      <c r="AE872" s="170"/>
    </row>
    <row r="873" spans="15:31" ht="14.25" customHeight="1" x14ac:dyDescent="0.35"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  <c r="AB873" s="170"/>
      <c r="AC873" s="170"/>
      <c r="AD873" s="170"/>
      <c r="AE873" s="170"/>
    </row>
    <row r="874" spans="15:31" ht="14.25" customHeight="1" x14ac:dyDescent="0.35"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  <c r="AB874" s="170"/>
      <c r="AC874" s="170"/>
      <c r="AD874" s="170"/>
      <c r="AE874" s="170"/>
    </row>
    <row r="875" spans="15:31" ht="14.25" customHeight="1" x14ac:dyDescent="0.35"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  <c r="AB875" s="170"/>
      <c r="AC875" s="170"/>
      <c r="AD875" s="170"/>
      <c r="AE875" s="170"/>
    </row>
    <row r="876" spans="15:31" ht="14.25" customHeight="1" x14ac:dyDescent="0.35"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  <c r="AB876" s="170"/>
      <c r="AC876" s="170"/>
      <c r="AD876" s="170"/>
      <c r="AE876" s="170"/>
    </row>
    <row r="877" spans="15:31" ht="14.25" customHeight="1" x14ac:dyDescent="0.35"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  <c r="AB877" s="170"/>
      <c r="AC877" s="170"/>
      <c r="AD877" s="170"/>
      <c r="AE877" s="170"/>
    </row>
    <row r="878" spans="15:31" ht="14.25" customHeight="1" x14ac:dyDescent="0.35"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  <c r="AB878" s="170"/>
      <c r="AC878" s="170"/>
      <c r="AD878" s="170"/>
      <c r="AE878" s="170"/>
    </row>
    <row r="879" spans="15:31" ht="14.25" customHeight="1" x14ac:dyDescent="0.35"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  <c r="AB879" s="170"/>
      <c r="AC879" s="170"/>
      <c r="AD879" s="170"/>
      <c r="AE879" s="170"/>
    </row>
    <row r="880" spans="15:31" ht="14.25" customHeight="1" x14ac:dyDescent="0.35"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  <c r="AB880" s="170"/>
      <c r="AC880" s="170"/>
      <c r="AD880" s="170"/>
      <c r="AE880" s="170"/>
    </row>
    <row r="881" spans="15:31" ht="14.25" customHeight="1" x14ac:dyDescent="0.35"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  <c r="AB881" s="170"/>
      <c r="AC881" s="170"/>
      <c r="AD881" s="170"/>
      <c r="AE881" s="170"/>
    </row>
    <row r="882" spans="15:31" ht="14.25" customHeight="1" x14ac:dyDescent="0.35"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  <c r="AB882" s="170"/>
      <c r="AC882" s="170"/>
      <c r="AD882" s="170"/>
      <c r="AE882" s="170"/>
    </row>
    <row r="883" spans="15:31" ht="14.25" customHeight="1" x14ac:dyDescent="0.35"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  <c r="AB883" s="170"/>
      <c r="AC883" s="170"/>
      <c r="AD883" s="170"/>
      <c r="AE883" s="170"/>
    </row>
    <row r="884" spans="15:31" ht="14.25" customHeight="1" x14ac:dyDescent="0.35"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  <c r="AB884" s="170"/>
      <c r="AC884" s="170"/>
      <c r="AD884" s="170"/>
      <c r="AE884" s="170"/>
    </row>
    <row r="885" spans="15:31" ht="14.25" customHeight="1" x14ac:dyDescent="0.35"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  <c r="AB885" s="170"/>
      <c r="AC885" s="170"/>
      <c r="AD885" s="170"/>
      <c r="AE885" s="170"/>
    </row>
    <row r="886" spans="15:31" ht="14.25" customHeight="1" x14ac:dyDescent="0.35"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  <c r="AB886" s="170"/>
      <c r="AC886" s="170"/>
      <c r="AD886" s="170"/>
      <c r="AE886" s="170"/>
    </row>
    <row r="887" spans="15:31" ht="14.25" customHeight="1" x14ac:dyDescent="0.35"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  <c r="AB887" s="170"/>
      <c r="AC887" s="170"/>
      <c r="AD887" s="170"/>
      <c r="AE887" s="170"/>
    </row>
    <row r="888" spans="15:31" ht="14.25" customHeight="1" x14ac:dyDescent="0.35"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  <c r="AB888" s="170"/>
      <c r="AC888" s="170"/>
      <c r="AD888" s="170"/>
      <c r="AE888" s="170"/>
    </row>
    <row r="889" spans="15:31" ht="14.25" customHeight="1" x14ac:dyDescent="0.35"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  <c r="AB889" s="170"/>
      <c r="AC889" s="170"/>
      <c r="AD889" s="170"/>
      <c r="AE889" s="170"/>
    </row>
    <row r="890" spans="15:31" ht="14.25" customHeight="1" x14ac:dyDescent="0.35"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  <c r="AB890" s="170"/>
      <c r="AC890" s="170"/>
      <c r="AD890" s="170"/>
      <c r="AE890" s="170"/>
    </row>
    <row r="891" spans="15:31" ht="14.25" customHeight="1" x14ac:dyDescent="0.35"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0"/>
      <c r="AC891" s="170"/>
      <c r="AD891" s="170"/>
      <c r="AE891" s="170"/>
    </row>
    <row r="892" spans="15:31" ht="14.25" customHeight="1" x14ac:dyDescent="0.35"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  <c r="AB892" s="170"/>
      <c r="AC892" s="170"/>
      <c r="AD892" s="170"/>
      <c r="AE892" s="170"/>
    </row>
    <row r="893" spans="15:31" ht="14.25" customHeight="1" x14ac:dyDescent="0.35"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0"/>
      <c r="AC893" s="170"/>
      <c r="AD893" s="170"/>
      <c r="AE893" s="170"/>
    </row>
    <row r="894" spans="15:31" ht="14.25" customHeight="1" x14ac:dyDescent="0.35"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  <c r="AB894" s="170"/>
      <c r="AC894" s="170"/>
      <c r="AD894" s="170"/>
      <c r="AE894" s="170"/>
    </row>
    <row r="895" spans="15:31" ht="14.25" customHeight="1" x14ac:dyDescent="0.35"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  <c r="AB895" s="170"/>
      <c r="AC895" s="170"/>
      <c r="AD895" s="170"/>
      <c r="AE895" s="170"/>
    </row>
    <row r="896" spans="15:31" ht="14.25" customHeight="1" x14ac:dyDescent="0.35"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  <c r="AB896" s="170"/>
      <c r="AC896" s="170"/>
      <c r="AD896" s="170"/>
      <c r="AE896" s="170"/>
    </row>
    <row r="897" spans="15:31" ht="14.25" customHeight="1" x14ac:dyDescent="0.35"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  <c r="AB897" s="170"/>
      <c r="AC897" s="170"/>
      <c r="AD897" s="170"/>
      <c r="AE897" s="170"/>
    </row>
    <row r="898" spans="15:31" ht="14.25" customHeight="1" x14ac:dyDescent="0.35"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  <c r="AB898" s="170"/>
      <c r="AC898" s="170"/>
      <c r="AD898" s="170"/>
      <c r="AE898" s="170"/>
    </row>
    <row r="899" spans="15:31" ht="14.25" customHeight="1" x14ac:dyDescent="0.35"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  <c r="AB899" s="170"/>
      <c r="AC899" s="170"/>
      <c r="AD899" s="170"/>
      <c r="AE899" s="170"/>
    </row>
    <row r="900" spans="15:31" ht="14.25" customHeight="1" x14ac:dyDescent="0.35"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  <c r="AB900" s="170"/>
      <c r="AC900" s="170"/>
      <c r="AD900" s="170"/>
      <c r="AE900" s="170"/>
    </row>
    <row r="901" spans="15:31" ht="14.25" customHeight="1" x14ac:dyDescent="0.35"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  <c r="AB901" s="170"/>
      <c r="AC901" s="170"/>
      <c r="AD901" s="170"/>
      <c r="AE901" s="170"/>
    </row>
    <row r="902" spans="15:31" ht="14.25" customHeight="1" x14ac:dyDescent="0.35"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  <c r="AB902" s="170"/>
      <c r="AC902" s="170"/>
      <c r="AD902" s="170"/>
      <c r="AE902" s="170"/>
    </row>
    <row r="903" spans="15:31" ht="14.25" customHeight="1" x14ac:dyDescent="0.35"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  <c r="AB903" s="170"/>
      <c r="AC903" s="170"/>
      <c r="AD903" s="170"/>
      <c r="AE903" s="170"/>
    </row>
    <row r="904" spans="15:31" ht="14.25" customHeight="1" x14ac:dyDescent="0.35"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  <c r="AB904" s="170"/>
      <c r="AC904" s="170"/>
      <c r="AD904" s="170"/>
      <c r="AE904" s="170"/>
    </row>
    <row r="905" spans="15:31" ht="14.25" customHeight="1" x14ac:dyDescent="0.35"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  <c r="AB905" s="170"/>
      <c r="AC905" s="170"/>
      <c r="AD905" s="170"/>
      <c r="AE905" s="170"/>
    </row>
    <row r="906" spans="15:31" ht="14.25" customHeight="1" x14ac:dyDescent="0.35"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  <c r="AC906" s="170"/>
      <c r="AD906" s="170"/>
      <c r="AE906" s="170"/>
    </row>
    <row r="907" spans="15:31" ht="14.25" customHeight="1" x14ac:dyDescent="0.35"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  <c r="AB907" s="170"/>
      <c r="AC907" s="170"/>
      <c r="AD907" s="170"/>
      <c r="AE907" s="170"/>
    </row>
    <row r="908" spans="15:31" ht="14.25" customHeight="1" x14ac:dyDescent="0.35"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  <c r="AB908" s="170"/>
      <c r="AC908" s="170"/>
      <c r="AD908" s="170"/>
      <c r="AE908" s="170"/>
    </row>
    <row r="909" spans="15:31" ht="14.25" customHeight="1" x14ac:dyDescent="0.35"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  <c r="AB909" s="170"/>
      <c r="AC909" s="170"/>
      <c r="AD909" s="170"/>
      <c r="AE909" s="170"/>
    </row>
    <row r="910" spans="15:31" ht="14.25" customHeight="1" x14ac:dyDescent="0.35"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  <c r="AB910" s="170"/>
      <c r="AC910" s="170"/>
      <c r="AD910" s="170"/>
      <c r="AE910" s="170"/>
    </row>
    <row r="911" spans="15:31" ht="14.25" customHeight="1" x14ac:dyDescent="0.35"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  <c r="AB911" s="170"/>
      <c r="AC911" s="170"/>
      <c r="AD911" s="170"/>
      <c r="AE911" s="170"/>
    </row>
    <row r="912" spans="15:31" ht="14.25" customHeight="1" x14ac:dyDescent="0.35"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  <c r="AC912" s="170"/>
      <c r="AD912" s="170"/>
      <c r="AE912" s="170"/>
    </row>
    <row r="913" spans="15:31" ht="14.25" customHeight="1" x14ac:dyDescent="0.35"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  <c r="AB913" s="170"/>
      <c r="AC913" s="170"/>
      <c r="AD913" s="170"/>
      <c r="AE913" s="170"/>
    </row>
    <row r="914" spans="15:31" ht="14.25" customHeight="1" x14ac:dyDescent="0.35"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  <c r="AB914" s="170"/>
      <c r="AC914" s="170"/>
      <c r="AD914" s="170"/>
      <c r="AE914" s="170"/>
    </row>
    <row r="915" spans="15:31" ht="14.25" customHeight="1" x14ac:dyDescent="0.35"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  <c r="AA915" s="170"/>
      <c r="AB915" s="170"/>
      <c r="AC915" s="170"/>
      <c r="AD915" s="170"/>
      <c r="AE915" s="170"/>
    </row>
    <row r="916" spans="15:31" ht="14.25" customHeight="1" x14ac:dyDescent="0.35"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  <c r="AA916" s="170"/>
      <c r="AB916" s="170"/>
      <c r="AC916" s="170"/>
      <c r="AD916" s="170"/>
      <c r="AE916" s="170"/>
    </row>
    <row r="917" spans="15:31" ht="14.25" customHeight="1" x14ac:dyDescent="0.35"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  <c r="AA917" s="170"/>
      <c r="AB917" s="170"/>
      <c r="AC917" s="170"/>
      <c r="AD917" s="170"/>
      <c r="AE917" s="170"/>
    </row>
    <row r="918" spans="15:31" ht="14.25" customHeight="1" x14ac:dyDescent="0.35"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  <c r="AA918" s="170"/>
      <c r="AB918" s="170"/>
      <c r="AC918" s="170"/>
      <c r="AD918" s="170"/>
      <c r="AE918" s="170"/>
    </row>
    <row r="919" spans="15:31" ht="14.25" customHeight="1" x14ac:dyDescent="0.35"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  <c r="AB919" s="170"/>
      <c r="AC919" s="170"/>
      <c r="AD919" s="170"/>
      <c r="AE919" s="170"/>
    </row>
    <row r="920" spans="15:31" ht="14.25" customHeight="1" x14ac:dyDescent="0.35"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  <c r="AA920" s="170"/>
      <c r="AB920" s="170"/>
      <c r="AC920" s="170"/>
      <c r="AD920" s="170"/>
      <c r="AE920" s="170"/>
    </row>
    <row r="921" spans="15:31" ht="14.25" customHeight="1" x14ac:dyDescent="0.35"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  <c r="AA921" s="170"/>
      <c r="AB921" s="170"/>
      <c r="AC921" s="170"/>
      <c r="AD921" s="170"/>
      <c r="AE921" s="170"/>
    </row>
    <row r="922" spans="15:31" ht="14.25" customHeight="1" x14ac:dyDescent="0.35"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  <c r="AA922" s="170"/>
      <c r="AB922" s="170"/>
      <c r="AC922" s="170"/>
      <c r="AD922" s="170"/>
      <c r="AE922" s="170"/>
    </row>
    <row r="923" spans="15:31" ht="14.25" customHeight="1" x14ac:dyDescent="0.35"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  <c r="AA923" s="170"/>
      <c r="AB923" s="170"/>
      <c r="AC923" s="170"/>
      <c r="AD923" s="170"/>
      <c r="AE923" s="170"/>
    </row>
    <row r="924" spans="15:31" ht="14.25" customHeight="1" x14ac:dyDescent="0.35"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  <c r="AA924" s="170"/>
      <c r="AB924" s="170"/>
      <c r="AC924" s="170"/>
      <c r="AD924" s="170"/>
      <c r="AE924" s="170"/>
    </row>
    <row r="925" spans="15:31" ht="14.25" customHeight="1" x14ac:dyDescent="0.35"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  <c r="AA925" s="170"/>
      <c r="AB925" s="170"/>
      <c r="AC925" s="170"/>
      <c r="AD925" s="170"/>
      <c r="AE925" s="170"/>
    </row>
    <row r="926" spans="15:31" ht="14.25" customHeight="1" x14ac:dyDescent="0.35"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  <c r="AA926" s="170"/>
      <c r="AB926" s="170"/>
      <c r="AC926" s="170"/>
      <c r="AD926" s="170"/>
      <c r="AE926" s="170"/>
    </row>
    <row r="927" spans="15:31" ht="14.25" customHeight="1" x14ac:dyDescent="0.35"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  <c r="AA927" s="170"/>
      <c r="AB927" s="170"/>
      <c r="AC927" s="170"/>
      <c r="AD927" s="170"/>
      <c r="AE927" s="170"/>
    </row>
    <row r="928" spans="15:31" ht="14.25" customHeight="1" x14ac:dyDescent="0.35"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  <c r="AA928" s="170"/>
      <c r="AB928" s="170"/>
      <c r="AC928" s="170"/>
      <c r="AD928" s="170"/>
      <c r="AE928" s="170"/>
    </row>
    <row r="929" spans="15:31" ht="14.25" customHeight="1" x14ac:dyDescent="0.35"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  <c r="AA929" s="170"/>
      <c r="AB929" s="170"/>
      <c r="AC929" s="170"/>
      <c r="AD929" s="170"/>
      <c r="AE929" s="170"/>
    </row>
    <row r="930" spans="15:31" ht="14.25" customHeight="1" x14ac:dyDescent="0.35"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  <c r="AA930" s="170"/>
      <c r="AB930" s="170"/>
      <c r="AC930" s="170"/>
      <c r="AD930" s="170"/>
      <c r="AE930" s="170"/>
    </row>
    <row r="931" spans="15:31" ht="14.25" customHeight="1" x14ac:dyDescent="0.35"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  <c r="AA931" s="170"/>
      <c r="AB931" s="170"/>
      <c r="AC931" s="170"/>
      <c r="AD931" s="170"/>
      <c r="AE931" s="170"/>
    </row>
    <row r="932" spans="15:31" ht="14.25" customHeight="1" x14ac:dyDescent="0.35"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  <c r="AA932" s="170"/>
      <c r="AB932" s="170"/>
      <c r="AC932" s="170"/>
      <c r="AD932" s="170"/>
      <c r="AE932" s="170"/>
    </row>
    <row r="933" spans="15:31" ht="14.25" customHeight="1" x14ac:dyDescent="0.35"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  <c r="AB933" s="170"/>
      <c r="AC933" s="170"/>
      <c r="AD933" s="170"/>
      <c r="AE933" s="170"/>
    </row>
    <row r="934" spans="15:31" ht="14.25" customHeight="1" x14ac:dyDescent="0.35"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  <c r="AA934" s="170"/>
      <c r="AB934" s="170"/>
      <c r="AC934" s="170"/>
      <c r="AD934" s="170"/>
      <c r="AE934" s="170"/>
    </row>
    <row r="935" spans="15:31" ht="14.25" customHeight="1" x14ac:dyDescent="0.35"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  <c r="AA935" s="170"/>
      <c r="AB935" s="170"/>
      <c r="AC935" s="170"/>
      <c r="AD935" s="170"/>
      <c r="AE935" s="170"/>
    </row>
    <row r="936" spans="15:31" ht="14.25" customHeight="1" x14ac:dyDescent="0.35"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  <c r="AA936" s="170"/>
      <c r="AB936" s="170"/>
      <c r="AC936" s="170"/>
      <c r="AD936" s="170"/>
      <c r="AE936" s="170"/>
    </row>
    <row r="937" spans="15:31" ht="14.25" customHeight="1" x14ac:dyDescent="0.35"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  <c r="AA937" s="170"/>
      <c r="AB937" s="170"/>
      <c r="AC937" s="170"/>
      <c r="AD937" s="170"/>
      <c r="AE937" s="170"/>
    </row>
    <row r="938" spans="15:31" ht="14.25" customHeight="1" x14ac:dyDescent="0.35"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  <c r="AA938" s="170"/>
      <c r="AB938" s="170"/>
      <c r="AC938" s="170"/>
      <c r="AD938" s="170"/>
      <c r="AE938" s="170"/>
    </row>
    <row r="939" spans="15:31" ht="14.25" customHeight="1" x14ac:dyDescent="0.35"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  <c r="AA939" s="170"/>
      <c r="AB939" s="170"/>
      <c r="AC939" s="170"/>
      <c r="AD939" s="170"/>
      <c r="AE939" s="170"/>
    </row>
    <row r="940" spans="15:31" ht="14.25" customHeight="1" x14ac:dyDescent="0.35"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  <c r="AA940" s="170"/>
      <c r="AB940" s="170"/>
      <c r="AC940" s="170"/>
      <c r="AD940" s="170"/>
      <c r="AE940" s="170"/>
    </row>
    <row r="941" spans="15:31" ht="14.25" customHeight="1" x14ac:dyDescent="0.35"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  <c r="AA941" s="170"/>
      <c r="AB941" s="170"/>
      <c r="AC941" s="170"/>
      <c r="AD941" s="170"/>
      <c r="AE941" s="170"/>
    </row>
    <row r="942" spans="15:31" ht="14.25" customHeight="1" x14ac:dyDescent="0.35"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  <c r="AA942" s="170"/>
      <c r="AB942" s="170"/>
      <c r="AC942" s="170"/>
      <c r="AD942" s="170"/>
      <c r="AE942" s="170"/>
    </row>
    <row r="943" spans="15:31" ht="14.25" customHeight="1" x14ac:dyDescent="0.35"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  <c r="AA943" s="170"/>
      <c r="AB943" s="170"/>
      <c r="AC943" s="170"/>
      <c r="AD943" s="170"/>
      <c r="AE943" s="170"/>
    </row>
    <row r="944" spans="15:31" ht="14.25" customHeight="1" x14ac:dyDescent="0.35"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  <c r="AB944" s="170"/>
      <c r="AC944" s="170"/>
      <c r="AD944" s="170"/>
      <c r="AE944" s="170"/>
    </row>
    <row r="945" spans="15:31" ht="14.25" customHeight="1" x14ac:dyDescent="0.35"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  <c r="AA945" s="170"/>
      <c r="AB945" s="170"/>
      <c r="AC945" s="170"/>
      <c r="AD945" s="170"/>
      <c r="AE945" s="170"/>
    </row>
    <row r="946" spans="15:31" ht="14.25" customHeight="1" x14ac:dyDescent="0.35"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  <c r="AA946" s="170"/>
      <c r="AB946" s="170"/>
      <c r="AC946" s="170"/>
      <c r="AD946" s="170"/>
      <c r="AE946" s="170"/>
    </row>
    <row r="947" spans="15:31" ht="14.25" customHeight="1" x14ac:dyDescent="0.35"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  <c r="AA947" s="170"/>
      <c r="AB947" s="170"/>
      <c r="AC947" s="170"/>
      <c r="AD947" s="170"/>
      <c r="AE947" s="170"/>
    </row>
    <row r="948" spans="15:31" ht="14.25" customHeight="1" x14ac:dyDescent="0.35"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  <c r="AA948" s="170"/>
      <c r="AB948" s="170"/>
      <c r="AC948" s="170"/>
      <c r="AD948" s="170"/>
      <c r="AE948" s="170"/>
    </row>
    <row r="949" spans="15:31" ht="14.25" customHeight="1" x14ac:dyDescent="0.35"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  <c r="AA949" s="170"/>
      <c r="AB949" s="170"/>
      <c r="AC949" s="170"/>
      <c r="AD949" s="170"/>
      <c r="AE949" s="170"/>
    </row>
    <row r="950" spans="15:31" ht="14.25" customHeight="1" x14ac:dyDescent="0.35"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  <c r="AA950" s="170"/>
      <c r="AB950" s="170"/>
      <c r="AC950" s="170"/>
      <c r="AD950" s="170"/>
      <c r="AE950" s="170"/>
    </row>
    <row r="951" spans="15:31" ht="14.25" customHeight="1" x14ac:dyDescent="0.35"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  <c r="AA951" s="170"/>
      <c r="AB951" s="170"/>
      <c r="AC951" s="170"/>
      <c r="AD951" s="170"/>
      <c r="AE951" s="170"/>
    </row>
    <row r="952" spans="15:31" ht="14.25" customHeight="1" x14ac:dyDescent="0.35"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  <c r="AA952" s="170"/>
      <c r="AB952" s="170"/>
      <c r="AC952" s="170"/>
      <c r="AD952" s="170"/>
      <c r="AE952" s="170"/>
    </row>
    <row r="953" spans="15:31" ht="14.25" customHeight="1" x14ac:dyDescent="0.35"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  <c r="AA953" s="170"/>
      <c r="AB953" s="170"/>
      <c r="AC953" s="170"/>
      <c r="AD953" s="170"/>
      <c r="AE953" s="170"/>
    </row>
    <row r="954" spans="15:31" ht="14.25" customHeight="1" x14ac:dyDescent="0.35"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  <c r="AB954" s="170"/>
      <c r="AC954" s="170"/>
      <c r="AD954" s="170"/>
      <c r="AE954" s="170"/>
    </row>
    <row r="955" spans="15:31" ht="14.25" customHeight="1" x14ac:dyDescent="0.35"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  <c r="AA955" s="170"/>
      <c r="AB955" s="170"/>
      <c r="AC955" s="170"/>
      <c r="AD955" s="170"/>
      <c r="AE955" s="170"/>
    </row>
    <row r="956" spans="15:31" ht="14.25" customHeight="1" x14ac:dyDescent="0.35"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  <c r="AA956" s="170"/>
      <c r="AB956" s="170"/>
      <c r="AC956" s="170"/>
      <c r="AD956" s="170"/>
      <c r="AE956" s="170"/>
    </row>
    <row r="957" spans="15:31" ht="14.25" customHeight="1" x14ac:dyDescent="0.35"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  <c r="AA957" s="170"/>
      <c r="AB957" s="170"/>
      <c r="AC957" s="170"/>
      <c r="AD957" s="170"/>
      <c r="AE957" s="170"/>
    </row>
    <row r="958" spans="15:31" ht="14.25" customHeight="1" x14ac:dyDescent="0.35"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  <c r="AA958" s="170"/>
      <c r="AB958" s="170"/>
      <c r="AC958" s="170"/>
      <c r="AD958" s="170"/>
      <c r="AE958" s="170"/>
    </row>
    <row r="959" spans="15:31" ht="14.25" customHeight="1" x14ac:dyDescent="0.35"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  <c r="AA959" s="170"/>
      <c r="AB959" s="170"/>
      <c r="AC959" s="170"/>
      <c r="AD959" s="170"/>
      <c r="AE959" s="170"/>
    </row>
    <row r="960" spans="15:31" ht="14.25" customHeight="1" x14ac:dyDescent="0.35"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  <c r="AA960" s="170"/>
      <c r="AB960" s="170"/>
      <c r="AC960" s="170"/>
      <c r="AD960" s="170"/>
      <c r="AE960" s="170"/>
    </row>
    <row r="961" spans="15:31" ht="14.25" customHeight="1" x14ac:dyDescent="0.35"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  <c r="AA961" s="170"/>
      <c r="AB961" s="170"/>
      <c r="AC961" s="170"/>
      <c r="AD961" s="170"/>
      <c r="AE961" s="170"/>
    </row>
    <row r="962" spans="15:31" ht="14.25" customHeight="1" x14ac:dyDescent="0.35"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  <c r="AA962" s="170"/>
      <c r="AB962" s="170"/>
      <c r="AC962" s="170"/>
      <c r="AD962" s="170"/>
      <c r="AE962" s="170"/>
    </row>
    <row r="963" spans="15:31" ht="14.25" customHeight="1" x14ac:dyDescent="0.35"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  <c r="AA963" s="170"/>
      <c r="AB963" s="170"/>
      <c r="AC963" s="170"/>
      <c r="AD963" s="170"/>
      <c r="AE963" s="170"/>
    </row>
    <row r="964" spans="15:31" ht="14.25" customHeight="1" x14ac:dyDescent="0.35"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  <c r="AA964" s="170"/>
      <c r="AB964" s="170"/>
      <c r="AC964" s="170"/>
      <c r="AD964" s="170"/>
      <c r="AE964" s="170"/>
    </row>
    <row r="965" spans="15:31" ht="14.25" customHeight="1" x14ac:dyDescent="0.35"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  <c r="AA965" s="170"/>
      <c r="AB965" s="170"/>
      <c r="AC965" s="170"/>
      <c r="AD965" s="170"/>
      <c r="AE965" s="170"/>
    </row>
    <row r="966" spans="15:31" ht="14.25" customHeight="1" x14ac:dyDescent="0.35"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  <c r="AB966" s="170"/>
      <c r="AC966" s="170"/>
      <c r="AD966" s="170"/>
      <c r="AE966" s="170"/>
    </row>
    <row r="967" spans="15:31" ht="14.25" customHeight="1" x14ac:dyDescent="0.35"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  <c r="AA967" s="170"/>
      <c r="AB967" s="170"/>
      <c r="AC967" s="170"/>
      <c r="AD967" s="170"/>
      <c r="AE967" s="170"/>
    </row>
    <row r="968" spans="15:31" ht="14.25" customHeight="1" x14ac:dyDescent="0.35"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  <c r="AA968" s="170"/>
      <c r="AB968" s="170"/>
      <c r="AC968" s="170"/>
      <c r="AD968" s="170"/>
      <c r="AE968" s="170"/>
    </row>
    <row r="969" spans="15:31" ht="14.25" customHeight="1" x14ac:dyDescent="0.35"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  <c r="AA969" s="170"/>
      <c r="AB969" s="170"/>
      <c r="AC969" s="170"/>
      <c r="AD969" s="170"/>
      <c r="AE969" s="170"/>
    </row>
    <row r="970" spans="15:31" ht="14.25" customHeight="1" x14ac:dyDescent="0.35"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  <c r="AA970" s="170"/>
      <c r="AB970" s="170"/>
      <c r="AC970" s="170"/>
      <c r="AD970" s="170"/>
      <c r="AE970" s="170"/>
    </row>
    <row r="971" spans="15:31" ht="14.25" customHeight="1" x14ac:dyDescent="0.35"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  <c r="AA971" s="170"/>
      <c r="AB971" s="170"/>
      <c r="AC971" s="170"/>
      <c r="AD971" s="170"/>
      <c r="AE971" s="170"/>
    </row>
    <row r="972" spans="15:31" ht="14.25" customHeight="1" x14ac:dyDescent="0.35"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  <c r="AA972" s="170"/>
      <c r="AB972" s="170"/>
      <c r="AC972" s="170"/>
      <c r="AD972" s="170"/>
      <c r="AE972" s="170"/>
    </row>
    <row r="973" spans="15:31" ht="14.25" customHeight="1" x14ac:dyDescent="0.35"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  <c r="AA973" s="170"/>
      <c r="AB973" s="170"/>
      <c r="AC973" s="170"/>
      <c r="AD973" s="170"/>
      <c r="AE973" s="170"/>
    </row>
    <row r="974" spans="15:31" ht="14.25" customHeight="1" x14ac:dyDescent="0.35"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  <c r="AB974" s="170"/>
      <c r="AC974" s="170"/>
      <c r="AD974" s="170"/>
      <c r="AE974" s="170"/>
    </row>
    <row r="975" spans="15:31" ht="14.25" customHeight="1" x14ac:dyDescent="0.35"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  <c r="AA975" s="170"/>
      <c r="AB975" s="170"/>
      <c r="AC975" s="170"/>
      <c r="AD975" s="170"/>
      <c r="AE975" s="170"/>
    </row>
    <row r="976" spans="15:31" ht="14.25" customHeight="1" x14ac:dyDescent="0.35"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  <c r="AA976" s="170"/>
      <c r="AB976" s="170"/>
      <c r="AC976" s="170"/>
      <c r="AD976" s="170"/>
      <c r="AE976" s="170"/>
    </row>
    <row r="977" spans="15:31" ht="14.25" customHeight="1" x14ac:dyDescent="0.35"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  <c r="AA977" s="170"/>
      <c r="AB977" s="170"/>
      <c r="AC977" s="170"/>
      <c r="AD977" s="170"/>
      <c r="AE977" s="170"/>
    </row>
    <row r="978" spans="15:31" ht="14.25" customHeight="1" x14ac:dyDescent="0.35"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  <c r="AA978" s="170"/>
      <c r="AB978" s="170"/>
      <c r="AC978" s="170"/>
      <c r="AD978" s="170"/>
      <c r="AE978" s="170"/>
    </row>
    <row r="979" spans="15:31" ht="14.25" customHeight="1" x14ac:dyDescent="0.35"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  <c r="AA979" s="170"/>
      <c r="AB979" s="170"/>
      <c r="AC979" s="170"/>
      <c r="AD979" s="170"/>
      <c r="AE979" s="170"/>
    </row>
    <row r="980" spans="15:31" ht="14.25" customHeight="1" x14ac:dyDescent="0.35"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  <c r="AA980" s="170"/>
      <c r="AB980" s="170"/>
      <c r="AC980" s="170"/>
      <c r="AD980" s="170"/>
      <c r="AE980" s="170"/>
    </row>
    <row r="981" spans="15:31" ht="14.25" customHeight="1" x14ac:dyDescent="0.35"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  <c r="AA981" s="170"/>
      <c r="AB981" s="170"/>
      <c r="AC981" s="170"/>
      <c r="AD981" s="170"/>
      <c r="AE981" s="170"/>
    </row>
    <row r="982" spans="15:31" ht="14.25" customHeight="1" x14ac:dyDescent="0.35"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  <c r="AA982" s="170"/>
      <c r="AB982" s="170"/>
      <c r="AC982" s="170"/>
      <c r="AD982" s="170"/>
      <c r="AE982" s="170"/>
    </row>
    <row r="983" spans="15:31" ht="14.25" customHeight="1" x14ac:dyDescent="0.35"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  <c r="AA983" s="170"/>
      <c r="AB983" s="170"/>
      <c r="AC983" s="170"/>
      <c r="AD983" s="170"/>
      <c r="AE983" s="170"/>
    </row>
    <row r="984" spans="15:31" ht="14.25" customHeight="1" x14ac:dyDescent="0.35"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  <c r="AA984" s="170"/>
      <c r="AB984" s="170"/>
      <c r="AC984" s="170"/>
      <c r="AD984" s="170"/>
      <c r="AE984" s="170"/>
    </row>
    <row r="985" spans="15:31" ht="14.25" customHeight="1" x14ac:dyDescent="0.35"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  <c r="AA985" s="170"/>
      <c r="AB985" s="170"/>
      <c r="AC985" s="170"/>
      <c r="AD985" s="170"/>
      <c r="AE985" s="170"/>
    </row>
    <row r="986" spans="15:31" ht="14.25" customHeight="1" x14ac:dyDescent="0.35"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  <c r="AA986" s="170"/>
      <c r="AB986" s="170"/>
      <c r="AC986" s="170"/>
      <c r="AD986" s="170"/>
      <c r="AE986" s="170"/>
    </row>
    <row r="987" spans="15:31" ht="14.25" customHeight="1" x14ac:dyDescent="0.35"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  <c r="AA987" s="170"/>
      <c r="AB987" s="170"/>
      <c r="AC987" s="170"/>
      <c r="AD987" s="170"/>
      <c r="AE987" s="170"/>
    </row>
  </sheetData>
  <autoFilter ref="A7:BS24" xr:uid="{00000000-0001-0000-0200-000000000000}"/>
  <mergeCells count="47">
    <mergeCell ref="BQ6:BS6"/>
    <mergeCell ref="AS6:AU6"/>
    <mergeCell ref="BH6:BJ6"/>
    <mergeCell ref="BK6:BM6"/>
    <mergeCell ref="C4:BS4"/>
    <mergeCell ref="C5:E5"/>
    <mergeCell ref="I5:K5"/>
    <mergeCell ref="L5:N5"/>
    <mergeCell ref="O5:Q5"/>
    <mergeCell ref="R5:T5"/>
    <mergeCell ref="AV5:AX5"/>
    <mergeCell ref="AY5:BA5"/>
    <mergeCell ref="BB5:BD5"/>
    <mergeCell ref="BH5:BJ5"/>
    <mergeCell ref="BK5:BM5"/>
    <mergeCell ref="BQ5:BS5"/>
    <mergeCell ref="BE5:BG5"/>
    <mergeCell ref="AS5:AU5"/>
    <mergeCell ref="R6:T6"/>
    <mergeCell ref="X6:Z6"/>
    <mergeCell ref="BE6:BG6"/>
    <mergeCell ref="AP6:AR6"/>
    <mergeCell ref="U5:W5"/>
    <mergeCell ref="U6:W6"/>
    <mergeCell ref="AV6:AX6"/>
    <mergeCell ref="AY6:BA6"/>
    <mergeCell ref="BB6:BD6"/>
    <mergeCell ref="F5:H5"/>
    <mergeCell ref="AD5:AF5"/>
    <mergeCell ref="AG5:AI5"/>
    <mergeCell ref="AG6:AI6"/>
    <mergeCell ref="BN5:BP5"/>
    <mergeCell ref="C6:E6"/>
    <mergeCell ref="I6:K6"/>
    <mergeCell ref="L6:N6"/>
    <mergeCell ref="O6:Q6"/>
    <mergeCell ref="X5:Z5"/>
    <mergeCell ref="AA5:AC5"/>
    <mergeCell ref="AM5:AO5"/>
    <mergeCell ref="AJ5:AL5"/>
    <mergeCell ref="BN6:BP6"/>
    <mergeCell ref="AP5:AR5"/>
    <mergeCell ref="AA6:AC6"/>
    <mergeCell ref="AD6:AF6"/>
    <mergeCell ref="AJ6:AL6"/>
    <mergeCell ref="AM6:AO6"/>
    <mergeCell ref="F6:H6"/>
  </mergeCells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B1003"/>
  <sheetViews>
    <sheetView zoomScale="80" zoomScaleNormal="80" workbookViewId="0">
      <pane xSplit="2" ySplit="7" topLeftCell="C26" activePane="bottomRight" state="frozen"/>
      <selection activeCell="F90" sqref="F90"/>
      <selection pane="topRight" activeCell="F90" sqref="F90"/>
      <selection pane="bottomLeft" activeCell="F90" sqref="F90"/>
      <selection pane="bottomRight" activeCell="A52" sqref="A52"/>
    </sheetView>
  </sheetViews>
  <sheetFormatPr defaultColWidth="14.453125" defaultRowHeight="15" customHeight="1" x14ac:dyDescent="0.35"/>
  <cols>
    <col min="1" max="1" width="28.54296875" style="1" customWidth="1"/>
    <col min="2" max="2" width="18" style="1" customWidth="1"/>
    <col min="3" max="3" width="22.1796875" style="1" customWidth="1"/>
    <col min="4" max="4" width="19.81640625" style="1" customWidth="1"/>
    <col min="5" max="19" width="17.453125" style="1" customWidth="1"/>
    <col min="20" max="20" width="14.453125" style="1" customWidth="1"/>
    <col min="21" max="21" width="31.1796875" style="1" customWidth="1"/>
    <col min="22" max="23" width="14.453125" style="1" customWidth="1"/>
    <col min="24" max="16384" width="14.453125" style="1"/>
  </cols>
  <sheetData>
    <row r="1" spans="1:28" ht="14.5" x14ac:dyDescent="0.35">
      <c r="C1" s="6" t="s">
        <v>1</v>
      </c>
      <c r="D1" s="6" t="s">
        <v>2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W1" s="34"/>
    </row>
    <row r="2" spans="1:28" ht="14.5" x14ac:dyDescent="0.35">
      <c r="A2" s="94" t="s">
        <v>3</v>
      </c>
      <c r="B2" s="35" t="str">
        <f>'China_TWN_SIN_HKG_KR Dry'!B4</f>
        <v>FAK</v>
      </c>
      <c r="C2" s="87">
        <f>'China_TWN_SIN_HKG_KR Dry'!D4</f>
        <v>46256</v>
      </c>
      <c r="D2" s="87">
        <f>'China_TWN_SIN_HKG_KR Dry'!E4</f>
        <v>46265</v>
      </c>
      <c r="E2" s="91"/>
      <c r="F2" s="91"/>
      <c r="G2" s="91"/>
      <c r="H2" s="91"/>
      <c r="I2" s="91"/>
      <c r="J2" s="36"/>
      <c r="K2" s="36"/>
      <c r="L2" s="36"/>
      <c r="M2" s="36"/>
      <c r="N2" s="36"/>
      <c r="O2" s="36"/>
      <c r="P2" s="91"/>
      <c r="Q2" s="24"/>
      <c r="R2" s="36"/>
      <c r="S2" s="36"/>
    </row>
    <row r="3" spans="1:28" ht="14.5" x14ac:dyDescent="0.35"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28" ht="14.5" x14ac:dyDescent="0.35">
      <c r="A4" s="12"/>
      <c r="B4" s="12"/>
      <c r="C4" s="379" t="s">
        <v>4</v>
      </c>
      <c r="D4" s="380"/>
      <c r="E4" s="380"/>
      <c r="F4" s="380"/>
      <c r="G4" s="380"/>
      <c r="H4" s="381"/>
      <c r="I4" s="380"/>
      <c r="J4" s="380"/>
      <c r="K4" s="380"/>
      <c r="L4" s="381"/>
      <c r="M4" s="380"/>
      <c r="N4" s="380"/>
      <c r="O4" s="380"/>
      <c r="P4" s="380"/>
      <c r="Q4" s="380"/>
      <c r="R4" s="380"/>
      <c r="S4" s="380"/>
      <c r="T4" s="333"/>
    </row>
    <row r="5" spans="1:28" ht="49.5" customHeight="1" x14ac:dyDescent="0.35">
      <c r="A5" s="77"/>
      <c r="B5" s="37"/>
      <c r="C5" s="38" t="s">
        <v>355</v>
      </c>
      <c r="D5" s="38" t="s">
        <v>356</v>
      </c>
      <c r="E5" s="38" t="s">
        <v>357</v>
      </c>
      <c r="F5" s="38" t="s">
        <v>358</v>
      </c>
      <c r="G5" s="38" t="s">
        <v>453</v>
      </c>
      <c r="H5" s="38" t="s">
        <v>451</v>
      </c>
      <c r="I5" s="38" t="s">
        <v>11</v>
      </c>
      <c r="J5" s="38" t="s">
        <v>292</v>
      </c>
      <c r="K5" s="38" t="s">
        <v>359</v>
      </c>
      <c r="L5" s="38" t="s">
        <v>488</v>
      </c>
      <c r="M5" s="38" t="s">
        <v>360</v>
      </c>
      <c r="N5" s="38" t="s">
        <v>361</v>
      </c>
      <c r="O5" s="38" t="s">
        <v>16</v>
      </c>
      <c r="P5" s="38" t="s">
        <v>339</v>
      </c>
      <c r="Q5" s="39" t="s">
        <v>21</v>
      </c>
      <c r="R5" s="39" t="s">
        <v>362</v>
      </c>
      <c r="S5" s="39" t="s">
        <v>20</v>
      </c>
      <c r="T5" s="38" t="s">
        <v>363</v>
      </c>
    </row>
    <row r="6" spans="1:28" ht="47.25" customHeight="1" x14ac:dyDescent="0.35">
      <c r="A6" s="77"/>
      <c r="B6" s="37"/>
      <c r="C6" s="40" t="s">
        <v>23</v>
      </c>
      <c r="D6" s="40" t="s">
        <v>364</v>
      </c>
      <c r="E6" s="40" t="s">
        <v>345</v>
      </c>
      <c r="F6" s="40" t="s">
        <v>350</v>
      </c>
      <c r="G6" s="40" t="s">
        <v>450</v>
      </c>
      <c r="H6" s="40" t="s">
        <v>456</v>
      </c>
      <c r="I6" s="40" t="s">
        <v>365</v>
      </c>
      <c r="J6" s="40" t="s">
        <v>366</v>
      </c>
      <c r="K6" s="40" t="s">
        <v>346</v>
      </c>
      <c r="L6" s="40" t="s">
        <v>489</v>
      </c>
      <c r="M6" s="40" t="s">
        <v>349</v>
      </c>
      <c r="N6" s="40" t="s">
        <v>367</v>
      </c>
      <c r="O6" s="40" t="s">
        <v>34</v>
      </c>
      <c r="P6" s="40" t="s">
        <v>368</v>
      </c>
      <c r="Q6" s="41" t="s">
        <v>39</v>
      </c>
      <c r="R6" s="41" t="s">
        <v>369</v>
      </c>
      <c r="S6" s="41" t="s">
        <v>370</v>
      </c>
      <c r="T6" s="40" t="s">
        <v>371</v>
      </c>
    </row>
    <row r="7" spans="1:28" ht="14.5" x14ac:dyDescent="0.35">
      <c r="A7" s="78" t="s">
        <v>42</v>
      </c>
      <c r="B7" s="18" t="s">
        <v>44</v>
      </c>
      <c r="C7" s="42" t="s">
        <v>372</v>
      </c>
      <c r="D7" s="42" t="s">
        <v>372</v>
      </c>
      <c r="E7" s="42" t="s">
        <v>372</v>
      </c>
      <c r="F7" s="42" t="s">
        <v>372</v>
      </c>
      <c r="G7" s="42" t="s">
        <v>372</v>
      </c>
      <c r="H7" s="42" t="s">
        <v>372</v>
      </c>
      <c r="I7" s="42" t="s">
        <v>372</v>
      </c>
      <c r="J7" s="42" t="s">
        <v>372</v>
      </c>
      <c r="K7" s="42" t="s">
        <v>372</v>
      </c>
      <c r="L7" s="42" t="s">
        <v>372</v>
      </c>
      <c r="M7" s="42" t="s">
        <v>372</v>
      </c>
      <c r="N7" s="42" t="s">
        <v>372</v>
      </c>
      <c r="O7" s="42" t="s">
        <v>372</v>
      </c>
      <c r="P7" s="42" t="s">
        <v>372</v>
      </c>
      <c r="Q7" s="43" t="s">
        <v>372</v>
      </c>
      <c r="R7" s="43" t="s">
        <v>372</v>
      </c>
      <c r="S7" s="43" t="s">
        <v>372</v>
      </c>
      <c r="T7" s="42" t="s">
        <v>372</v>
      </c>
    </row>
    <row r="8" spans="1:28" ht="14.5" x14ac:dyDescent="0.35">
      <c r="A8" s="3" t="s">
        <v>478</v>
      </c>
      <c r="B8" s="53" t="s">
        <v>73</v>
      </c>
      <c r="C8" s="299">
        <v>8200</v>
      </c>
      <c r="D8" s="299">
        <v>8200</v>
      </c>
      <c r="E8" s="299">
        <v>8200</v>
      </c>
      <c r="F8" s="299">
        <v>8200</v>
      </c>
      <c r="G8" s="299">
        <v>8200</v>
      </c>
      <c r="H8" s="299">
        <v>8200</v>
      </c>
      <c r="I8" s="299">
        <v>8200</v>
      </c>
      <c r="J8" s="299">
        <v>8200</v>
      </c>
      <c r="K8" s="299">
        <v>8000</v>
      </c>
      <c r="L8" s="299">
        <v>8000</v>
      </c>
      <c r="M8" s="299">
        <v>8200</v>
      </c>
      <c r="N8" s="299">
        <v>8300</v>
      </c>
      <c r="O8" s="299">
        <v>8400</v>
      </c>
      <c r="P8" s="299">
        <v>9400</v>
      </c>
      <c r="Q8" s="219">
        <v>3800</v>
      </c>
      <c r="R8" s="299">
        <v>9700</v>
      </c>
      <c r="S8" s="299">
        <v>9700</v>
      </c>
      <c r="T8" s="121"/>
      <c r="U8" s="2"/>
      <c r="V8" s="2"/>
      <c r="W8" s="2"/>
      <c r="X8" s="2"/>
      <c r="Y8" s="2"/>
      <c r="Z8" s="2"/>
      <c r="AA8" s="2"/>
      <c r="AB8" s="2"/>
    </row>
    <row r="9" spans="1:28" ht="14.5" x14ac:dyDescent="0.35">
      <c r="A9" s="3" t="s">
        <v>479</v>
      </c>
      <c r="B9" s="53" t="s">
        <v>71</v>
      </c>
      <c r="C9" s="299">
        <v>8200</v>
      </c>
      <c r="D9" s="299">
        <v>8200</v>
      </c>
      <c r="E9" s="299">
        <v>8200</v>
      </c>
      <c r="F9" s="299">
        <v>8200</v>
      </c>
      <c r="G9" s="299">
        <v>8200</v>
      </c>
      <c r="H9" s="299">
        <v>8200</v>
      </c>
      <c r="I9" s="299">
        <v>8200</v>
      </c>
      <c r="J9" s="299">
        <v>8200</v>
      </c>
      <c r="K9" s="299">
        <v>8000</v>
      </c>
      <c r="L9" s="299">
        <v>8000</v>
      </c>
      <c r="M9" s="299">
        <v>8200</v>
      </c>
      <c r="N9" s="299">
        <v>8300</v>
      </c>
      <c r="O9" s="299">
        <v>8400</v>
      </c>
      <c r="P9" s="299">
        <v>9400</v>
      </c>
      <c r="Q9" s="219">
        <v>3800</v>
      </c>
      <c r="R9" s="299">
        <v>9700</v>
      </c>
      <c r="S9" s="299">
        <v>9700</v>
      </c>
      <c r="T9" s="121"/>
      <c r="U9" s="24"/>
      <c r="V9" s="2"/>
      <c r="W9" s="2"/>
      <c r="X9" s="2"/>
      <c r="Y9" s="2"/>
      <c r="Z9" s="2"/>
      <c r="AA9" s="2"/>
      <c r="AB9" s="2"/>
    </row>
    <row r="10" spans="1:28" ht="14.5" x14ac:dyDescent="0.35">
      <c r="A10" s="57" t="s">
        <v>480</v>
      </c>
      <c r="B10" s="58" t="s">
        <v>75</v>
      </c>
      <c r="C10" s="299">
        <v>8000</v>
      </c>
      <c r="D10" s="299">
        <v>8000</v>
      </c>
      <c r="E10" s="299">
        <v>8000</v>
      </c>
      <c r="F10" s="299">
        <v>8000</v>
      </c>
      <c r="G10" s="299">
        <v>8000</v>
      </c>
      <c r="H10" s="299">
        <v>8000</v>
      </c>
      <c r="I10" s="299">
        <v>8000</v>
      </c>
      <c r="J10" s="299">
        <v>8000</v>
      </c>
      <c r="K10" s="299">
        <v>7800</v>
      </c>
      <c r="L10" s="299">
        <v>7800</v>
      </c>
      <c r="M10" s="299">
        <v>8000</v>
      </c>
      <c r="N10" s="299">
        <v>8100</v>
      </c>
      <c r="O10" s="299">
        <v>8400</v>
      </c>
      <c r="P10" s="299">
        <v>9400</v>
      </c>
      <c r="Q10" s="219">
        <v>3800</v>
      </c>
      <c r="R10" s="299">
        <v>9700</v>
      </c>
      <c r="S10" s="299">
        <v>9700</v>
      </c>
      <c r="T10" s="121"/>
      <c r="U10" s="2"/>
      <c r="V10" s="2"/>
      <c r="W10" s="2"/>
      <c r="X10" s="2"/>
      <c r="Y10" s="2"/>
      <c r="Z10" s="2"/>
      <c r="AA10" s="2"/>
      <c r="AB10" s="2"/>
    </row>
    <row r="11" spans="1:28" ht="28.5" x14ac:dyDescent="0.35">
      <c r="A11" s="3" t="s">
        <v>248</v>
      </c>
      <c r="B11" s="59" t="s">
        <v>249</v>
      </c>
      <c r="C11" s="299">
        <v>8250</v>
      </c>
      <c r="D11" s="299">
        <v>8250</v>
      </c>
      <c r="E11" s="299">
        <v>8250</v>
      </c>
      <c r="F11" s="299">
        <v>8250</v>
      </c>
      <c r="G11" s="299">
        <v>8250</v>
      </c>
      <c r="H11" s="299">
        <v>8250</v>
      </c>
      <c r="I11" s="299">
        <v>8250</v>
      </c>
      <c r="J11" s="299">
        <v>8250</v>
      </c>
      <c r="K11" s="299">
        <v>8050</v>
      </c>
      <c r="L11" s="299">
        <v>8050</v>
      </c>
      <c r="M11" s="299">
        <v>8250</v>
      </c>
      <c r="N11" s="299">
        <v>8350</v>
      </c>
      <c r="O11" s="299">
        <v>8600</v>
      </c>
      <c r="P11" s="299">
        <v>9550</v>
      </c>
      <c r="Q11" s="219">
        <v>3800</v>
      </c>
      <c r="R11" s="299">
        <v>9850</v>
      </c>
      <c r="S11" s="299">
        <v>9850</v>
      </c>
      <c r="T11" s="121"/>
      <c r="U11" s="2"/>
      <c r="V11" s="2"/>
      <c r="W11" s="2"/>
      <c r="X11" s="2"/>
      <c r="Y11" s="2"/>
      <c r="Z11" s="2"/>
      <c r="AA11" s="2"/>
      <c r="AB11" s="2"/>
    </row>
    <row r="12" spans="1:28" ht="14.5" x14ac:dyDescent="0.35">
      <c r="A12" s="3" t="s">
        <v>252</v>
      </c>
      <c r="B12" s="53" t="s">
        <v>253</v>
      </c>
      <c r="C12" s="299">
        <v>8350</v>
      </c>
      <c r="D12" s="299">
        <v>8350</v>
      </c>
      <c r="E12" s="299">
        <v>8350</v>
      </c>
      <c r="F12" s="299">
        <v>8350</v>
      </c>
      <c r="G12" s="299">
        <v>8350</v>
      </c>
      <c r="H12" s="299">
        <v>8350</v>
      </c>
      <c r="I12" s="299">
        <v>8350</v>
      </c>
      <c r="J12" s="299">
        <v>8350</v>
      </c>
      <c r="K12" s="299">
        <v>8150</v>
      </c>
      <c r="L12" s="299">
        <v>8150</v>
      </c>
      <c r="M12" s="299">
        <v>8350</v>
      </c>
      <c r="N12" s="299">
        <v>8450</v>
      </c>
      <c r="O12" s="299">
        <v>8700</v>
      </c>
      <c r="P12" s="299">
        <v>9650</v>
      </c>
      <c r="Q12" s="219">
        <v>3800</v>
      </c>
      <c r="R12" s="299">
        <v>9950</v>
      </c>
      <c r="S12" s="299">
        <v>9950</v>
      </c>
      <c r="T12" s="121"/>
      <c r="U12" s="2"/>
      <c r="V12" s="2"/>
      <c r="W12" s="2"/>
      <c r="X12" s="2"/>
      <c r="Y12" s="2"/>
      <c r="Z12" s="2"/>
      <c r="AA12" s="2"/>
      <c r="AB12" s="2"/>
    </row>
    <row r="13" spans="1:28" ht="14.5" x14ac:dyDescent="0.35">
      <c r="A13" s="249" t="s">
        <v>48</v>
      </c>
      <c r="B13" s="250"/>
      <c r="C13" s="219">
        <v>3800</v>
      </c>
      <c r="D13" s="219">
        <v>3800</v>
      </c>
      <c r="E13" s="219">
        <v>3800</v>
      </c>
      <c r="F13" s="219">
        <v>3800</v>
      </c>
      <c r="G13" s="219">
        <v>3800</v>
      </c>
      <c r="H13" s="219">
        <v>3800</v>
      </c>
      <c r="I13" s="219">
        <v>3800</v>
      </c>
      <c r="J13" s="219">
        <v>3800</v>
      </c>
      <c r="K13" s="219">
        <v>3600</v>
      </c>
      <c r="L13" s="219">
        <v>3600</v>
      </c>
      <c r="M13" s="219">
        <v>3800</v>
      </c>
      <c r="N13" s="219">
        <v>3800</v>
      </c>
      <c r="O13" s="219">
        <v>3800</v>
      </c>
      <c r="P13" s="219">
        <v>3900</v>
      </c>
      <c r="Q13" s="219">
        <v>3800</v>
      </c>
      <c r="R13" s="219">
        <v>4200</v>
      </c>
      <c r="S13" s="219">
        <v>4200</v>
      </c>
      <c r="T13" s="247"/>
      <c r="U13" s="2"/>
      <c r="V13" s="2"/>
      <c r="W13" s="2"/>
      <c r="X13" s="2"/>
      <c r="Y13" s="2"/>
      <c r="Z13" s="2"/>
      <c r="AA13" s="2"/>
      <c r="AB13" s="2"/>
    </row>
    <row r="14" spans="1:28" ht="14.5" x14ac:dyDescent="0.35">
      <c r="A14" s="79" t="s">
        <v>481</v>
      </c>
      <c r="B14" s="60" t="s">
        <v>51</v>
      </c>
      <c r="C14" s="299">
        <v>8000</v>
      </c>
      <c r="D14" s="299">
        <v>8000</v>
      </c>
      <c r="E14" s="299">
        <v>8000</v>
      </c>
      <c r="F14" s="299">
        <v>8000</v>
      </c>
      <c r="G14" s="299">
        <v>8000</v>
      </c>
      <c r="H14" s="299">
        <v>8000</v>
      </c>
      <c r="I14" s="299">
        <v>8000</v>
      </c>
      <c r="J14" s="299">
        <v>8000</v>
      </c>
      <c r="K14" s="299">
        <v>7800</v>
      </c>
      <c r="L14" s="299">
        <v>7800</v>
      </c>
      <c r="M14" s="299">
        <v>8000</v>
      </c>
      <c r="N14" s="299">
        <v>8100</v>
      </c>
      <c r="O14" s="299">
        <v>8300</v>
      </c>
      <c r="P14" s="299">
        <v>9100</v>
      </c>
      <c r="Q14" s="219">
        <v>3800</v>
      </c>
      <c r="R14" s="299">
        <v>9400</v>
      </c>
      <c r="S14" s="299">
        <v>9400</v>
      </c>
      <c r="T14" s="121"/>
      <c r="U14" s="2"/>
      <c r="V14" s="2"/>
      <c r="W14" s="2"/>
      <c r="X14" s="2"/>
      <c r="Y14" s="2"/>
      <c r="Z14" s="2"/>
      <c r="AA14" s="2"/>
      <c r="AB14" s="2"/>
    </row>
    <row r="15" spans="1:28" ht="14.5" x14ac:dyDescent="0.35">
      <c r="A15" s="253"/>
      <c r="B15" s="254"/>
      <c r="C15" s="219">
        <v>3800</v>
      </c>
      <c r="D15" s="219">
        <v>3800</v>
      </c>
      <c r="E15" s="219">
        <v>3800</v>
      </c>
      <c r="F15" s="219">
        <v>3800</v>
      </c>
      <c r="G15" s="219">
        <v>3800</v>
      </c>
      <c r="H15" s="219">
        <v>3800</v>
      </c>
      <c r="I15" s="219">
        <v>3800</v>
      </c>
      <c r="J15" s="219">
        <v>3800</v>
      </c>
      <c r="K15" s="219">
        <v>3600</v>
      </c>
      <c r="L15" s="219">
        <v>3600</v>
      </c>
      <c r="M15" s="219">
        <v>3800</v>
      </c>
      <c r="N15" s="219">
        <v>3800</v>
      </c>
      <c r="O15" s="219">
        <v>3800</v>
      </c>
      <c r="P15" s="219">
        <v>3900</v>
      </c>
      <c r="Q15" s="219">
        <v>3800</v>
      </c>
      <c r="R15" s="219">
        <v>4200</v>
      </c>
      <c r="S15" s="219">
        <v>4200</v>
      </c>
      <c r="T15" s="247"/>
      <c r="U15" s="2"/>
      <c r="V15" s="2"/>
      <c r="W15" s="2"/>
      <c r="X15" s="2"/>
      <c r="Y15" s="2"/>
      <c r="Z15" s="2"/>
      <c r="AA15" s="2"/>
      <c r="AB15" s="2"/>
    </row>
    <row r="16" spans="1:28" ht="14.5" x14ac:dyDescent="0.35">
      <c r="A16" s="253"/>
      <c r="B16" s="254"/>
      <c r="C16" s="219">
        <v>3800</v>
      </c>
      <c r="D16" s="219">
        <v>3800</v>
      </c>
      <c r="E16" s="219">
        <v>3800</v>
      </c>
      <c r="F16" s="219">
        <v>3800</v>
      </c>
      <c r="G16" s="219">
        <v>3800</v>
      </c>
      <c r="H16" s="219">
        <v>3800</v>
      </c>
      <c r="I16" s="219">
        <v>3800</v>
      </c>
      <c r="J16" s="219">
        <v>3800</v>
      </c>
      <c r="K16" s="219">
        <v>3600</v>
      </c>
      <c r="L16" s="219">
        <v>3600</v>
      </c>
      <c r="M16" s="219">
        <v>3800</v>
      </c>
      <c r="N16" s="219">
        <v>3800</v>
      </c>
      <c r="O16" s="219">
        <v>3800</v>
      </c>
      <c r="P16" s="219">
        <v>3900</v>
      </c>
      <c r="Q16" s="219">
        <v>3800</v>
      </c>
      <c r="R16" s="219">
        <v>4200</v>
      </c>
      <c r="S16" s="219">
        <v>4200</v>
      </c>
      <c r="T16" s="247"/>
      <c r="U16" s="2"/>
      <c r="V16" s="2"/>
      <c r="W16" s="2"/>
      <c r="X16" s="2"/>
      <c r="Y16" s="2"/>
      <c r="Z16" s="2"/>
      <c r="AA16" s="2"/>
      <c r="AB16" s="2"/>
    </row>
    <row r="17" spans="1:28" ht="14.5" x14ac:dyDescent="0.35">
      <c r="A17" s="79" t="s">
        <v>482</v>
      </c>
      <c r="B17" s="60" t="s">
        <v>373</v>
      </c>
      <c r="C17" s="299">
        <v>8000</v>
      </c>
      <c r="D17" s="299">
        <v>8000</v>
      </c>
      <c r="E17" s="299">
        <v>8000</v>
      </c>
      <c r="F17" s="299">
        <v>8000</v>
      </c>
      <c r="G17" s="299">
        <v>8000</v>
      </c>
      <c r="H17" s="299">
        <v>8000</v>
      </c>
      <c r="I17" s="299">
        <v>8000</v>
      </c>
      <c r="J17" s="299">
        <v>8000</v>
      </c>
      <c r="K17" s="299">
        <v>7800</v>
      </c>
      <c r="L17" s="299">
        <v>7800</v>
      </c>
      <c r="M17" s="299">
        <v>8000</v>
      </c>
      <c r="N17" s="299">
        <v>8100</v>
      </c>
      <c r="O17" s="299">
        <v>8300</v>
      </c>
      <c r="P17" s="299">
        <v>9100</v>
      </c>
      <c r="Q17" s="219">
        <v>3800</v>
      </c>
      <c r="R17" s="299">
        <v>9400</v>
      </c>
      <c r="S17" s="299">
        <v>9400</v>
      </c>
      <c r="T17" s="121"/>
      <c r="U17" s="2"/>
      <c r="V17" s="2"/>
      <c r="W17" s="2"/>
      <c r="X17" s="2"/>
      <c r="Y17" s="2"/>
      <c r="Z17" s="2"/>
      <c r="AA17" s="2"/>
      <c r="AB17" s="2"/>
    </row>
    <row r="18" spans="1:28" ht="14.5" x14ac:dyDescent="0.35">
      <c r="A18" s="79" t="s">
        <v>483</v>
      </c>
      <c r="B18" s="60" t="s">
        <v>59</v>
      </c>
      <c r="C18" s="299">
        <v>8000</v>
      </c>
      <c r="D18" s="299">
        <v>8000</v>
      </c>
      <c r="E18" s="299">
        <v>8000</v>
      </c>
      <c r="F18" s="299">
        <v>8000</v>
      </c>
      <c r="G18" s="299">
        <v>8000</v>
      </c>
      <c r="H18" s="299">
        <v>8000</v>
      </c>
      <c r="I18" s="299">
        <v>8000</v>
      </c>
      <c r="J18" s="299">
        <v>8000</v>
      </c>
      <c r="K18" s="299">
        <v>7800</v>
      </c>
      <c r="L18" s="299">
        <v>7800</v>
      </c>
      <c r="M18" s="299">
        <v>8000</v>
      </c>
      <c r="N18" s="299">
        <v>8100</v>
      </c>
      <c r="O18" s="299">
        <v>8300</v>
      </c>
      <c r="P18" s="299">
        <v>9100</v>
      </c>
      <c r="Q18" s="219">
        <v>3800</v>
      </c>
      <c r="R18" s="299">
        <v>9400</v>
      </c>
      <c r="S18" s="299">
        <v>9400</v>
      </c>
      <c r="T18" s="121"/>
      <c r="U18" s="2"/>
      <c r="V18" s="2"/>
      <c r="W18" s="2"/>
      <c r="X18" s="2"/>
      <c r="Y18" s="2"/>
      <c r="Z18" s="2"/>
      <c r="AA18" s="2"/>
      <c r="AB18" s="2"/>
    </row>
    <row r="19" spans="1:28" s="76" customFormat="1" ht="14.5" x14ac:dyDescent="0.35">
      <c r="A19" s="79" t="s">
        <v>484</v>
      </c>
      <c r="B19" s="74" t="s">
        <v>63</v>
      </c>
      <c r="C19" s="299">
        <v>8000</v>
      </c>
      <c r="D19" s="299">
        <v>8000</v>
      </c>
      <c r="E19" s="299">
        <v>8000</v>
      </c>
      <c r="F19" s="299">
        <v>8000</v>
      </c>
      <c r="G19" s="299">
        <v>8000</v>
      </c>
      <c r="H19" s="299">
        <v>8000</v>
      </c>
      <c r="I19" s="299">
        <v>8000</v>
      </c>
      <c r="J19" s="299">
        <v>8000</v>
      </c>
      <c r="K19" s="299">
        <v>7800</v>
      </c>
      <c r="L19" s="299">
        <v>7800</v>
      </c>
      <c r="M19" s="299">
        <v>8000</v>
      </c>
      <c r="N19" s="299">
        <v>8100</v>
      </c>
      <c r="O19" s="299">
        <v>8300</v>
      </c>
      <c r="P19" s="299">
        <v>9100</v>
      </c>
      <c r="Q19" s="219">
        <v>3800</v>
      </c>
      <c r="R19" s="299">
        <v>9400</v>
      </c>
      <c r="S19" s="299">
        <v>9400</v>
      </c>
      <c r="T19" s="121"/>
      <c r="U19" s="75"/>
      <c r="V19" s="75"/>
      <c r="W19" s="75"/>
      <c r="X19" s="75"/>
      <c r="Y19" s="75"/>
      <c r="Z19" s="75"/>
      <c r="AA19" s="75"/>
      <c r="AB19" s="75"/>
    </row>
    <row r="20" spans="1:28" ht="14.5" x14ac:dyDescent="0.35">
      <c r="A20" s="249" t="s">
        <v>52</v>
      </c>
      <c r="B20" s="250" t="s">
        <v>53</v>
      </c>
      <c r="C20" s="219">
        <v>3800</v>
      </c>
      <c r="D20" s="219">
        <v>3800</v>
      </c>
      <c r="E20" s="219">
        <v>3800</v>
      </c>
      <c r="F20" s="219">
        <v>3800</v>
      </c>
      <c r="G20" s="219">
        <v>3800</v>
      </c>
      <c r="H20" s="219">
        <v>3800</v>
      </c>
      <c r="I20" s="219">
        <v>3800</v>
      </c>
      <c r="J20" s="219">
        <v>3800</v>
      </c>
      <c r="K20" s="219">
        <v>3600</v>
      </c>
      <c r="L20" s="219">
        <v>3600</v>
      </c>
      <c r="M20" s="219">
        <v>3800</v>
      </c>
      <c r="N20" s="219">
        <v>3800</v>
      </c>
      <c r="O20" s="219">
        <v>3800</v>
      </c>
      <c r="P20" s="219">
        <v>3900</v>
      </c>
      <c r="Q20" s="219">
        <v>3800</v>
      </c>
      <c r="R20" s="219">
        <v>4200</v>
      </c>
      <c r="S20" s="219">
        <v>4200</v>
      </c>
      <c r="T20" s="247"/>
      <c r="U20" s="2"/>
      <c r="V20" s="2"/>
      <c r="W20" s="2"/>
      <c r="X20" s="2"/>
      <c r="Y20" s="2"/>
      <c r="Z20" s="2"/>
      <c r="AA20" s="2"/>
      <c r="AB20" s="2"/>
    </row>
    <row r="21" spans="1:28" ht="14.5" x14ac:dyDescent="0.35">
      <c r="A21" s="249" t="s">
        <v>374</v>
      </c>
      <c r="B21" s="250" t="s">
        <v>67</v>
      </c>
      <c r="C21" s="219">
        <v>3800</v>
      </c>
      <c r="D21" s="219">
        <v>3800</v>
      </c>
      <c r="E21" s="219">
        <v>3800</v>
      </c>
      <c r="F21" s="219">
        <v>3800</v>
      </c>
      <c r="G21" s="219">
        <v>3800</v>
      </c>
      <c r="H21" s="219">
        <v>3800</v>
      </c>
      <c r="I21" s="219">
        <v>3800</v>
      </c>
      <c r="J21" s="219">
        <v>3800</v>
      </c>
      <c r="K21" s="219">
        <v>3600</v>
      </c>
      <c r="L21" s="219">
        <v>3600</v>
      </c>
      <c r="M21" s="219">
        <v>3800</v>
      </c>
      <c r="N21" s="219">
        <v>3800</v>
      </c>
      <c r="O21" s="219">
        <v>3800</v>
      </c>
      <c r="P21" s="219">
        <v>3900</v>
      </c>
      <c r="Q21" s="219">
        <v>3800</v>
      </c>
      <c r="R21" s="219">
        <v>4200</v>
      </c>
      <c r="S21" s="219">
        <v>4200</v>
      </c>
      <c r="T21" s="247"/>
      <c r="U21" s="2"/>
      <c r="V21" s="2"/>
      <c r="W21" s="2"/>
      <c r="X21" s="2"/>
      <c r="Y21" s="2"/>
      <c r="Z21" s="2"/>
      <c r="AA21" s="2"/>
      <c r="AB21" s="2"/>
    </row>
    <row r="22" spans="1:28" ht="14.5" x14ac:dyDescent="0.35">
      <c r="A22" s="249" t="s">
        <v>64</v>
      </c>
      <c r="B22" s="250" t="s">
        <v>65</v>
      </c>
      <c r="C22" s="219">
        <v>3800</v>
      </c>
      <c r="D22" s="219">
        <v>3800</v>
      </c>
      <c r="E22" s="219">
        <v>3800</v>
      </c>
      <c r="F22" s="219">
        <v>3800</v>
      </c>
      <c r="G22" s="219">
        <v>3800</v>
      </c>
      <c r="H22" s="219">
        <v>3800</v>
      </c>
      <c r="I22" s="219">
        <v>3800</v>
      </c>
      <c r="J22" s="219">
        <v>3800</v>
      </c>
      <c r="K22" s="219">
        <v>3600</v>
      </c>
      <c r="L22" s="219">
        <v>3600</v>
      </c>
      <c r="M22" s="219">
        <v>3800</v>
      </c>
      <c r="N22" s="219">
        <v>3800</v>
      </c>
      <c r="O22" s="219">
        <v>3800</v>
      </c>
      <c r="P22" s="219">
        <v>3900</v>
      </c>
      <c r="Q22" s="219">
        <v>3800</v>
      </c>
      <c r="R22" s="219">
        <v>4200</v>
      </c>
      <c r="S22" s="219">
        <v>4200</v>
      </c>
      <c r="T22" s="247"/>
      <c r="U22" s="2"/>
      <c r="V22" s="2"/>
      <c r="W22" s="2"/>
      <c r="X22" s="2"/>
      <c r="Y22" s="2"/>
      <c r="Z22" s="2"/>
      <c r="AA22" s="2"/>
      <c r="AB22" s="2"/>
    </row>
    <row r="23" spans="1:28" ht="14.5" x14ac:dyDescent="0.35">
      <c r="A23" s="249" t="s">
        <v>218</v>
      </c>
      <c r="B23" s="250" t="s">
        <v>219</v>
      </c>
      <c r="C23" s="219">
        <v>3800</v>
      </c>
      <c r="D23" s="219">
        <v>3800</v>
      </c>
      <c r="E23" s="219">
        <v>3800</v>
      </c>
      <c r="F23" s="219">
        <v>3800</v>
      </c>
      <c r="G23" s="219">
        <v>3800</v>
      </c>
      <c r="H23" s="219">
        <v>3800</v>
      </c>
      <c r="I23" s="219">
        <v>3800</v>
      </c>
      <c r="J23" s="219">
        <v>3800</v>
      </c>
      <c r="K23" s="219">
        <v>3600</v>
      </c>
      <c r="L23" s="219">
        <v>3600</v>
      </c>
      <c r="M23" s="219">
        <v>3800</v>
      </c>
      <c r="N23" s="219">
        <v>3800</v>
      </c>
      <c r="O23" s="219">
        <v>3800</v>
      </c>
      <c r="P23" s="219">
        <v>3900</v>
      </c>
      <c r="Q23" s="219">
        <v>3800</v>
      </c>
      <c r="R23" s="219">
        <v>4200</v>
      </c>
      <c r="S23" s="219">
        <v>4200</v>
      </c>
      <c r="T23" s="247"/>
      <c r="U23" s="2"/>
      <c r="V23" s="2"/>
      <c r="W23" s="2"/>
      <c r="X23" s="2"/>
      <c r="Y23" s="2"/>
      <c r="Z23" s="2"/>
      <c r="AA23" s="2"/>
      <c r="AB23" s="2"/>
    </row>
    <row r="24" spans="1:28" ht="14.5" x14ac:dyDescent="0.35">
      <c r="A24" s="249" t="s">
        <v>375</v>
      </c>
      <c r="B24" s="250" t="s">
        <v>221</v>
      </c>
      <c r="C24" s="219">
        <v>3800</v>
      </c>
      <c r="D24" s="219">
        <v>3800</v>
      </c>
      <c r="E24" s="219">
        <v>3800</v>
      </c>
      <c r="F24" s="219">
        <v>3800</v>
      </c>
      <c r="G24" s="219">
        <v>3800</v>
      </c>
      <c r="H24" s="219">
        <v>3800</v>
      </c>
      <c r="I24" s="219">
        <v>3800</v>
      </c>
      <c r="J24" s="219">
        <v>3800</v>
      </c>
      <c r="K24" s="219">
        <v>3600</v>
      </c>
      <c r="L24" s="219">
        <v>3600</v>
      </c>
      <c r="M24" s="219">
        <v>3800</v>
      </c>
      <c r="N24" s="219">
        <v>3800</v>
      </c>
      <c r="O24" s="219">
        <v>3800</v>
      </c>
      <c r="P24" s="219">
        <v>3900</v>
      </c>
      <c r="Q24" s="219">
        <v>3800</v>
      </c>
      <c r="R24" s="219">
        <v>4200</v>
      </c>
      <c r="S24" s="219">
        <v>4200</v>
      </c>
      <c r="T24" s="247"/>
      <c r="U24" s="2"/>
      <c r="V24" s="2"/>
      <c r="W24" s="2"/>
      <c r="X24" s="2"/>
      <c r="Y24" s="2"/>
      <c r="Z24" s="2"/>
      <c r="AA24" s="2"/>
      <c r="AB24" s="2"/>
    </row>
    <row r="25" spans="1:28" ht="14.5" x14ac:dyDescent="0.35">
      <c r="A25" s="251" t="s">
        <v>376</v>
      </c>
      <c r="B25" s="252" t="s">
        <v>217</v>
      </c>
      <c r="C25" s="300">
        <v>3800</v>
      </c>
      <c r="D25" s="300">
        <v>3800</v>
      </c>
      <c r="E25" s="300">
        <v>3800</v>
      </c>
      <c r="F25" s="300">
        <v>3800</v>
      </c>
      <c r="G25" s="300">
        <v>3800</v>
      </c>
      <c r="H25" s="300">
        <v>3800</v>
      </c>
      <c r="I25" s="300">
        <v>3800</v>
      </c>
      <c r="J25" s="300">
        <v>3800</v>
      </c>
      <c r="K25" s="300">
        <v>3600</v>
      </c>
      <c r="L25" s="300">
        <v>3600</v>
      </c>
      <c r="M25" s="300">
        <v>3800</v>
      </c>
      <c r="N25" s="300">
        <v>3800</v>
      </c>
      <c r="O25" s="300">
        <v>3800</v>
      </c>
      <c r="P25" s="300">
        <v>3900</v>
      </c>
      <c r="Q25" s="300">
        <v>3800</v>
      </c>
      <c r="R25" s="300">
        <v>4200</v>
      </c>
      <c r="S25" s="300">
        <v>4200</v>
      </c>
      <c r="T25" s="248"/>
      <c r="U25" s="2"/>
      <c r="V25" s="2"/>
      <c r="W25" s="2"/>
      <c r="X25" s="2"/>
      <c r="Y25" s="2"/>
      <c r="Z25" s="2"/>
      <c r="AA25" s="2"/>
      <c r="AB25" s="2"/>
    </row>
    <row r="26" spans="1:28" ht="14.5" x14ac:dyDescent="0.35">
      <c r="A26" s="67" t="s">
        <v>485</v>
      </c>
      <c r="B26" s="67" t="s">
        <v>439</v>
      </c>
      <c r="C26" s="299">
        <v>8100</v>
      </c>
      <c r="D26" s="299">
        <v>8100</v>
      </c>
      <c r="E26" s="299">
        <v>8100</v>
      </c>
      <c r="F26" s="299">
        <v>8100</v>
      </c>
      <c r="G26" s="299">
        <v>8100</v>
      </c>
      <c r="H26" s="299">
        <v>8100</v>
      </c>
      <c r="I26" s="299">
        <v>8100</v>
      </c>
      <c r="J26" s="299">
        <v>8100</v>
      </c>
      <c r="K26" s="299">
        <v>7900</v>
      </c>
      <c r="L26" s="299">
        <v>7900</v>
      </c>
      <c r="M26" s="299">
        <v>8100</v>
      </c>
      <c r="N26" s="299">
        <v>8200</v>
      </c>
      <c r="O26" s="299">
        <v>8400</v>
      </c>
      <c r="P26" s="299">
        <v>9200</v>
      </c>
      <c r="Q26" s="219">
        <v>3800</v>
      </c>
      <c r="R26" s="299">
        <v>9500</v>
      </c>
      <c r="S26" s="299">
        <v>9500</v>
      </c>
      <c r="T26" s="122"/>
      <c r="U26" s="2"/>
      <c r="V26" s="2"/>
      <c r="W26" s="2"/>
      <c r="X26" s="2"/>
      <c r="Y26" s="2"/>
      <c r="Z26" s="2"/>
      <c r="AA26" s="2"/>
      <c r="AB26" s="2"/>
    </row>
    <row r="27" spans="1:28" ht="14.5" x14ac:dyDescent="0.35">
      <c r="A27" s="67" t="s">
        <v>486</v>
      </c>
      <c r="B27" s="67" t="s">
        <v>123</v>
      </c>
      <c r="C27" s="301">
        <v>8100</v>
      </c>
      <c r="D27" s="301">
        <v>8100</v>
      </c>
      <c r="E27" s="301">
        <v>8100</v>
      </c>
      <c r="F27" s="301">
        <v>8100</v>
      </c>
      <c r="G27" s="301">
        <v>8100</v>
      </c>
      <c r="H27" s="301">
        <v>8100</v>
      </c>
      <c r="I27" s="301">
        <v>8100</v>
      </c>
      <c r="J27" s="301">
        <v>8100</v>
      </c>
      <c r="K27" s="301">
        <v>7900</v>
      </c>
      <c r="L27" s="301">
        <v>7900</v>
      </c>
      <c r="M27" s="301">
        <v>8100</v>
      </c>
      <c r="N27" s="301">
        <v>8200</v>
      </c>
      <c r="O27" s="301">
        <v>8400</v>
      </c>
      <c r="P27" s="301">
        <v>9200</v>
      </c>
      <c r="Q27" s="300">
        <v>3800</v>
      </c>
      <c r="R27" s="301">
        <v>9500</v>
      </c>
      <c r="S27" s="301">
        <v>9500</v>
      </c>
      <c r="T27" s="123"/>
      <c r="U27" s="2"/>
      <c r="V27" s="2"/>
      <c r="W27" s="2"/>
      <c r="X27" s="2"/>
      <c r="Y27" s="2"/>
      <c r="Z27" s="2"/>
      <c r="AA27" s="2"/>
      <c r="AB27" s="2"/>
    </row>
    <row r="28" spans="1:28" ht="14.5" x14ac:dyDescent="0.35">
      <c r="A28" s="86" t="s">
        <v>463</v>
      </c>
      <c r="B28" s="86" t="s">
        <v>464</v>
      </c>
      <c r="C28" s="299">
        <v>8350</v>
      </c>
      <c r="D28" s="299">
        <v>8350</v>
      </c>
      <c r="E28" s="299">
        <v>8350</v>
      </c>
      <c r="F28" s="299">
        <v>8350</v>
      </c>
      <c r="G28" s="299">
        <v>8350</v>
      </c>
      <c r="H28" s="299">
        <v>8350</v>
      </c>
      <c r="I28" s="299">
        <v>8350</v>
      </c>
      <c r="J28" s="299">
        <v>8350</v>
      </c>
      <c r="K28" s="299">
        <v>8150</v>
      </c>
      <c r="L28" s="299">
        <v>8150</v>
      </c>
      <c r="M28" s="299">
        <v>8350</v>
      </c>
      <c r="N28" s="299">
        <v>8450</v>
      </c>
      <c r="O28" s="299">
        <v>8700</v>
      </c>
      <c r="P28" s="299">
        <v>9650</v>
      </c>
      <c r="Q28" s="219">
        <v>3800</v>
      </c>
      <c r="R28" s="299">
        <v>9950</v>
      </c>
      <c r="S28" s="299">
        <v>9950</v>
      </c>
      <c r="T28" s="121"/>
    </row>
    <row r="29" spans="1:28" ht="15.75" customHeight="1" x14ac:dyDescent="0.35">
      <c r="R29" s="88"/>
    </row>
    <row r="30" spans="1:28" ht="15.75" customHeight="1" x14ac:dyDescent="0.35"/>
    <row r="31" spans="1:28" ht="15.75" customHeight="1" x14ac:dyDescent="0.35">
      <c r="A31" s="22" t="s">
        <v>495</v>
      </c>
    </row>
    <row r="32" spans="1:28" ht="15.75" customHeight="1" x14ac:dyDescent="0.35">
      <c r="A32" s="22"/>
    </row>
    <row r="33" spans="1:17" ht="15.75" customHeight="1" x14ac:dyDescent="0.35">
      <c r="A33" s="1" t="s">
        <v>190</v>
      </c>
      <c r="Q33" s="61"/>
    </row>
    <row r="34" spans="1:17" ht="15.75" customHeight="1" x14ac:dyDescent="0.35">
      <c r="A34" s="2" t="s">
        <v>377</v>
      </c>
      <c r="J34" s="73"/>
      <c r="K34" s="73"/>
      <c r="L34" s="73"/>
      <c r="M34" s="73"/>
      <c r="Q34" s="61"/>
    </row>
    <row r="35" spans="1:17" ht="15" customHeight="1" x14ac:dyDescent="0.35">
      <c r="A35" s="2"/>
      <c r="J35" s="61"/>
      <c r="K35" s="73"/>
      <c r="L35" s="73"/>
      <c r="M35" s="73"/>
      <c r="Q35" s="61"/>
    </row>
    <row r="36" spans="1:17" ht="15" customHeight="1" x14ac:dyDescent="0.35">
      <c r="A36" s="4"/>
      <c r="J36" s="61"/>
      <c r="K36" s="73"/>
      <c r="L36" s="73"/>
      <c r="M36" s="73"/>
      <c r="Q36" s="61"/>
    </row>
    <row r="37" spans="1:17" ht="15" customHeight="1" x14ac:dyDescent="0.35">
      <c r="A37" s="4" t="s">
        <v>191</v>
      </c>
      <c r="J37" s="61"/>
      <c r="K37" s="73"/>
      <c r="L37" s="73"/>
      <c r="M37" s="73"/>
      <c r="Q37" s="61"/>
    </row>
    <row r="38" spans="1:17" ht="15.75" customHeight="1" x14ac:dyDescent="0.35">
      <c r="A38" s="4" t="s">
        <v>192</v>
      </c>
      <c r="J38" s="96"/>
      <c r="K38" s="73"/>
      <c r="L38" s="73"/>
      <c r="M38" s="73"/>
      <c r="Q38" s="61"/>
    </row>
    <row r="39" spans="1:17" ht="15.75" customHeight="1" x14ac:dyDescent="0.35">
      <c r="J39" s="96"/>
      <c r="K39" s="73"/>
      <c r="L39" s="73"/>
      <c r="M39" s="73"/>
      <c r="Q39" s="61"/>
    </row>
    <row r="40" spans="1:17" ht="15.75" customHeight="1" x14ac:dyDescent="0.35">
      <c r="J40" s="61"/>
      <c r="K40" s="73"/>
      <c r="L40" s="73"/>
      <c r="M40" s="73"/>
      <c r="Q40" s="61"/>
    </row>
    <row r="41" spans="1:17" ht="15.75" customHeight="1" x14ac:dyDescent="0.35">
      <c r="J41" s="61"/>
      <c r="K41" s="73"/>
      <c r="L41" s="73"/>
      <c r="M41" s="73"/>
      <c r="Q41" s="61"/>
    </row>
    <row r="42" spans="1:17" ht="15.75" customHeight="1" x14ac:dyDescent="0.35">
      <c r="J42" s="61"/>
      <c r="K42" s="73"/>
      <c r="L42" s="73"/>
      <c r="M42" s="73"/>
      <c r="Q42" s="61"/>
    </row>
    <row r="43" spans="1:17" ht="15.75" customHeight="1" x14ac:dyDescent="0.35">
      <c r="J43" s="61"/>
      <c r="K43" s="73"/>
      <c r="L43" s="73"/>
      <c r="M43" s="73"/>
      <c r="Q43" s="61"/>
    </row>
    <row r="44" spans="1:17" ht="15.75" customHeight="1" x14ac:dyDescent="0.35">
      <c r="J44" s="61"/>
      <c r="K44" s="73"/>
      <c r="L44" s="73"/>
      <c r="M44" s="73"/>
      <c r="Q44" s="61"/>
    </row>
    <row r="45" spans="1:17" ht="15.75" customHeight="1" x14ac:dyDescent="0.35">
      <c r="J45" s="61"/>
      <c r="K45" s="73"/>
      <c r="L45" s="73"/>
      <c r="M45" s="73"/>
      <c r="Q45" s="61"/>
    </row>
    <row r="46" spans="1:17" ht="15.75" customHeight="1" x14ac:dyDescent="0.35">
      <c r="J46" s="61"/>
      <c r="K46" s="73"/>
      <c r="L46" s="73"/>
      <c r="M46" s="73"/>
      <c r="Q46" s="61"/>
    </row>
    <row r="47" spans="1:17" ht="15.75" customHeight="1" x14ac:dyDescent="0.35">
      <c r="J47" s="61"/>
      <c r="K47" s="73"/>
      <c r="L47" s="73"/>
      <c r="M47" s="73"/>
      <c r="Q47" s="61"/>
    </row>
    <row r="48" spans="1:17" ht="15.75" customHeight="1" x14ac:dyDescent="0.35">
      <c r="J48" s="61"/>
      <c r="K48" s="73"/>
      <c r="L48" s="73"/>
      <c r="M48" s="73"/>
      <c r="Q48" s="61"/>
    </row>
    <row r="49" spans="1:17" ht="15.75" customHeight="1" x14ac:dyDescent="0.35">
      <c r="J49" s="61"/>
      <c r="K49" s="73"/>
      <c r="L49" s="73"/>
      <c r="M49" s="73"/>
      <c r="Q49" s="61"/>
    </row>
    <row r="50" spans="1:17" ht="15.75" customHeight="1" x14ac:dyDescent="0.35">
      <c r="J50" s="61"/>
      <c r="K50" s="73"/>
      <c r="L50" s="73"/>
      <c r="M50" s="73"/>
      <c r="Q50" s="61"/>
    </row>
    <row r="51" spans="1:17" ht="15.75" customHeight="1" x14ac:dyDescent="0.35">
      <c r="J51" s="61"/>
      <c r="K51" s="73"/>
      <c r="L51" s="73"/>
      <c r="M51" s="73"/>
    </row>
    <row r="52" spans="1:17" ht="15.75" customHeight="1" x14ac:dyDescent="0.35">
      <c r="A52" s="2"/>
      <c r="J52" s="61"/>
      <c r="K52" s="73"/>
      <c r="L52" s="73"/>
      <c r="M52" s="73"/>
    </row>
    <row r="53" spans="1:17" ht="15.75" customHeight="1" x14ac:dyDescent="0.35">
      <c r="A53" s="2" t="s">
        <v>449</v>
      </c>
      <c r="J53" s="61"/>
      <c r="K53" s="73"/>
      <c r="L53" s="73"/>
      <c r="M53" s="73"/>
    </row>
    <row r="54" spans="1:17" ht="15.75" customHeight="1" x14ac:dyDescent="0.35">
      <c r="J54" s="61"/>
      <c r="K54" s="73"/>
      <c r="L54" s="73"/>
      <c r="M54" s="73"/>
    </row>
    <row r="55" spans="1:17" ht="15.75" customHeight="1" x14ac:dyDescent="0.35">
      <c r="J55" s="97"/>
      <c r="K55" s="73"/>
      <c r="L55" s="73"/>
      <c r="M55" s="73"/>
    </row>
    <row r="56" spans="1:17" ht="15.75" customHeight="1" x14ac:dyDescent="0.35"/>
    <row r="57" spans="1:17" ht="15.75" customHeight="1" x14ac:dyDescent="0.35"/>
    <row r="58" spans="1:17" ht="15.75" customHeight="1" x14ac:dyDescent="0.35"/>
    <row r="59" spans="1:17" ht="15.75" customHeight="1" x14ac:dyDescent="0.35"/>
    <row r="60" spans="1:17" ht="15.75" customHeight="1" x14ac:dyDescent="0.35"/>
    <row r="61" spans="1:17" ht="15.75" customHeight="1" x14ac:dyDescent="0.35"/>
    <row r="62" spans="1:17" ht="15.75" customHeight="1" x14ac:dyDescent="0.35"/>
    <row r="63" spans="1:17" ht="15.75" customHeight="1" x14ac:dyDescent="0.35"/>
    <row r="64" spans="1:17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B1000"/>
  <sheetViews>
    <sheetView zoomScale="80" zoomScaleNormal="80" workbookViewId="0">
      <pane xSplit="2" ySplit="7" topLeftCell="C8" activePane="bottomRight" state="frozen"/>
      <selection activeCell="F90" sqref="F90"/>
      <selection pane="topRight" activeCell="F90" sqref="F90"/>
      <selection pane="bottomLeft" activeCell="F90" sqref="F90"/>
      <selection pane="bottomRight" activeCell="A47" sqref="A47"/>
    </sheetView>
  </sheetViews>
  <sheetFormatPr defaultColWidth="14.453125" defaultRowHeight="15" customHeight="1" x14ac:dyDescent="0.35"/>
  <cols>
    <col min="1" max="1" width="24.81640625" style="1" customWidth="1"/>
    <col min="2" max="2" width="18.54296875" style="1" customWidth="1"/>
    <col min="3" max="3" width="34.54296875" style="1" customWidth="1"/>
    <col min="4" max="12" width="23.81640625" style="1" customWidth="1"/>
    <col min="13" max="18" width="20.1796875" style="1" customWidth="1"/>
    <col min="19" max="19" width="24.81640625" style="1" customWidth="1"/>
    <col min="20" max="20" width="20.1796875" style="1" customWidth="1"/>
    <col min="21" max="21" width="11.1796875" style="1" customWidth="1"/>
    <col min="22" max="22" width="9.1796875" style="1" customWidth="1"/>
    <col min="23" max="16384" width="14.453125" style="1"/>
  </cols>
  <sheetData>
    <row r="1" spans="1:28" ht="14.25" customHeight="1" x14ac:dyDescent="0.35">
      <c r="C1" s="6" t="s">
        <v>1</v>
      </c>
      <c r="D1" s="6" t="s">
        <v>2</v>
      </c>
      <c r="E1" s="24"/>
      <c r="F1" s="24"/>
      <c r="G1" s="61"/>
      <c r="H1" s="61"/>
      <c r="I1" s="61"/>
      <c r="J1" s="24"/>
      <c r="K1" s="24"/>
      <c r="L1" s="24"/>
      <c r="T1" s="34"/>
    </row>
    <row r="2" spans="1:28" ht="14.25" customHeight="1" x14ac:dyDescent="0.35">
      <c r="A2" s="94" t="s">
        <v>3</v>
      </c>
      <c r="B2" s="35" t="str">
        <f>'China_TWN_SIN_HKG_KR Dry'!B4</f>
        <v>FAK</v>
      </c>
      <c r="C2" s="87">
        <f>'China_TWN_SIN_HKG_KR Dry'!D4</f>
        <v>46256</v>
      </c>
      <c r="D2" s="87">
        <f>'China_TWN_SIN_HKG_KR Dry'!E4</f>
        <v>46265</v>
      </c>
      <c r="E2" s="91"/>
      <c r="F2" s="104"/>
      <c r="G2" s="105"/>
      <c r="H2" s="105"/>
      <c r="I2" s="92"/>
      <c r="J2" s="24"/>
      <c r="K2" s="36"/>
      <c r="L2" s="24"/>
    </row>
    <row r="3" spans="1:28" ht="14.25" customHeight="1" x14ac:dyDescent="0.35">
      <c r="C3" s="90"/>
      <c r="D3" s="36"/>
      <c r="E3" s="91"/>
      <c r="F3" s="24"/>
      <c r="G3" s="91"/>
      <c r="H3" s="91"/>
      <c r="I3" s="91"/>
      <c r="J3" s="91"/>
      <c r="K3" s="91"/>
      <c r="L3" s="91"/>
    </row>
    <row r="4" spans="1:28" ht="14.25" customHeight="1" x14ac:dyDescent="0.35">
      <c r="A4" s="12"/>
      <c r="B4" s="12"/>
      <c r="C4" s="382" t="s">
        <v>4</v>
      </c>
      <c r="D4" s="312"/>
      <c r="E4" s="312"/>
      <c r="F4" s="312"/>
      <c r="G4" s="312"/>
      <c r="H4" s="334"/>
      <c r="I4" s="312"/>
      <c r="J4" s="334"/>
      <c r="K4" s="312"/>
      <c r="L4" s="312"/>
      <c r="M4" s="312"/>
      <c r="N4" s="312"/>
      <c r="O4" s="312"/>
      <c r="P4" s="312"/>
      <c r="Q4" s="312"/>
      <c r="R4" s="312"/>
      <c r="S4" s="312"/>
      <c r="T4" s="323"/>
      <c r="U4" s="44"/>
    </row>
    <row r="5" spans="1:28" ht="31" x14ac:dyDescent="0.35">
      <c r="A5" s="13"/>
      <c r="B5" s="37"/>
      <c r="C5" s="45" t="s">
        <v>332</v>
      </c>
      <c r="D5" s="45" t="s">
        <v>333</v>
      </c>
      <c r="E5" s="45" t="s">
        <v>334</v>
      </c>
      <c r="F5" s="45" t="s">
        <v>335</v>
      </c>
      <c r="G5" s="45" t="s">
        <v>336</v>
      </c>
      <c r="H5" s="45" t="s">
        <v>488</v>
      </c>
      <c r="I5" s="38" t="s">
        <v>453</v>
      </c>
      <c r="J5" s="38" t="s">
        <v>457</v>
      </c>
      <c r="K5" s="46" t="s">
        <v>337</v>
      </c>
      <c r="L5" s="47" t="s">
        <v>295</v>
      </c>
      <c r="M5" s="46" t="s">
        <v>338</v>
      </c>
      <c r="N5" s="46" t="s">
        <v>339</v>
      </c>
      <c r="O5" s="47" t="s">
        <v>22</v>
      </c>
      <c r="P5" s="47" t="s">
        <v>340</v>
      </c>
      <c r="Q5" s="111" t="s">
        <v>341</v>
      </c>
      <c r="R5" s="46" t="s">
        <v>342</v>
      </c>
      <c r="S5" s="46" t="s">
        <v>343</v>
      </c>
      <c r="T5" s="46" t="s">
        <v>344</v>
      </c>
    </row>
    <row r="6" spans="1:28" ht="57.75" customHeight="1" x14ac:dyDescent="0.35">
      <c r="A6" s="15"/>
      <c r="B6" s="48"/>
      <c r="C6" s="49" t="s">
        <v>23</v>
      </c>
      <c r="D6" s="49" t="s">
        <v>24</v>
      </c>
      <c r="E6" s="49" t="s">
        <v>345</v>
      </c>
      <c r="F6" s="49" t="s">
        <v>472</v>
      </c>
      <c r="G6" s="49" t="s">
        <v>346</v>
      </c>
      <c r="H6" s="49" t="s">
        <v>489</v>
      </c>
      <c r="I6" s="40" t="s">
        <v>450</v>
      </c>
      <c r="J6" s="40" t="s">
        <v>452</v>
      </c>
      <c r="K6" s="50" t="s">
        <v>347</v>
      </c>
      <c r="L6" s="51" t="s">
        <v>39</v>
      </c>
      <c r="M6" s="50" t="s">
        <v>34</v>
      </c>
      <c r="N6" s="50" t="s">
        <v>35</v>
      </c>
      <c r="O6" s="51" t="s">
        <v>40</v>
      </c>
      <c r="P6" s="114" t="s">
        <v>348</v>
      </c>
      <c r="Q6" s="112" t="s">
        <v>349</v>
      </c>
      <c r="R6" s="50" t="s">
        <v>350</v>
      </c>
      <c r="S6" s="50" t="s">
        <v>297</v>
      </c>
      <c r="T6" s="50" t="s">
        <v>31</v>
      </c>
      <c r="U6" s="17"/>
      <c r="V6" s="17"/>
      <c r="W6" s="17"/>
      <c r="X6" s="17"/>
      <c r="Y6" s="17"/>
      <c r="Z6" s="17"/>
      <c r="AA6" s="17"/>
      <c r="AB6" s="17"/>
    </row>
    <row r="7" spans="1:28" ht="14.25" customHeight="1" x14ac:dyDescent="0.35">
      <c r="A7" s="27" t="s">
        <v>42</v>
      </c>
      <c r="B7" s="18" t="s">
        <v>44</v>
      </c>
      <c r="C7" s="42" t="s">
        <v>351</v>
      </c>
      <c r="D7" s="42" t="s">
        <v>351</v>
      </c>
      <c r="E7" s="42" t="s">
        <v>351</v>
      </c>
      <c r="F7" s="42" t="s">
        <v>351</v>
      </c>
      <c r="G7" s="42" t="s">
        <v>351</v>
      </c>
      <c r="H7" s="42" t="s">
        <v>351</v>
      </c>
      <c r="I7" s="42" t="s">
        <v>351</v>
      </c>
      <c r="J7" s="42" t="s">
        <v>351</v>
      </c>
      <c r="K7" s="42" t="s">
        <v>351</v>
      </c>
      <c r="L7" s="43" t="s">
        <v>351</v>
      </c>
      <c r="M7" s="42" t="s">
        <v>351</v>
      </c>
      <c r="N7" s="42" t="s">
        <v>351</v>
      </c>
      <c r="O7" s="43" t="s">
        <v>351</v>
      </c>
      <c r="P7" s="115" t="s">
        <v>351</v>
      </c>
      <c r="Q7" s="113" t="s">
        <v>351</v>
      </c>
      <c r="R7" s="42" t="s">
        <v>351</v>
      </c>
      <c r="S7" s="42" t="s">
        <v>351</v>
      </c>
      <c r="T7" s="42" t="s">
        <v>351</v>
      </c>
    </row>
    <row r="8" spans="1:28" ht="14.5" x14ac:dyDescent="0.35">
      <c r="A8" s="3" t="s">
        <v>48</v>
      </c>
      <c r="B8" s="53" t="s">
        <v>49</v>
      </c>
      <c r="C8" s="302">
        <v>6700</v>
      </c>
      <c r="D8" s="302">
        <v>6700</v>
      </c>
      <c r="E8" s="302">
        <v>6700</v>
      </c>
      <c r="F8" s="302">
        <v>6700</v>
      </c>
      <c r="G8" s="302">
        <v>6500</v>
      </c>
      <c r="H8" s="302">
        <v>6500</v>
      </c>
      <c r="I8" s="302">
        <v>6700</v>
      </c>
      <c r="J8" s="302">
        <v>6700</v>
      </c>
      <c r="K8" s="302">
        <v>6700</v>
      </c>
      <c r="L8" s="213">
        <v>2800</v>
      </c>
      <c r="M8" s="302">
        <v>6900</v>
      </c>
      <c r="N8" s="215">
        <v>7700</v>
      </c>
      <c r="O8" s="215">
        <v>7700</v>
      </c>
      <c r="P8" s="215">
        <v>7700</v>
      </c>
      <c r="Q8" s="302">
        <v>6700</v>
      </c>
      <c r="R8" s="302">
        <v>6700</v>
      </c>
      <c r="S8" s="302">
        <v>6700</v>
      </c>
      <c r="T8" s="202"/>
      <c r="U8" s="2"/>
      <c r="V8" s="56"/>
      <c r="W8" s="2"/>
      <c r="X8" s="2"/>
      <c r="Y8" s="2"/>
      <c r="Z8" s="2"/>
      <c r="AA8" s="2"/>
      <c r="AB8" s="2"/>
    </row>
    <row r="9" spans="1:28" ht="14.5" x14ac:dyDescent="0.35">
      <c r="A9" s="3" t="s">
        <v>50</v>
      </c>
      <c r="B9" s="53" t="s">
        <v>51</v>
      </c>
      <c r="C9" s="302">
        <v>6700</v>
      </c>
      <c r="D9" s="302">
        <v>6700</v>
      </c>
      <c r="E9" s="302">
        <v>6700</v>
      </c>
      <c r="F9" s="302">
        <v>6700</v>
      </c>
      <c r="G9" s="302">
        <v>6500</v>
      </c>
      <c r="H9" s="302">
        <v>6500</v>
      </c>
      <c r="I9" s="302">
        <v>6700</v>
      </c>
      <c r="J9" s="302">
        <v>6700</v>
      </c>
      <c r="K9" s="302">
        <v>6700</v>
      </c>
      <c r="L9" s="213">
        <v>2800</v>
      </c>
      <c r="M9" s="302">
        <v>6900</v>
      </c>
      <c r="N9" s="215">
        <v>7700</v>
      </c>
      <c r="O9" s="215">
        <v>7700</v>
      </c>
      <c r="P9" s="215">
        <v>7700</v>
      </c>
      <c r="Q9" s="302">
        <v>6700</v>
      </c>
      <c r="R9" s="302">
        <v>6700</v>
      </c>
      <c r="S9" s="302">
        <v>6700</v>
      </c>
      <c r="T9" s="202"/>
      <c r="U9" s="2"/>
      <c r="V9" s="2"/>
      <c r="W9" s="2"/>
      <c r="X9" s="2"/>
      <c r="Y9" s="2"/>
      <c r="Z9" s="2"/>
      <c r="AA9" s="2"/>
      <c r="AB9" s="2"/>
    </row>
    <row r="10" spans="1:28" ht="14.5" x14ac:dyDescent="0.35">
      <c r="A10" s="3" t="s">
        <v>52</v>
      </c>
      <c r="B10" s="53" t="s">
        <v>53</v>
      </c>
      <c r="C10" s="302">
        <v>6700</v>
      </c>
      <c r="D10" s="302">
        <v>6700</v>
      </c>
      <c r="E10" s="302">
        <v>6700</v>
      </c>
      <c r="F10" s="302">
        <v>6700</v>
      </c>
      <c r="G10" s="302">
        <v>6500</v>
      </c>
      <c r="H10" s="302">
        <v>6500</v>
      </c>
      <c r="I10" s="302">
        <v>6700</v>
      </c>
      <c r="J10" s="302">
        <v>6700</v>
      </c>
      <c r="K10" s="302">
        <v>6700</v>
      </c>
      <c r="L10" s="213">
        <v>2800</v>
      </c>
      <c r="M10" s="302">
        <v>6900</v>
      </c>
      <c r="N10" s="215">
        <v>7700</v>
      </c>
      <c r="O10" s="215">
        <v>7700</v>
      </c>
      <c r="P10" s="215">
        <v>7700</v>
      </c>
      <c r="Q10" s="302">
        <v>6700</v>
      </c>
      <c r="R10" s="302">
        <v>6700</v>
      </c>
      <c r="S10" s="302">
        <v>6700</v>
      </c>
      <c r="T10" s="202"/>
      <c r="U10" s="2"/>
      <c r="V10" s="2"/>
      <c r="W10" s="2"/>
      <c r="X10" s="2"/>
      <c r="Y10" s="2"/>
      <c r="Z10" s="2"/>
      <c r="AA10" s="2"/>
      <c r="AB10" s="2"/>
    </row>
    <row r="11" spans="1:28" ht="14.5" x14ac:dyDescent="0.35">
      <c r="A11" s="3" t="s">
        <v>54</v>
      </c>
      <c r="B11" s="53" t="s">
        <v>55</v>
      </c>
      <c r="C11" s="302">
        <v>6700</v>
      </c>
      <c r="D11" s="302">
        <v>6700</v>
      </c>
      <c r="E11" s="302">
        <v>6700</v>
      </c>
      <c r="F11" s="302">
        <v>6700</v>
      </c>
      <c r="G11" s="302">
        <v>6500</v>
      </c>
      <c r="H11" s="302">
        <v>6500</v>
      </c>
      <c r="I11" s="302">
        <v>6700</v>
      </c>
      <c r="J11" s="302">
        <v>6700</v>
      </c>
      <c r="K11" s="302">
        <v>6700</v>
      </c>
      <c r="L11" s="213">
        <v>2800</v>
      </c>
      <c r="M11" s="302">
        <v>6900</v>
      </c>
      <c r="N11" s="215">
        <v>7700</v>
      </c>
      <c r="O11" s="215">
        <v>7700</v>
      </c>
      <c r="P11" s="215">
        <v>7700</v>
      </c>
      <c r="Q11" s="302">
        <v>6700</v>
      </c>
      <c r="R11" s="302">
        <v>6700</v>
      </c>
      <c r="S11" s="302">
        <v>6700</v>
      </c>
      <c r="T11" s="202"/>
      <c r="U11" s="2"/>
      <c r="V11" s="2"/>
      <c r="W11" s="2"/>
      <c r="X11" s="2"/>
      <c r="Y11" s="2"/>
      <c r="Z11" s="2"/>
      <c r="AA11" s="2"/>
      <c r="AB11" s="2"/>
    </row>
    <row r="12" spans="1:28" ht="14.5" x14ac:dyDescent="0.35">
      <c r="A12" s="3" t="s">
        <v>56</v>
      </c>
      <c r="B12" s="53" t="s">
        <v>57</v>
      </c>
      <c r="C12" s="302">
        <v>6700</v>
      </c>
      <c r="D12" s="302">
        <v>6700</v>
      </c>
      <c r="E12" s="302">
        <v>6700</v>
      </c>
      <c r="F12" s="302">
        <v>6700</v>
      </c>
      <c r="G12" s="302">
        <v>6500</v>
      </c>
      <c r="H12" s="302">
        <v>6500</v>
      </c>
      <c r="I12" s="302">
        <v>6700</v>
      </c>
      <c r="J12" s="302">
        <v>6700</v>
      </c>
      <c r="K12" s="302">
        <v>6700</v>
      </c>
      <c r="L12" s="213">
        <v>2800</v>
      </c>
      <c r="M12" s="302">
        <v>6900</v>
      </c>
      <c r="N12" s="215">
        <v>7700</v>
      </c>
      <c r="O12" s="215">
        <v>7700</v>
      </c>
      <c r="P12" s="215">
        <v>7700</v>
      </c>
      <c r="Q12" s="302">
        <v>6700</v>
      </c>
      <c r="R12" s="302">
        <v>6700</v>
      </c>
      <c r="S12" s="302">
        <v>6700</v>
      </c>
      <c r="T12" s="202"/>
      <c r="U12" s="2"/>
      <c r="V12" s="2"/>
      <c r="W12" s="2"/>
      <c r="X12" s="2"/>
      <c r="Y12" s="2"/>
      <c r="Z12" s="2"/>
      <c r="AA12" s="2"/>
      <c r="AB12" s="2"/>
    </row>
    <row r="13" spans="1:28" ht="14.5" x14ac:dyDescent="0.35">
      <c r="A13" s="3" t="s">
        <v>60</v>
      </c>
      <c r="B13" s="53" t="s">
        <v>61</v>
      </c>
      <c r="C13" s="302">
        <v>6700</v>
      </c>
      <c r="D13" s="302">
        <v>6700</v>
      </c>
      <c r="E13" s="302">
        <v>6700</v>
      </c>
      <c r="F13" s="302">
        <v>6700</v>
      </c>
      <c r="G13" s="302">
        <v>6500</v>
      </c>
      <c r="H13" s="302">
        <v>6500</v>
      </c>
      <c r="I13" s="302">
        <v>6700</v>
      </c>
      <c r="J13" s="302">
        <v>6700</v>
      </c>
      <c r="K13" s="302">
        <v>6700</v>
      </c>
      <c r="L13" s="213">
        <v>2800</v>
      </c>
      <c r="M13" s="302">
        <v>6900</v>
      </c>
      <c r="N13" s="215">
        <v>7700</v>
      </c>
      <c r="O13" s="215">
        <v>7700</v>
      </c>
      <c r="P13" s="215">
        <v>7700</v>
      </c>
      <c r="Q13" s="302">
        <v>6700</v>
      </c>
      <c r="R13" s="302">
        <v>6700</v>
      </c>
      <c r="S13" s="302">
        <v>6700</v>
      </c>
      <c r="T13" s="202"/>
      <c r="U13" s="2"/>
      <c r="V13" s="2"/>
      <c r="W13" s="2"/>
      <c r="X13" s="2"/>
      <c r="Y13" s="2"/>
      <c r="Z13" s="2"/>
      <c r="AA13" s="2"/>
      <c r="AB13" s="2"/>
    </row>
    <row r="14" spans="1:28" ht="14.5" x14ac:dyDescent="0.35">
      <c r="A14" s="3" t="s">
        <v>58</v>
      </c>
      <c r="B14" s="53" t="s">
        <v>59</v>
      </c>
      <c r="C14" s="302">
        <v>6700</v>
      </c>
      <c r="D14" s="302">
        <v>6700</v>
      </c>
      <c r="E14" s="302">
        <v>6700</v>
      </c>
      <c r="F14" s="302">
        <v>6700</v>
      </c>
      <c r="G14" s="302">
        <v>6500</v>
      </c>
      <c r="H14" s="302">
        <v>6500</v>
      </c>
      <c r="I14" s="302">
        <v>6700</v>
      </c>
      <c r="J14" s="302">
        <v>6700</v>
      </c>
      <c r="K14" s="302">
        <v>6700</v>
      </c>
      <c r="L14" s="213">
        <v>2800</v>
      </c>
      <c r="M14" s="302">
        <v>6900</v>
      </c>
      <c r="N14" s="215">
        <v>7700</v>
      </c>
      <c r="O14" s="215">
        <v>7700</v>
      </c>
      <c r="P14" s="215">
        <v>7700</v>
      </c>
      <c r="Q14" s="302">
        <v>6700</v>
      </c>
      <c r="R14" s="302">
        <v>6700</v>
      </c>
      <c r="S14" s="302">
        <v>6700</v>
      </c>
      <c r="T14" s="202"/>
      <c r="U14" s="2"/>
      <c r="V14" s="2"/>
      <c r="W14" s="2"/>
      <c r="X14" s="2"/>
      <c r="Y14" s="2"/>
      <c r="Z14" s="2"/>
      <c r="AA14" s="2"/>
      <c r="AB14" s="2"/>
    </row>
    <row r="15" spans="1:28" ht="14.5" x14ac:dyDescent="0.35">
      <c r="A15" s="3" t="s">
        <v>62</v>
      </c>
      <c r="B15" s="53" t="s">
        <v>63</v>
      </c>
      <c r="C15" s="302">
        <v>6700</v>
      </c>
      <c r="D15" s="302">
        <v>6700</v>
      </c>
      <c r="E15" s="302">
        <v>6700</v>
      </c>
      <c r="F15" s="302">
        <v>6700</v>
      </c>
      <c r="G15" s="302">
        <v>6500</v>
      </c>
      <c r="H15" s="302">
        <v>6500</v>
      </c>
      <c r="I15" s="302">
        <v>6700</v>
      </c>
      <c r="J15" s="302">
        <v>6700</v>
      </c>
      <c r="K15" s="302">
        <v>6700</v>
      </c>
      <c r="L15" s="213">
        <v>2800</v>
      </c>
      <c r="M15" s="302">
        <v>6900</v>
      </c>
      <c r="N15" s="215">
        <v>7700</v>
      </c>
      <c r="O15" s="215">
        <v>7700</v>
      </c>
      <c r="P15" s="215">
        <v>7700</v>
      </c>
      <c r="Q15" s="302">
        <v>6700</v>
      </c>
      <c r="R15" s="302">
        <v>6700</v>
      </c>
      <c r="S15" s="302">
        <v>6700</v>
      </c>
      <c r="T15" s="202"/>
      <c r="U15" s="2"/>
      <c r="V15" s="2"/>
      <c r="W15" s="2"/>
      <c r="X15" s="2"/>
      <c r="Y15" s="2"/>
      <c r="Z15" s="2"/>
      <c r="AA15" s="2"/>
      <c r="AB15" s="2"/>
    </row>
    <row r="16" spans="1:28" ht="14.5" x14ac:dyDescent="0.35">
      <c r="A16" s="3" t="s">
        <v>64</v>
      </c>
      <c r="B16" s="53" t="s">
        <v>65</v>
      </c>
      <c r="C16" s="302">
        <v>6800</v>
      </c>
      <c r="D16" s="302">
        <v>6800</v>
      </c>
      <c r="E16" s="302">
        <v>6800</v>
      </c>
      <c r="F16" s="302">
        <v>6800</v>
      </c>
      <c r="G16" s="302">
        <v>6600</v>
      </c>
      <c r="H16" s="302">
        <v>6600</v>
      </c>
      <c r="I16" s="302">
        <v>6800</v>
      </c>
      <c r="J16" s="302">
        <v>6800</v>
      </c>
      <c r="K16" s="302">
        <v>6800</v>
      </c>
      <c r="L16" s="213">
        <v>2800</v>
      </c>
      <c r="M16" s="302">
        <v>7000</v>
      </c>
      <c r="N16" s="215">
        <v>7800</v>
      </c>
      <c r="O16" s="215">
        <v>7800</v>
      </c>
      <c r="P16" s="215">
        <v>7800</v>
      </c>
      <c r="Q16" s="302">
        <v>6800</v>
      </c>
      <c r="R16" s="302">
        <v>6800</v>
      </c>
      <c r="S16" s="302">
        <v>6800</v>
      </c>
      <c r="T16" s="202"/>
      <c r="U16" s="2"/>
      <c r="V16" s="2"/>
      <c r="W16" s="2"/>
      <c r="X16" s="2"/>
      <c r="Y16" s="2"/>
      <c r="Z16" s="2"/>
      <c r="AA16" s="2"/>
      <c r="AB16" s="2"/>
    </row>
    <row r="17" spans="1:28" ht="14.5" x14ac:dyDescent="0.35">
      <c r="A17" s="3" t="s">
        <v>66</v>
      </c>
      <c r="B17" s="53" t="s">
        <v>67</v>
      </c>
      <c r="C17" s="302">
        <v>6800</v>
      </c>
      <c r="D17" s="302">
        <v>6800</v>
      </c>
      <c r="E17" s="302">
        <v>6800</v>
      </c>
      <c r="F17" s="302">
        <v>6800</v>
      </c>
      <c r="G17" s="302">
        <v>6600</v>
      </c>
      <c r="H17" s="302">
        <v>6600</v>
      </c>
      <c r="I17" s="302">
        <v>6800</v>
      </c>
      <c r="J17" s="302">
        <v>6800</v>
      </c>
      <c r="K17" s="302">
        <v>6800</v>
      </c>
      <c r="L17" s="213">
        <v>2800</v>
      </c>
      <c r="M17" s="302">
        <v>7000</v>
      </c>
      <c r="N17" s="215">
        <v>7800</v>
      </c>
      <c r="O17" s="215">
        <v>7800</v>
      </c>
      <c r="P17" s="215">
        <v>7800</v>
      </c>
      <c r="Q17" s="302">
        <v>6800</v>
      </c>
      <c r="R17" s="302">
        <v>6800</v>
      </c>
      <c r="S17" s="302">
        <v>6800</v>
      </c>
      <c r="T17" s="202"/>
      <c r="U17" s="2"/>
      <c r="V17" s="2"/>
      <c r="W17" s="2"/>
      <c r="X17" s="2"/>
      <c r="Y17" s="2"/>
      <c r="Z17" s="2"/>
      <c r="AA17" s="2"/>
      <c r="AB17" s="2"/>
    </row>
    <row r="18" spans="1:28" ht="14.5" x14ac:dyDescent="0.35">
      <c r="A18" s="3" t="s">
        <v>352</v>
      </c>
      <c r="B18" s="53" t="s">
        <v>75</v>
      </c>
      <c r="C18" s="302">
        <v>6700</v>
      </c>
      <c r="D18" s="302">
        <v>6700</v>
      </c>
      <c r="E18" s="302">
        <v>6700</v>
      </c>
      <c r="F18" s="302">
        <v>6700</v>
      </c>
      <c r="G18" s="302">
        <v>6500</v>
      </c>
      <c r="H18" s="302">
        <v>6500</v>
      </c>
      <c r="I18" s="302">
        <v>6700</v>
      </c>
      <c r="J18" s="302">
        <v>6700</v>
      </c>
      <c r="K18" s="302">
        <v>6700</v>
      </c>
      <c r="L18" s="213">
        <v>2800</v>
      </c>
      <c r="M18" s="302">
        <v>6900</v>
      </c>
      <c r="N18" s="215">
        <v>7700</v>
      </c>
      <c r="O18" s="215">
        <v>7700</v>
      </c>
      <c r="P18" s="215">
        <v>7700</v>
      </c>
      <c r="Q18" s="302">
        <v>6700</v>
      </c>
      <c r="R18" s="302">
        <v>6700</v>
      </c>
      <c r="S18" s="302">
        <v>6700</v>
      </c>
      <c r="T18" s="202"/>
      <c r="U18" s="2"/>
      <c r="V18" s="2"/>
      <c r="W18" s="2"/>
      <c r="X18" s="2"/>
      <c r="Y18" s="2"/>
      <c r="Z18" s="2"/>
      <c r="AA18" s="2"/>
      <c r="AB18" s="2"/>
    </row>
    <row r="19" spans="1:28" ht="14.5" x14ac:dyDescent="0.35">
      <c r="A19" s="3" t="s">
        <v>224</v>
      </c>
      <c r="B19" s="53" t="s">
        <v>225</v>
      </c>
      <c r="C19" s="302">
        <v>6800</v>
      </c>
      <c r="D19" s="302">
        <v>6800</v>
      </c>
      <c r="E19" s="302">
        <v>6800</v>
      </c>
      <c r="F19" s="302">
        <v>6800</v>
      </c>
      <c r="G19" s="302">
        <v>6600</v>
      </c>
      <c r="H19" s="302">
        <v>6600</v>
      </c>
      <c r="I19" s="302">
        <v>6800</v>
      </c>
      <c r="J19" s="302">
        <v>6800</v>
      </c>
      <c r="K19" s="302">
        <v>6800</v>
      </c>
      <c r="L19" s="213">
        <v>2800</v>
      </c>
      <c r="M19" s="302">
        <v>7000</v>
      </c>
      <c r="N19" s="215">
        <v>7800</v>
      </c>
      <c r="O19" s="215">
        <v>7800</v>
      </c>
      <c r="P19" s="215">
        <v>7800</v>
      </c>
      <c r="Q19" s="302">
        <v>6800</v>
      </c>
      <c r="R19" s="302">
        <v>6800</v>
      </c>
      <c r="S19" s="302">
        <v>6800</v>
      </c>
      <c r="T19" s="202"/>
      <c r="U19" s="2"/>
      <c r="V19" s="2"/>
      <c r="W19" s="2"/>
      <c r="X19" s="2"/>
      <c r="Y19" s="2"/>
      <c r="Z19" s="2"/>
      <c r="AA19" s="2"/>
      <c r="AB19" s="2"/>
    </row>
    <row r="20" spans="1:28" ht="14.5" x14ac:dyDescent="0.35">
      <c r="A20" s="3" t="s">
        <v>70</v>
      </c>
      <c r="B20" s="53" t="s">
        <v>71</v>
      </c>
      <c r="C20" s="302">
        <v>6800</v>
      </c>
      <c r="D20" s="302">
        <v>6800</v>
      </c>
      <c r="E20" s="302">
        <v>6800</v>
      </c>
      <c r="F20" s="302">
        <v>6800</v>
      </c>
      <c r="G20" s="302">
        <v>6600</v>
      </c>
      <c r="H20" s="302">
        <v>6600</v>
      </c>
      <c r="I20" s="302">
        <v>6800</v>
      </c>
      <c r="J20" s="302">
        <v>6800</v>
      </c>
      <c r="K20" s="302">
        <v>6800</v>
      </c>
      <c r="L20" s="213">
        <v>2800</v>
      </c>
      <c r="M20" s="302">
        <v>7000</v>
      </c>
      <c r="N20" s="215">
        <v>7800</v>
      </c>
      <c r="O20" s="215">
        <v>7800</v>
      </c>
      <c r="P20" s="215">
        <v>7800</v>
      </c>
      <c r="Q20" s="302">
        <v>6800</v>
      </c>
      <c r="R20" s="302">
        <v>6800</v>
      </c>
      <c r="S20" s="302">
        <v>6800</v>
      </c>
      <c r="T20" s="202"/>
      <c r="U20" s="2"/>
      <c r="V20" s="2"/>
      <c r="W20" s="2"/>
      <c r="X20" s="2"/>
      <c r="Y20" s="2"/>
      <c r="Z20" s="2"/>
      <c r="AA20" s="2"/>
      <c r="AB20" s="2"/>
    </row>
    <row r="21" spans="1:28" ht="14.5" x14ac:dyDescent="0.35">
      <c r="A21" s="57" t="s">
        <v>72</v>
      </c>
      <c r="B21" s="70" t="s">
        <v>353</v>
      </c>
      <c r="C21" s="303">
        <v>6800</v>
      </c>
      <c r="D21" s="303">
        <v>6800</v>
      </c>
      <c r="E21" s="303">
        <v>6800</v>
      </c>
      <c r="F21" s="303">
        <v>6800</v>
      </c>
      <c r="G21" s="303">
        <v>6600</v>
      </c>
      <c r="H21" s="303">
        <v>6600</v>
      </c>
      <c r="I21" s="303">
        <v>6800</v>
      </c>
      <c r="J21" s="303">
        <v>6800</v>
      </c>
      <c r="K21" s="303">
        <v>6800</v>
      </c>
      <c r="L21" s="221">
        <v>2800</v>
      </c>
      <c r="M21" s="303">
        <v>7000</v>
      </c>
      <c r="N21" s="215">
        <v>7800</v>
      </c>
      <c r="O21" s="285">
        <v>7800</v>
      </c>
      <c r="P21" s="285">
        <v>7800</v>
      </c>
      <c r="Q21" s="303">
        <v>6800</v>
      </c>
      <c r="R21" s="303">
        <v>6800</v>
      </c>
      <c r="S21" s="303">
        <v>6800</v>
      </c>
      <c r="T21" s="203"/>
      <c r="U21" s="2"/>
      <c r="V21" s="2"/>
      <c r="W21" s="2"/>
      <c r="X21" s="2"/>
      <c r="Y21" s="2"/>
      <c r="Z21" s="2"/>
      <c r="AA21" s="2"/>
      <c r="AB21" s="2"/>
    </row>
    <row r="22" spans="1:28" ht="14.5" x14ac:dyDescent="0.35">
      <c r="A22" s="67" t="s">
        <v>106</v>
      </c>
      <c r="B22" s="67" t="s">
        <v>107</v>
      </c>
      <c r="C22" s="304">
        <v>6900</v>
      </c>
      <c r="D22" s="304">
        <v>6900</v>
      </c>
      <c r="E22" s="304">
        <v>6900</v>
      </c>
      <c r="F22" s="304">
        <v>6900</v>
      </c>
      <c r="G22" s="304">
        <v>6700</v>
      </c>
      <c r="H22" s="304">
        <v>6700</v>
      </c>
      <c r="I22" s="304">
        <v>6900</v>
      </c>
      <c r="J22" s="304">
        <v>6900</v>
      </c>
      <c r="K22" s="304">
        <v>6900</v>
      </c>
      <c r="L22" s="223">
        <v>2800</v>
      </c>
      <c r="M22" s="304">
        <v>7100</v>
      </c>
      <c r="N22" s="215">
        <v>7900</v>
      </c>
      <c r="O22" s="286">
        <v>7900</v>
      </c>
      <c r="P22" s="286">
        <v>7900</v>
      </c>
      <c r="Q22" s="304">
        <v>6900</v>
      </c>
      <c r="R22" s="304">
        <v>6900</v>
      </c>
      <c r="S22" s="304">
        <v>6900</v>
      </c>
      <c r="T22" s="204"/>
    </row>
    <row r="23" spans="1:28" ht="14.25" customHeight="1" x14ac:dyDescent="0.35">
      <c r="L23" s="241"/>
      <c r="T23" s="241"/>
    </row>
    <row r="24" spans="1:28" ht="14.25" customHeight="1" x14ac:dyDescent="0.35">
      <c r="L24" s="241"/>
      <c r="M24" s="5"/>
      <c r="N24" s="5"/>
      <c r="O24" s="5"/>
      <c r="P24" s="5"/>
      <c r="Q24" s="5"/>
      <c r="R24" s="5"/>
      <c r="S24" s="5"/>
      <c r="T24" s="242"/>
    </row>
    <row r="25" spans="1:28" ht="14.25" customHeight="1" x14ac:dyDescent="0.35">
      <c r="A25" s="22" t="s">
        <v>496</v>
      </c>
      <c r="L25" s="241"/>
      <c r="M25" s="1" t="s">
        <v>354</v>
      </c>
      <c r="T25" s="241"/>
    </row>
    <row r="26" spans="1:28" ht="14.25" customHeight="1" x14ac:dyDescent="0.35">
      <c r="A26" s="1" t="s">
        <v>190</v>
      </c>
      <c r="L26" s="241"/>
      <c r="T26" s="241"/>
    </row>
    <row r="27" spans="1:28" ht="14.25" customHeight="1" x14ac:dyDescent="0.35">
      <c r="T27" s="241"/>
    </row>
    <row r="28" spans="1:28" ht="15.75" customHeight="1" x14ac:dyDescent="0.35">
      <c r="A28" s="4"/>
    </row>
    <row r="29" spans="1:28" ht="15.75" customHeight="1" x14ac:dyDescent="0.35">
      <c r="A29" s="4" t="s">
        <v>191</v>
      </c>
    </row>
    <row r="30" spans="1:28" ht="15.75" customHeight="1" x14ac:dyDescent="0.35">
      <c r="A30" s="4" t="s">
        <v>192</v>
      </c>
    </row>
    <row r="31" spans="1:28" ht="15.75" customHeight="1" x14ac:dyDescent="0.35"/>
    <row r="32" spans="1:28" ht="15.75" customHeight="1" x14ac:dyDescent="0.35">
      <c r="A32" s="4" t="s">
        <v>204</v>
      </c>
    </row>
    <row r="33" spans="1:1" ht="15.75" customHeight="1" x14ac:dyDescent="0.35"/>
    <row r="34" spans="1:1" ht="15.75" customHeight="1" x14ac:dyDescent="0.35"/>
    <row r="35" spans="1:1" ht="15.75" customHeight="1" x14ac:dyDescent="0.35"/>
    <row r="36" spans="1:1" ht="15.75" customHeight="1" x14ac:dyDescent="0.35"/>
    <row r="37" spans="1:1" ht="15.75" customHeight="1" x14ac:dyDescent="0.35"/>
    <row r="38" spans="1:1" ht="15.75" customHeight="1" x14ac:dyDescent="0.35"/>
    <row r="39" spans="1:1" ht="15.75" customHeight="1" x14ac:dyDescent="0.35"/>
    <row r="40" spans="1:1" ht="15.75" customHeight="1" x14ac:dyDescent="0.35"/>
    <row r="41" spans="1:1" ht="15.75" customHeight="1" x14ac:dyDescent="0.35"/>
    <row r="42" spans="1:1" ht="15.75" customHeight="1" x14ac:dyDescent="0.35"/>
    <row r="43" spans="1:1" ht="15.75" customHeight="1" x14ac:dyDescent="0.35"/>
    <row r="44" spans="1:1" ht="15.75" customHeight="1" x14ac:dyDescent="0.35"/>
    <row r="45" spans="1:1" ht="15.75" customHeight="1" x14ac:dyDescent="0.35"/>
    <row r="46" spans="1:1" ht="15.75" customHeight="1" x14ac:dyDescent="0.35"/>
    <row r="47" spans="1:1" ht="15.75" customHeight="1" x14ac:dyDescent="0.35">
      <c r="A47" s="2"/>
    </row>
    <row r="48" spans="1:1" ht="15.75" customHeight="1" x14ac:dyDescent="0.35">
      <c r="A48" s="2" t="s">
        <v>449</v>
      </c>
    </row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7"/>
  <sheetViews>
    <sheetView zoomScale="70" zoomScaleNormal="70" workbookViewId="0">
      <pane xSplit="3" ySplit="8" topLeftCell="D9" activePane="bottomRight" state="frozen"/>
      <selection activeCell="F90" sqref="F90"/>
      <selection pane="topRight" activeCell="F90" sqref="F90"/>
      <selection pane="bottomLeft" activeCell="F90" sqref="F90"/>
      <selection pane="bottomRight" activeCell="A55" sqref="A55"/>
    </sheetView>
  </sheetViews>
  <sheetFormatPr defaultColWidth="14.453125" defaultRowHeight="15" customHeight="1" x14ac:dyDescent="0.35"/>
  <cols>
    <col min="1" max="1" width="24.81640625" style="1" customWidth="1"/>
    <col min="2" max="2" width="17" style="1" bestFit="1" customWidth="1"/>
    <col min="3" max="3" width="16.81640625" style="1" customWidth="1"/>
    <col min="4" max="4" width="25.1796875" style="1" customWidth="1"/>
    <col min="5" max="5" width="20.453125" style="1" customWidth="1"/>
    <col min="6" max="6" width="22.453125" style="1" customWidth="1"/>
    <col min="7" max="10" width="17.1796875" style="1" customWidth="1"/>
    <col min="11" max="11" width="20.81640625" style="1" customWidth="1"/>
    <col min="12" max="12" width="20.1796875" style="1" customWidth="1"/>
    <col min="13" max="14" width="14.54296875" style="1" customWidth="1"/>
    <col min="15" max="15" width="16.1796875" style="1" customWidth="1"/>
    <col min="16" max="17" width="14.54296875" style="1" customWidth="1"/>
    <col min="18" max="20" width="16.81640625" style="1" customWidth="1"/>
    <col min="21" max="21" width="15.54296875" style="1" customWidth="1"/>
    <col min="22" max="27" width="14.453125" style="1" customWidth="1"/>
    <col min="28" max="16384" width="14.453125" style="1"/>
  </cols>
  <sheetData>
    <row r="1" spans="1:27" ht="14.15" customHeight="1" x14ac:dyDescent="0.35">
      <c r="A1" s="4"/>
      <c r="B1" s="4"/>
      <c r="C1" s="4"/>
      <c r="D1" s="6" t="s">
        <v>1</v>
      </c>
      <c r="E1" s="6" t="s">
        <v>2</v>
      </c>
      <c r="F1" s="4"/>
      <c r="G1" s="4"/>
      <c r="H1" s="4"/>
      <c r="I1" s="4"/>
      <c r="J1" s="4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5"/>
      <c r="W1" s="5"/>
      <c r="X1" s="2"/>
      <c r="Y1" s="2"/>
      <c r="Z1" s="2"/>
      <c r="AA1" s="2"/>
    </row>
    <row r="2" spans="1:27" ht="14.25" customHeight="1" x14ac:dyDescent="0.35">
      <c r="A2" s="93" t="s">
        <v>3</v>
      </c>
      <c r="B2" s="3" t="str">
        <f>'China_TWN_SIN_HKG_KR Dry'!B4</f>
        <v>FAK</v>
      </c>
      <c r="C2" s="3"/>
      <c r="D2" s="87">
        <f>'China_TWN_SIN_HKG_KR Dry'!D4</f>
        <v>46256</v>
      </c>
      <c r="E2" s="87">
        <f>'China_TWN_SIN_HKG_KR Dry'!E4</f>
        <v>46265</v>
      </c>
      <c r="F2" s="10"/>
      <c r="G2" s="10"/>
      <c r="H2" s="10"/>
      <c r="I2" s="10"/>
      <c r="J2" s="10"/>
      <c r="K2" s="2"/>
      <c r="L2" s="2"/>
      <c r="M2" s="2"/>
      <c r="N2" s="2"/>
      <c r="O2" s="2"/>
      <c r="P2" s="2"/>
      <c r="Q2" s="2"/>
      <c r="R2" s="4"/>
      <c r="S2" s="4"/>
      <c r="T2" s="4"/>
      <c r="U2" s="4"/>
      <c r="V2" s="5"/>
      <c r="W2" s="5"/>
      <c r="X2" s="2"/>
      <c r="Y2" s="2"/>
      <c r="Z2" s="2"/>
      <c r="AA2" s="2"/>
    </row>
    <row r="3" spans="1:27" ht="14.25" customHeight="1" x14ac:dyDescent="0.35">
      <c r="A3" s="4"/>
      <c r="B3" s="4"/>
      <c r="C3" s="4"/>
      <c r="D3" s="11"/>
      <c r="E3" s="11"/>
      <c r="F3" s="10"/>
      <c r="G3" s="10"/>
      <c r="H3" s="10"/>
      <c r="I3" s="10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5"/>
      <c r="X3" s="2"/>
      <c r="Y3" s="2"/>
      <c r="Z3" s="2"/>
      <c r="AA3" s="2"/>
    </row>
    <row r="4" spans="1:27" ht="18" customHeight="1" x14ac:dyDescent="0.35">
      <c r="A4" s="4"/>
      <c r="B4" s="4"/>
      <c r="C4" s="4"/>
      <c r="D4" s="11"/>
      <c r="E4" s="11"/>
      <c r="F4" s="10"/>
      <c r="G4" s="10"/>
      <c r="H4" s="10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2"/>
      <c r="Y4" s="2"/>
      <c r="Z4" s="2"/>
      <c r="AA4" s="2"/>
    </row>
    <row r="5" spans="1:27" ht="14.25" customHeight="1" x14ac:dyDescent="0.35">
      <c r="A5" s="12"/>
      <c r="B5" s="12"/>
      <c r="C5" s="12"/>
      <c r="D5" s="384" t="s">
        <v>4</v>
      </c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23"/>
    </row>
    <row r="6" spans="1:27" ht="45.75" customHeight="1" x14ac:dyDescent="0.35">
      <c r="A6" s="13"/>
      <c r="B6" s="14"/>
      <c r="C6" s="14"/>
      <c r="D6" s="385" t="s">
        <v>459</v>
      </c>
      <c r="E6" s="386"/>
      <c r="F6" s="386"/>
      <c r="G6" s="386"/>
      <c r="H6" s="386"/>
      <c r="I6" s="386"/>
      <c r="J6" s="386"/>
      <c r="K6" s="387"/>
      <c r="L6" s="328" t="s">
        <v>490</v>
      </c>
      <c r="M6" s="380"/>
      <c r="N6" s="380"/>
      <c r="O6" s="380"/>
      <c r="P6" s="380"/>
      <c r="Q6" s="380"/>
      <c r="R6" s="380"/>
      <c r="S6" s="333"/>
      <c r="T6" s="388" t="s">
        <v>380</v>
      </c>
      <c r="U6" s="380"/>
      <c r="V6" s="380"/>
      <c r="W6" s="380"/>
      <c r="X6" s="380"/>
      <c r="Y6" s="380"/>
      <c r="Z6" s="380"/>
      <c r="AA6" s="333"/>
    </row>
    <row r="7" spans="1:27" ht="31.5" customHeight="1" x14ac:dyDescent="0.35">
      <c r="A7" s="25"/>
      <c r="B7" s="26"/>
      <c r="C7" s="26"/>
      <c r="D7" s="322" t="s">
        <v>458</v>
      </c>
      <c r="E7" s="312"/>
      <c r="F7" s="312"/>
      <c r="G7" s="312"/>
      <c r="H7" s="312"/>
      <c r="I7" s="312"/>
      <c r="J7" s="312"/>
      <c r="K7" s="313"/>
      <c r="L7" s="324" t="s">
        <v>491</v>
      </c>
      <c r="M7" s="380"/>
      <c r="N7" s="380"/>
      <c r="O7" s="380"/>
      <c r="P7" s="380"/>
      <c r="Q7" s="380"/>
      <c r="R7" s="380"/>
      <c r="S7" s="333"/>
      <c r="T7" s="388" t="s">
        <v>382</v>
      </c>
      <c r="U7" s="380"/>
      <c r="V7" s="380"/>
      <c r="W7" s="380"/>
      <c r="X7" s="380"/>
      <c r="Y7" s="380"/>
      <c r="Z7" s="380"/>
      <c r="AA7" s="333"/>
    </row>
    <row r="8" spans="1:27" ht="54.75" customHeight="1" x14ac:dyDescent="0.35">
      <c r="A8" s="18" t="s">
        <v>42</v>
      </c>
      <c r="B8" s="27" t="s">
        <v>43</v>
      </c>
      <c r="C8" s="18" t="s">
        <v>44</v>
      </c>
      <c r="D8" s="28" t="s">
        <v>383</v>
      </c>
      <c r="E8" s="28" t="s">
        <v>384</v>
      </c>
      <c r="F8" s="19" t="s">
        <v>385</v>
      </c>
      <c r="G8" s="19" t="s">
        <v>386</v>
      </c>
      <c r="H8" s="19" t="s">
        <v>387</v>
      </c>
      <c r="I8" s="19" t="s">
        <v>388</v>
      </c>
      <c r="J8" s="19" t="s">
        <v>389</v>
      </c>
      <c r="K8" s="19" t="s">
        <v>390</v>
      </c>
      <c r="L8" s="28" t="s">
        <v>383</v>
      </c>
      <c r="M8" s="28" t="s">
        <v>384</v>
      </c>
      <c r="N8" s="19" t="s">
        <v>385</v>
      </c>
      <c r="O8" s="19" t="s">
        <v>386</v>
      </c>
      <c r="P8" s="19" t="s">
        <v>387</v>
      </c>
      <c r="Q8" s="19" t="s">
        <v>388</v>
      </c>
      <c r="R8" s="19" t="s">
        <v>389</v>
      </c>
      <c r="S8" s="19" t="s">
        <v>390</v>
      </c>
      <c r="T8" s="29" t="s">
        <v>391</v>
      </c>
      <c r="U8" s="29" t="s">
        <v>384</v>
      </c>
      <c r="V8" s="20" t="s">
        <v>385</v>
      </c>
      <c r="W8" s="20" t="s">
        <v>386</v>
      </c>
      <c r="X8" s="20" t="s">
        <v>387</v>
      </c>
      <c r="Y8" s="20" t="s">
        <v>388</v>
      </c>
      <c r="Z8" s="20" t="s">
        <v>389</v>
      </c>
      <c r="AA8" s="20" t="s">
        <v>390</v>
      </c>
    </row>
    <row r="9" spans="1:27" ht="14.5" x14ac:dyDescent="0.35">
      <c r="A9" s="3" t="s">
        <v>48</v>
      </c>
      <c r="B9" s="3"/>
      <c r="C9" s="3" t="s">
        <v>49</v>
      </c>
      <c r="D9" s="98">
        <v>8000</v>
      </c>
      <c r="E9" s="98">
        <v>8500</v>
      </c>
      <c r="F9" s="98">
        <v>10800</v>
      </c>
      <c r="G9" s="98">
        <v>11500</v>
      </c>
      <c r="H9" s="98">
        <v>25200</v>
      </c>
      <c r="I9" s="98">
        <v>27500</v>
      </c>
      <c r="J9" s="98">
        <v>21600</v>
      </c>
      <c r="K9" s="98">
        <v>15500</v>
      </c>
      <c r="L9" s="98">
        <v>8100</v>
      </c>
      <c r="M9" s="98">
        <v>8600</v>
      </c>
      <c r="N9" s="98">
        <v>10900</v>
      </c>
      <c r="O9" s="98">
        <v>11600</v>
      </c>
      <c r="P9" s="98">
        <v>25300</v>
      </c>
      <c r="Q9" s="98">
        <v>27600</v>
      </c>
      <c r="R9" s="98">
        <v>21700</v>
      </c>
      <c r="S9" s="98">
        <v>15600</v>
      </c>
      <c r="T9" s="98">
        <v>8800</v>
      </c>
      <c r="U9" s="98">
        <v>9300</v>
      </c>
      <c r="V9" s="98">
        <v>13200</v>
      </c>
      <c r="W9" s="98">
        <v>13900</v>
      </c>
      <c r="X9" s="98">
        <v>32400</v>
      </c>
      <c r="Y9" s="98">
        <v>34700</v>
      </c>
      <c r="Z9" s="98">
        <v>27600</v>
      </c>
      <c r="AA9" s="98">
        <v>19100</v>
      </c>
    </row>
    <row r="10" spans="1:27" ht="14.5" x14ac:dyDescent="0.35">
      <c r="A10" s="3" t="s">
        <v>50</v>
      </c>
      <c r="B10" s="3"/>
      <c r="C10" s="3" t="s">
        <v>51</v>
      </c>
      <c r="D10" s="98">
        <v>8000</v>
      </c>
      <c r="E10" s="98">
        <v>8500</v>
      </c>
      <c r="F10" s="98">
        <v>10800</v>
      </c>
      <c r="G10" s="98">
        <v>11500</v>
      </c>
      <c r="H10" s="98">
        <v>25200</v>
      </c>
      <c r="I10" s="98">
        <v>27500</v>
      </c>
      <c r="J10" s="98">
        <v>21600</v>
      </c>
      <c r="K10" s="98">
        <v>15500</v>
      </c>
      <c r="L10" s="98">
        <v>8100</v>
      </c>
      <c r="M10" s="98">
        <v>8600</v>
      </c>
      <c r="N10" s="98">
        <v>10900</v>
      </c>
      <c r="O10" s="98">
        <v>11600</v>
      </c>
      <c r="P10" s="98">
        <v>25300</v>
      </c>
      <c r="Q10" s="98">
        <v>27600</v>
      </c>
      <c r="R10" s="98">
        <v>21700</v>
      </c>
      <c r="S10" s="98">
        <v>15600</v>
      </c>
      <c r="T10" s="98">
        <v>8800</v>
      </c>
      <c r="U10" s="98">
        <v>9300</v>
      </c>
      <c r="V10" s="98">
        <v>13200</v>
      </c>
      <c r="W10" s="98">
        <v>13900</v>
      </c>
      <c r="X10" s="98">
        <v>32400</v>
      </c>
      <c r="Y10" s="98">
        <v>34700</v>
      </c>
      <c r="Z10" s="98">
        <v>27600</v>
      </c>
      <c r="AA10" s="98">
        <v>19100</v>
      </c>
    </row>
    <row r="11" spans="1:27" ht="14.5" x14ac:dyDescent="0.35">
      <c r="A11" s="3" t="s">
        <v>54</v>
      </c>
      <c r="B11" s="3"/>
      <c r="C11" s="3" t="s">
        <v>55</v>
      </c>
      <c r="D11" s="98">
        <v>8000</v>
      </c>
      <c r="E11" s="98">
        <v>8500</v>
      </c>
      <c r="F11" s="98">
        <v>10800</v>
      </c>
      <c r="G11" s="98">
        <v>11500</v>
      </c>
      <c r="H11" s="98">
        <v>25200</v>
      </c>
      <c r="I11" s="98">
        <v>27500</v>
      </c>
      <c r="J11" s="98">
        <v>21600</v>
      </c>
      <c r="K11" s="98">
        <v>15500</v>
      </c>
      <c r="L11" s="98">
        <v>8100</v>
      </c>
      <c r="M11" s="98">
        <v>8600</v>
      </c>
      <c r="N11" s="98">
        <v>10900</v>
      </c>
      <c r="O11" s="98">
        <v>11600</v>
      </c>
      <c r="P11" s="98">
        <v>25300</v>
      </c>
      <c r="Q11" s="98">
        <v>27600</v>
      </c>
      <c r="R11" s="98">
        <v>21700</v>
      </c>
      <c r="S11" s="98">
        <v>15600</v>
      </c>
      <c r="T11" s="98">
        <v>8800</v>
      </c>
      <c r="U11" s="98">
        <v>9300</v>
      </c>
      <c r="V11" s="98">
        <v>13200</v>
      </c>
      <c r="W11" s="98">
        <v>13900</v>
      </c>
      <c r="X11" s="98">
        <v>32400</v>
      </c>
      <c r="Y11" s="98">
        <v>34700</v>
      </c>
      <c r="Z11" s="98">
        <v>27600</v>
      </c>
      <c r="AA11" s="98">
        <v>19100</v>
      </c>
    </row>
    <row r="12" spans="1:27" ht="14.5" x14ac:dyDescent="0.35">
      <c r="A12" s="3" t="s">
        <v>56</v>
      </c>
      <c r="B12" s="3"/>
      <c r="C12" s="3" t="s">
        <v>57</v>
      </c>
      <c r="D12" s="98">
        <v>8000</v>
      </c>
      <c r="E12" s="98">
        <v>8500</v>
      </c>
      <c r="F12" s="98">
        <v>10800</v>
      </c>
      <c r="G12" s="98">
        <v>11500</v>
      </c>
      <c r="H12" s="98">
        <v>25200</v>
      </c>
      <c r="I12" s="98">
        <v>27500</v>
      </c>
      <c r="J12" s="98">
        <v>21600</v>
      </c>
      <c r="K12" s="98">
        <v>15500</v>
      </c>
      <c r="L12" s="98">
        <v>8100</v>
      </c>
      <c r="M12" s="98">
        <v>8600</v>
      </c>
      <c r="N12" s="98">
        <v>10900</v>
      </c>
      <c r="O12" s="98">
        <v>11600</v>
      </c>
      <c r="P12" s="98">
        <v>25300</v>
      </c>
      <c r="Q12" s="98">
        <v>27600</v>
      </c>
      <c r="R12" s="98">
        <v>21700</v>
      </c>
      <c r="S12" s="98">
        <v>15600</v>
      </c>
      <c r="T12" s="98">
        <v>8800</v>
      </c>
      <c r="U12" s="98">
        <v>9300</v>
      </c>
      <c r="V12" s="98">
        <v>13200</v>
      </c>
      <c r="W12" s="98">
        <v>13900</v>
      </c>
      <c r="X12" s="98">
        <v>32400</v>
      </c>
      <c r="Y12" s="98">
        <v>34700</v>
      </c>
      <c r="Z12" s="98">
        <v>27600</v>
      </c>
      <c r="AA12" s="98">
        <v>19100</v>
      </c>
    </row>
    <row r="13" spans="1:27" ht="14.5" x14ac:dyDescent="0.35">
      <c r="A13" s="3" t="s">
        <v>58</v>
      </c>
      <c r="B13" s="3"/>
      <c r="C13" s="3" t="s">
        <v>59</v>
      </c>
      <c r="D13" s="98">
        <v>8000</v>
      </c>
      <c r="E13" s="98">
        <v>8500</v>
      </c>
      <c r="F13" s="98">
        <v>10800</v>
      </c>
      <c r="G13" s="98">
        <v>11500</v>
      </c>
      <c r="H13" s="98">
        <v>25200</v>
      </c>
      <c r="I13" s="98">
        <v>27500</v>
      </c>
      <c r="J13" s="98">
        <v>21600</v>
      </c>
      <c r="K13" s="98">
        <v>15500</v>
      </c>
      <c r="L13" s="98">
        <v>8100</v>
      </c>
      <c r="M13" s="98">
        <v>8600</v>
      </c>
      <c r="N13" s="98">
        <v>10900</v>
      </c>
      <c r="O13" s="98">
        <v>11600</v>
      </c>
      <c r="P13" s="98">
        <v>25300</v>
      </c>
      <c r="Q13" s="98">
        <v>27600</v>
      </c>
      <c r="R13" s="98">
        <v>21700</v>
      </c>
      <c r="S13" s="98">
        <v>15600</v>
      </c>
      <c r="T13" s="98">
        <v>8800</v>
      </c>
      <c r="U13" s="98">
        <v>9300</v>
      </c>
      <c r="V13" s="98">
        <v>13200</v>
      </c>
      <c r="W13" s="98">
        <v>13900</v>
      </c>
      <c r="X13" s="98">
        <v>32400</v>
      </c>
      <c r="Y13" s="98">
        <v>34700</v>
      </c>
      <c r="Z13" s="98">
        <v>27600</v>
      </c>
      <c r="AA13" s="98">
        <v>19100</v>
      </c>
    </row>
    <row r="14" spans="1:27" ht="14.5" x14ac:dyDescent="0.35">
      <c r="A14" s="3" t="s">
        <v>60</v>
      </c>
      <c r="B14" s="3"/>
      <c r="C14" s="3" t="s">
        <v>61</v>
      </c>
      <c r="D14" s="98">
        <v>8000</v>
      </c>
      <c r="E14" s="98">
        <v>8500</v>
      </c>
      <c r="F14" s="98">
        <v>10800</v>
      </c>
      <c r="G14" s="98">
        <v>11500</v>
      </c>
      <c r="H14" s="98">
        <v>25200</v>
      </c>
      <c r="I14" s="98">
        <v>27500</v>
      </c>
      <c r="J14" s="98">
        <v>21600</v>
      </c>
      <c r="K14" s="98">
        <v>15500</v>
      </c>
      <c r="L14" s="98">
        <v>8100</v>
      </c>
      <c r="M14" s="98">
        <v>8600</v>
      </c>
      <c r="N14" s="98">
        <v>10900</v>
      </c>
      <c r="O14" s="98">
        <v>11600</v>
      </c>
      <c r="P14" s="98">
        <v>25300</v>
      </c>
      <c r="Q14" s="98">
        <v>27600</v>
      </c>
      <c r="R14" s="98">
        <v>21700</v>
      </c>
      <c r="S14" s="98">
        <v>15600</v>
      </c>
      <c r="T14" s="98">
        <v>8800</v>
      </c>
      <c r="U14" s="98">
        <v>9300</v>
      </c>
      <c r="V14" s="98">
        <v>13200</v>
      </c>
      <c r="W14" s="98">
        <v>13900</v>
      </c>
      <c r="X14" s="98">
        <v>32400</v>
      </c>
      <c r="Y14" s="98">
        <v>34700</v>
      </c>
      <c r="Z14" s="98">
        <v>27600</v>
      </c>
      <c r="AA14" s="98">
        <v>19100</v>
      </c>
    </row>
    <row r="15" spans="1:27" ht="14.5" x14ac:dyDescent="0.35">
      <c r="A15" s="3" t="s">
        <v>74</v>
      </c>
      <c r="B15" s="3"/>
      <c r="C15" s="3" t="s">
        <v>75</v>
      </c>
      <c r="D15" s="98">
        <v>8000</v>
      </c>
      <c r="E15" s="98">
        <v>8500</v>
      </c>
      <c r="F15" s="98">
        <v>10800</v>
      </c>
      <c r="G15" s="98">
        <v>11500</v>
      </c>
      <c r="H15" s="98">
        <v>25200</v>
      </c>
      <c r="I15" s="98">
        <v>27500</v>
      </c>
      <c r="J15" s="98">
        <v>21600</v>
      </c>
      <c r="K15" s="98">
        <v>15500</v>
      </c>
      <c r="L15" s="98">
        <v>8100</v>
      </c>
      <c r="M15" s="98">
        <v>8600</v>
      </c>
      <c r="N15" s="98">
        <v>10900</v>
      </c>
      <c r="O15" s="98">
        <v>11600</v>
      </c>
      <c r="P15" s="98">
        <v>25300</v>
      </c>
      <c r="Q15" s="98">
        <v>27600</v>
      </c>
      <c r="R15" s="98">
        <v>21700</v>
      </c>
      <c r="S15" s="98">
        <v>15600</v>
      </c>
      <c r="T15" s="98">
        <v>8800</v>
      </c>
      <c r="U15" s="98">
        <v>9300</v>
      </c>
      <c r="V15" s="98">
        <v>13200</v>
      </c>
      <c r="W15" s="98">
        <v>13900</v>
      </c>
      <c r="X15" s="98">
        <v>32400</v>
      </c>
      <c r="Y15" s="98">
        <v>34700</v>
      </c>
      <c r="Z15" s="98">
        <v>27600</v>
      </c>
      <c r="AA15" s="98">
        <v>19100</v>
      </c>
    </row>
    <row r="16" spans="1:27" ht="14.5" x14ac:dyDescent="0.35">
      <c r="A16" s="3" t="s">
        <v>62</v>
      </c>
      <c r="B16" s="3"/>
      <c r="C16" s="3" t="s">
        <v>63</v>
      </c>
      <c r="D16" s="98">
        <v>8000</v>
      </c>
      <c r="E16" s="98">
        <v>8500</v>
      </c>
      <c r="F16" s="98">
        <v>10800</v>
      </c>
      <c r="G16" s="98">
        <v>11500</v>
      </c>
      <c r="H16" s="98">
        <v>25200</v>
      </c>
      <c r="I16" s="98">
        <v>27500</v>
      </c>
      <c r="J16" s="98">
        <v>21600</v>
      </c>
      <c r="K16" s="98">
        <v>15500</v>
      </c>
      <c r="L16" s="98">
        <v>8100</v>
      </c>
      <c r="M16" s="98">
        <v>8600</v>
      </c>
      <c r="N16" s="98">
        <v>10900</v>
      </c>
      <c r="O16" s="98">
        <v>11600</v>
      </c>
      <c r="P16" s="98">
        <v>25300</v>
      </c>
      <c r="Q16" s="98">
        <v>27600</v>
      </c>
      <c r="R16" s="98">
        <v>21700</v>
      </c>
      <c r="S16" s="98">
        <v>15600</v>
      </c>
      <c r="T16" s="98">
        <v>8800</v>
      </c>
      <c r="U16" s="98">
        <v>9300</v>
      </c>
      <c r="V16" s="98">
        <v>13200</v>
      </c>
      <c r="W16" s="98">
        <v>13900</v>
      </c>
      <c r="X16" s="98">
        <v>32400</v>
      </c>
      <c r="Y16" s="98">
        <v>34700</v>
      </c>
      <c r="Z16" s="98">
        <v>27600</v>
      </c>
      <c r="AA16" s="98">
        <v>19100</v>
      </c>
    </row>
    <row r="17" spans="1:27" ht="14.5" x14ac:dyDescent="0.35">
      <c r="A17" s="3" t="s">
        <v>70</v>
      </c>
      <c r="B17" s="3"/>
      <c r="C17" s="3" t="s">
        <v>71</v>
      </c>
      <c r="D17" s="98">
        <v>8000</v>
      </c>
      <c r="E17" s="98">
        <v>8500</v>
      </c>
      <c r="F17" s="98">
        <v>11100</v>
      </c>
      <c r="G17" s="98">
        <v>11800</v>
      </c>
      <c r="H17" s="98">
        <v>25500</v>
      </c>
      <c r="I17" s="98">
        <v>27800</v>
      </c>
      <c r="J17" s="98">
        <v>21900</v>
      </c>
      <c r="K17" s="98">
        <v>15800</v>
      </c>
      <c r="L17" s="98">
        <v>8100</v>
      </c>
      <c r="M17" s="98">
        <v>8600</v>
      </c>
      <c r="N17" s="98">
        <v>11200</v>
      </c>
      <c r="O17" s="98">
        <v>11900</v>
      </c>
      <c r="P17" s="98">
        <v>25600</v>
      </c>
      <c r="Q17" s="98">
        <v>27900</v>
      </c>
      <c r="R17" s="98">
        <v>22000</v>
      </c>
      <c r="S17" s="98">
        <v>15900</v>
      </c>
      <c r="T17" s="98">
        <v>8800</v>
      </c>
      <c r="U17" s="98">
        <v>9300</v>
      </c>
      <c r="V17" s="98">
        <v>13500</v>
      </c>
      <c r="W17" s="98">
        <v>14200</v>
      </c>
      <c r="X17" s="98">
        <v>32700</v>
      </c>
      <c r="Y17" s="98">
        <v>35000</v>
      </c>
      <c r="Z17" s="98">
        <v>27900</v>
      </c>
      <c r="AA17" s="98">
        <v>19400</v>
      </c>
    </row>
    <row r="18" spans="1:27" ht="14.5" x14ac:dyDescent="0.35">
      <c r="A18" s="3" t="s">
        <v>72</v>
      </c>
      <c r="B18" s="3"/>
      <c r="C18" s="3" t="s">
        <v>73</v>
      </c>
      <c r="D18" s="98">
        <v>8000</v>
      </c>
      <c r="E18" s="98">
        <v>8500</v>
      </c>
      <c r="F18" s="98">
        <v>11100</v>
      </c>
      <c r="G18" s="98">
        <v>11800</v>
      </c>
      <c r="H18" s="98">
        <v>25500</v>
      </c>
      <c r="I18" s="98">
        <v>27800</v>
      </c>
      <c r="J18" s="98">
        <v>21900</v>
      </c>
      <c r="K18" s="98">
        <v>15800</v>
      </c>
      <c r="L18" s="98">
        <v>8100</v>
      </c>
      <c r="M18" s="98">
        <v>8600</v>
      </c>
      <c r="N18" s="98">
        <v>11200</v>
      </c>
      <c r="O18" s="98">
        <v>11900</v>
      </c>
      <c r="P18" s="98">
        <v>25600</v>
      </c>
      <c r="Q18" s="98">
        <v>27900</v>
      </c>
      <c r="R18" s="98">
        <v>22000</v>
      </c>
      <c r="S18" s="98">
        <v>15900</v>
      </c>
      <c r="T18" s="98">
        <v>8800</v>
      </c>
      <c r="U18" s="98">
        <v>9300</v>
      </c>
      <c r="V18" s="98">
        <v>13500</v>
      </c>
      <c r="W18" s="98">
        <v>14200</v>
      </c>
      <c r="X18" s="98">
        <v>32700</v>
      </c>
      <c r="Y18" s="98">
        <v>35000</v>
      </c>
      <c r="Z18" s="98">
        <v>27900</v>
      </c>
      <c r="AA18" s="98">
        <v>19400</v>
      </c>
    </row>
    <row r="19" spans="1:27" ht="14.5" x14ac:dyDescent="0.35">
      <c r="A19" s="3" t="s">
        <v>64</v>
      </c>
      <c r="B19" s="3"/>
      <c r="C19" s="3" t="s">
        <v>65</v>
      </c>
      <c r="D19" s="98">
        <v>8000</v>
      </c>
      <c r="E19" s="98">
        <v>8500</v>
      </c>
      <c r="F19" s="98">
        <v>10800</v>
      </c>
      <c r="G19" s="98">
        <v>11500</v>
      </c>
      <c r="H19" s="98">
        <v>25200</v>
      </c>
      <c r="I19" s="98">
        <v>27500</v>
      </c>
      <c r="J19" s="98">
        <v>21600</v>
      </c>
      <c r="K19" s="98">
        <v>15500</v>
      </c>
      <c r="L19" s="98">
        <v>8100</v>
      </c>
      <c r="M19" s="98">
        <v>8600</v>
      </c>
      <c r="N19" s="98">
        <v>10900</v>
      </c>
      <c r="O19" s="98">
        <v>11600</v>
      </c>
      <c r="P19" s="98">
        <v>25300</v>
      </c>
      <c r="Q19" s="98">
        <v>27600</v>
      </c>
      <c r="R19" s="98">
        <v>21700</v>
      </c>
      <c r="S19" s="98">
        <v>15600</v>
      </c>
      <c r="T19" s="98">
        <v>8800</v>
      </c>
      <c r="U19" s="98">
        <v>9300</v>
      </c>
      <c r="V19" s="98">
        <v>13200</v>
      </c>
      <c r="W19" s="98">
        <v>13900</v>
      </c>
      <c r="X19" s="98">
        <v>32400</v>
      </c>
      <c r="Y19" s="98">
        <v>34700</v>
      </c>
      <c r="Z19" s="98">
        <v>27600</v>
      </c>
      <c r="AA19" s="98">
        <v>19100</v>
      </c>
    </row>
    <row r="20" spans="1:27" ht="14.5" x14ac:dyDescent="0.35">
      <c r="A20" s="3" t="s">
        <v>66</v>
      </c>
      <c r="B20" s="3"/>
      <c r="C20" s="3" t="s">
        <v>67</v>
      </c>
      <c r="D20" s="98">
        <v>8200</v>
      </c>
      <c r="E20" s="98">
        <v>8700</v>
      </c>
      <c r="F20" s="98">
        <v>11000</v>
      </c>
      <c r="G20" s="98">
        <v>11700</v>
      </c>
      <c r="H20" s="98">
        <v>25400</v>
      </c>
      <c r="I20" s="98">
        <v>27700</v>
      </c>
      <c r="J20" s="98">
        <v>21800</v>
      </c>
      <c r="K20" s="98">
        <v>15700</v>
      </c>
      <c r="L20" s="98">
        <v>8300</v>
      </c>
      <c r="M20" s="98">
        <v>8800</v>
      </c>
      <c r="N20" s="98">
        <v>11100</v>
      </c>
      <c r="O20" s="98">
        <v>11800</v>
      </c>
      <c r="P20" s="98">
        <v>25500</v>
      </c>
      <c r="Q20" s="98">
        <v>27800</v>
      </c>
      <c r="R20" s="98">
        <v>21900</v>
      </c>
      <c r="S20" s="98">
        <v>15800</v>
      </c>
      <c r="T20" s="98">
        <v>8800</v>
      </c>
      <c r="U20" s="98">
        <v>9300</v>
      </c>
      <c r="V20" s="98">
        <v>13200</v>
      </c>
      <c r="W20" s="98">
        <v>13900</v>
      </c>
      <c r="X20" s="98">
        <v>32400</v>
      </c>
      <c r="Y20" s="98">
        <v>34700</v>
      </c>
      <c r="Z20" s="98">
        <v>27600</v>
      </c>
      <c r="AA20" s="98">
        <v>19100</v>
      </c>
    </row>
    <row r="21" spans="1:27" ht="14.5" x14ac:dyDescent="0.35">
      <c r="A21" s="3" t="s">
        <v>232</v>
      </c>
      <c r="B21" s="3" t="s">
        <v>470</v>
      </c>
      <c r="C21" s="3" t="s">
        <v>233</v>
      </c>
      <c r="D21" s="98">
        <v>8800</v>
      </c>
      <c r="E21" s="98">
        <v>9800</v>
      </c>
      <c r="F21" s="98">
        <v>11900</v>
      </c>
      <c r="G21" s="98">
        <v>12800</v>
      </c>
      <c r="H21" s="98">
        <v>26300</v>
      </c>
      <c r="I21" s="98">
        <v>28800</v>
      </c>
      <c r="J21" s="98">
        <v>22700</v>
      </c>
      <c r="K21" s="98">
        <v>16800</v>
      </c>
      <c r="L21" s="98">
        <v>8900</v>
      </c>
      <c r="M21" s="98">
        <v>9900</v>
      </c>
      <c r="N21" s="98">
        <v>12000</v>
      </c>
      <c r="O21" s="98">
        <v>12900</v>
      </c>
      <c r="P21" s="98">
        <v>26400</v>
      </c>
      <c r="Q21" s="98">
        <v>28900</v>
      </c>
      <c r="R21" s="98">
        <v>22800</v>
      </c>
      <c r="S21" s="98">
        <v>16900</v>
      </c>
      <c r="T21" s="98">
        <v>8550</v>
      </c>
      <c r="U21" s="98">
        <v>9150</v>
      </c>
      <c r="V21" s="98">
        <v>12850</v>
      </c>
      <c r="W21" s="98">
        <v>13750</v>
      </c>
      <c r="X21" s="98">
        <v>32050</v>
      </c>
      <c r="Y21" s="98">
        <v>34550</v>
      </c>
      <c r="Z21" s="98">
        <v>27250</v>
      </c>
      <c r="AA21" s="98">
        <v>18950</v>
      </c>
    </row>
    <row r="22" spans="1:27" ht="14.5" x14ac:dyDescent="0.35">
      <c r="A22" s="3" t="s">
        <v>234</v>
      </c>
      <c r="B22" s="3" t="s">
        <v>470</v>
      </c>
      <c r="C22" s="3" t="s">
        <v>235</v>
      </c>
      <c r="D22" s="98">
        <v>8800</v>
      </c>
      <c r="E22" s="98">
        <v>9800</v>
      </c>
      <c r="F22" s="98">
        <v>11900</v>
      </c>
      <c r="G22" s="98">
        <v>12800</v>
      </c>
      <c r="H22" s="98">
        <v>26300</v>
      </c>
      <c r="I22" s="98">
        <v>28800</v>
      </c>
      <c r="J22" s="98">
        <v>22700</v>
      </c>
      <c r="K22" s="98">
        <v>16800</v>
      </c>
      <c r="L22" s="98">
        <v>8900</v>
      </c>
      <c r="M22" s="98">
        <v>9900</v>
      </c>
      <c r="N22" s="98">
        <v>12000</v>
      </c>
      <c r="O22" s="98">
        <v>12900</v>
      </c>
      <c r="P22" s="98">
        <v>26400</v>
      </c>
      <c r="Q22" s="98">
        <v>28900</v>
      </c>
      <c r="R22" s="98">
        <v>22800</v>
      </c>
      <c r="S22" s="98">
        <v>16900</v>
      </c>
      <c r="T22" s="98">
        <v>8550</v>
      </c>
      <c r="U22" s="98">
        <v>9150</v>
      </c>
      <c r="V22" s="98">
        <v>12850</v>
      </c>
      <c r="W22" s="98">
        <v>13750</v>
      </c>
      <c r="X22" s="98">
        <v>32050</v>
      </c>
      <c r="Y22" s="98">
        <v>34550</v>
      </c>
      <c r="Z22" s="98">
        <v>27250</v>
      </c>
      <c r="AA22" s="98">
        <v>18950</v>
      </c>
    </row>
    <row r="23" spans="1:27" ht="14.5" x14ac:dyDescent="0.35">
      <c r="A23" s="3" t="s">
        <v>473</v>
      </c>
      <c r="B23" s="3"/>
      <c r="C23" s="3" t="s">
        <v>475</v>
      </c>
      <c r="D23" s="98">
        <v>8350</v>
      </c>
      <c r="E23" s="98">
        <v>9350</v>
      </c>
      <c r="F23" s="98">
        <v>11450</v>
      </c>
      <c r="G23" s="98">
        <v>12350</v>
      </c>
      <c r="H23" s="98">
        <v>25850</v>
      </c>
      <c r="I23" s="98">
        <v>28350</v>
      </c>
      <c r="J23" s="98">
        <v>22250</v>
      </c>
      <c r="K23" s="98">
        <v>16350</v>
      </c>
      <c r="L23" s="98">
        <v>8450</v>
      </c>
      <c r="M23" s="98">
        <v>9450</v>
      </c>
      <c r="N23" s="98">
        <v>11550</v>
      </c>
      <c r="O23" s="98">
        <v>12450</v>
      </c>
      <c r="P23" s="98">
        <v>25950</v>
      </c>
      <c r="Q23" s="98">
        <v>28450</v>
      </c>
      <c r="R23" s="98">
        <v>22350</v>
      </c>
      <c r="S23" s="98">
        <v>16450</v>
      </c>
      <c r="T23" s="98">
        <v>8550</v>
      </c>
      <c r="U23" s="98">
        <v>9150</v>
      </c>
      <c r="V23" s="98">
        <v>12850</v>
      </c>
      <c r="W23" s="98">
        <v>13750</v>
      </c>
      <c r="X23" s="98">
        <v>32050</v>
      </c>
      <c r="Y23" s="98">
        <v>34550</v>
      </c>
      <c r="Z23" s="98">
        <v>27250</v>
      </c>
      <c r="AA23" s="98">
        <v>18950</v>
      </c>
    </row>
    <row r="24" spans="1:27" ht="14.5" x14ac:dyDescent="0.35">
      <c r="A24" s="3" t="s">
        <v>302</v>
      </c>
      <c r="B24" s="3"/>
      <c r="C24" s="3" t="s">
        <v>303</v>
      </c>
      <c r="D24" s="98">
        <v>8800</v>
      </c>
      <c r="E24" s="98">
        <v>9800</v>
      </c>
      <c r="F24" s="98">
        <v>11900</v>
      </c>
      <c r="G24" s="98">
        <v>12800</v>
      </c>
      <c r="H24" s="98">
        <v>26300</v>
      </c>
      <c r="I24" s="98">
        <v>28800</v>
      </c>
      <c r="J24" s="98">
        <v>22700</v>
      </c>
      <c r="K24" s="98">
        <v>16800</v>
      </c>
      <c r="L24" s="98">
        <v>8900</v>
      </c>
      <c r="M24" s="98">
        <v>9900</v>
      </c>
      <c r="N24" s="98">
        <v>12000</v>
      </c>
      <c r="O24" s="98">
        <v>12900</v>
      </c>
      <c r="P24" s="98">
        <v>26400</v>
      </c>
      <c r="Q24" s="98">
        <v>28900</v>
      </c>
      <c r="R24" s="98">
        <v>22800</v>
      </c>
      <c r="S24" s="98">
        <v>16900</v>
      </c>
      <c r="T24" s="98">
        <v>8550</v>
      </c>
      <c r="U24" s="98">
        <v>9150</v>
      </c>
      <c r="V24" s="98">
        <v>12850</v>
      </c>
      <c r="W24" s="98">
        <v>13750</v>
      </c>
      <c r="X24" s="98">
        <v>32050</v>
      </c>
      <c r="Y24" s="98">
        <v>34550</v>
      </c>
      <c r="Z24" s="98">
        <v>27250</v>
      </c>
      <c r="AA24" s="98">
        <v>18950</v>
      </c>
    </row>
    <row r="25" spans="1:27" ht="14.5" x14ac:dyDescent="0.35">
      <c r="A25" s="66"/>
      <c r="B25" s="66"/>
      <c r="C25" s="66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 spans="1:27" ht="18" customHeight="1" x14ac:dyDescent="0.35">
      <c r="A26" s="4"/>
      <c r="B26" s="4"/>
      <c r="C26" s="4"/>
      <c r="D26" s="11"/>
      <c r="E26" s="11"/>
      <c r="F26" s="10"/>
      <c r="G26" s="10"/>
      <c r="H26" s="10"/>
      <c r="I26" s="10"/>
      <c r="J26" s="1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/>
      <c r="W26" s="5"/>
      <c r="X26" s="2"/>
      <c r="Y26" s="2"/>
      <c r="Z26" s="2"/>
      <c r="AA26" s="2"/>
    </row>
    <row r="27" spans="1:27" ht="14.25" hidden="1" customHeight="1" x14ac:dyDescent="0.35">
      <c r="A27" s="12"/>
      <c r="B27" s="12"/>
      <c r="C27" s="12"/>
      <c r="D27" s="389" t="s">
        <v>4</v>
      </c>
      <c r="E27" s="312"/>
      <c r="F27" s="312"/>
      <c r="G27" s="312"/>
      <c r="H27" s="312"/>
      <c r="I27" s="312"/>
      <c r="J27" s="312"/>
      <c r="K27" s="312"/>
      <c r="L27" s="312"/>
      <c r="M27" s="312"/>
      <c r="N27" s="31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  <c r="AA27" s="323"/>
    </row>
    <row r="28" spans="1:27" ht="45.75" hidden="1" customHeight="1" x14ac:dyDescent="0.35">
      <c r="A28" s="13"/>
      <c r="B28" s="14"/>
      <c r="C28" s="14"/>
      <c r="D28" s="390" t="s">
        <v>378</v>
      </c>
      <c r="E28" s="386"/>
      <c r="F28" s="386"/>
      <c r="G28" s="386"/>
      <c r="H28" s="386"/>
      <c r="I28" s="386"/>
      <c r="J28" s="386"/>
      <c r="K28" s="387"/>
      <c r="L28" s="391" t="s">
        <v>379</v>
      </c>
      <c r="M28" s="380"/>
      <c r="N28" s="380"/>
      <c r="O28" s="380"/>
      <c r="P28" s="380"/>
      <c r="Q28" s="380"/>
      <c r="R28" s="380"/>
      <c r="S28" s="333"/>
      <c r="T28" s="392" t="s">
        <v>380</v>
      </c>
      <c r="U28" s="380"/>
      <c r="V28" s="380"/>
      <c r="W28" s="380"/>
      <c r="X28" s="380"/>
      <c r="Y28" s="380"/>
      <c r="Z28" s="380"/>
      <c r="AA28" s="333"/>
    </row>
    <row r="29" spans="1:27" ht="31.5" hidden="1" customHeight="1" x14ac:dyDescent="0.35">
      <c r="A29" s="25"/>
      <c r="B29" s="26"/>
      <c r="C29" s="26"/>
      <c r="D29" s="393" t="s">
        <v>381</v>
      </c>
      <c r="E29" s="312"/>
      <c r="F29" s="312"/>
      <c r="G29" s="312"/>
      <c r="H29" s="312"/>
      <c r="I29" s="312"/>
      <c r="J29" s="312"/>
      <c r="K29" s="313"/>
      <c r="L29" s="394" t="s">
        <v>392</v>
      </c>
      <c r="M29" s="380"/>
      <c r="N29" s="380"/>
      <c r="O29" s="380"/>
      <c r="P29" s="380"/>
      <c r="Q29" s="380"/>
      <c r="R29" s="380"/>
      <c r="S29" s="333"/>
      <c r="T29" s="392" t="s">
        <v>382</v>
      </c>
      <c r="U29" s="380"/>
      <c r="V29" s="380"/>
      <c r="W29" s="380"/>
      <c r="X29" s="380"/>
      <c r="Y29" s="380"/>
      <c r="Z29" s="380"/>
      <c r="AA29" s="333"/>
    </row>
    <row r="30" spans="1:27" ht="46.5" hidden="1" x14ac:dyDescent="0.35">
      <c r="A30" s="18" t="s">
        <v>42</v>
      </c>
      <c r="B30" s="27" t="s">
        <v>43</v>
      </c>
      <c r="C30" s="18" t="s">
        <v>44</v>
      </c>
      <c r="D30" s="106" t="s">
        <v>383</v>
      </c>
      <c r="E30" s="106" t="s">
        <v>384</v>
      </c>
      <c r="F30" s="107" t="s">
        <v>385</v>
      </c>
      <c r="G30" s="107" t="s">
        <v>386</v>
      </c>
      <c r="H30" s="107" t="s">
        <v>387</v>
      </c>
      <c r="I30" s="107" t="s">
        <v>388</v>
      </c>
      <c r="J30" s="107" t="s">
        <v>389</v>
      </c>
      <c r="K30" s="107" t="s">
        <v>390</v>
      </c>
      <c r="L30" s="106" t="s">
        <v>383</v>
      </c>
      <c r="M30" s="106" t="s">
        <v>384</v>
      </c>
      <c r="N30" s="107" t="s">
        <v>385</v>
      </c>
      <c r="O30" s="107" t="s">
        <v>386</v>
      </c>
      <c r="P30" s="107" t="s">
        <v>387</v>
      </c>
      <c r="Q30" s="107" t="s">
        <v>388</v>
      </c>
      <c r="R30" s="107" t="s">
        <v>389</v>
      </c>
      <c r="S30" s="107" t="s">
        <v>390</v>
      </c>
      <c r="T30" s="108" t="s">
        <v>393</v>
      </c>
      <c r="U30" s="108" t="s">
        <v>384</v>
      </c>
      <c r="V30" s="109" t="s">
        <v>385</v>
      </c>
      <c r="W30" s="109" t="s">
        <v>386</v>
      </c>
      <c r="X30" s="109" t="s">
        <v>387</v>
      </c>
      <c r="Y30" s="109" t="s">
        <v>388</v>
      </c>
      <c r="Z30" s="109" t="s">
        <v>389</v>
      </c>
      <c r="AA30" s="109" t="s">
        <v>390</v>
      </c>
    </row>
    <row r="31" spans="1:27" ht="14.5" hidden="1" x14ac:dyDescent="0.35">
      <c r="A31" s="3" t="s">
        <v>48</v>
      </c>
      <c r="B31" s="3"/>
      <c r="C31" s="3" t="s">
        <v>49</v>
      </c>
      <c r="D31" s="98">
        <f>$B$65+$B$70</f>
        <v>8000</v>
      </c>
      <c r="E31" s="98">
        <f>$C$65+$C$70</f>
        <v>8500</v>
      </c>
      <c r="F31" s="98">
        <f>$B$65+ ($B$67*2)</f>
        <v>10800</v>
      </c>
      <c r="G31" s="98">
        <f>$C$65+($C$67*2)</f>
        <v>11500</v>
      </c>
      <c r="H31" s="98">
        <f>$B$65+ ($B$67*10)</f>
        <v>25200</v>
      </c>
      <c r="I31" s="98">
        <f>$C$65+($C$67*10)</f>
        <v>27500</v>
      </c>
      <c r="J31" s="98">
        <f>$B$65+ ($B$67*8)</f>
        <v>21600</v>
      </c>
      <c r="K31" s="98">
        <f>$C$65+($C$67*4)</f>
        <v>15500</v>
      </c>
      <c r="L31" s="98">
        <f>($B$65+$B$70)+100</f>
        <v>8100</v>
      </c>
      <c r="M31" s="98">
        <f>($C$65+$C$70)+100</f>
        <v>8600</v>
      </c>
      <c r="N31" s="98">
        <f>($B$65+ ($B$67*2))+100</f>
        <v>10900</v>
      </c>
      <c r="O31" s="98">
        <f>($C$65+($C$67*2))+100</f>
        <v>11600</v>
      </c>
      <c r="P31" s="98">
        <f>($B$65+ ($B$67*10))+100</f>
        <v>25300</v>
      </c>
      <c r="Q31" s="98">
        <f>($C$65+($C$67*10))+100</f>
        <v>27600</v>
      </c>
      <c r="R31" s="98">
        <f>($B$65+ ($B$67*8))+100</f>
        <v>21700</v>
      </c>
      <c r="S31" s="98">
        <f>($C$65+($C$67*4))+100</f>
        <v>15600</v>
      </c>
      <c r="T31" s="98">
        <f>$D$65+$D$70</f>
        <v>8800</v>
      </c>
      <c r="U31" s="98">
        <f>$E$65+$E$70</f>
        <v>9300</v>
      </c>
      <c r="V31" s="98">
        <f>$D$65+ ($D$67*2)</f>
        <v>13200</v>
      </c>
      <c r="W31" s="98">
        <f>$E$65+($E$67*2)</f>
        <v>13900</v>
      </c>
      <c r="X31" s="98">
        <f>$D$65+ ($D$67*10)</f>
        <v>32400</v>
      </c>
      <c r="Y31" s="98">
        <f>$E$65+($E$67*10)</f>
        <v>34700</v>
      </c>
      <c r="Z31" s="98">
        <f>$D$65+ ($D$67*8)</f>
        <v>27600</v>
      </c>
      <c r="AA31" s="98">
        <f>$E$65+($E$67*4)</f>
        <v>19100</v>
      </c>
    </row>
    <row r="32" spans="1:27" ht="14.5" hidden="1" x14ac:dyDescent="0.35">
      <c r="A32" s="3" t="s">
        <v>50</v>
      </c>
      <c r="B32" s="3"/>
      <c r="C32" s="3" t="s">
        <v>51</v>
      </c>
      <c r="D32" s="98">
        <f t="shared" ref="D32:D38" si="0">$B$64+$B$70</f>
        <v>8000</v>
      </c>
      <c r="E32" s="98">
        <f t="shared" ref="E32:E38" si="1">$C$64+$C$70</f>
        <v>8500</v>
      </c>
      <c r="F32" s="98">
        <f t="shared" ref="F32:F38" si="2">$B$64+ ($B$68*2)</f>
        <v>10800</v>
      </c>
      <c r="G32" s="98">
        <f t="shared" ref="G32:G38" si="3">$C$64+($C$68*2)</f>
        <v>11500</v>
      </c>
      <c r="H32" s="98">
        <f t="shared" ref="H32:H38" si="4">$B$64+ ($B$68*10)</f>
        <v>25200</v>
      </c>
      <c r="I32" s="98">
        <f>$C$64+($C$68*10)</f>
        <v>27500</v>
      </c>
      <c r="J32" s="98">
        <f t="shared" ref="J32:J38" si="5">$B$64+ ($B$68*8)</f>
        <v>21600</v>
      </c>
      <c r="K32" s="98">
        <f t="shared" ref="K32:K38" si="6">$C$64+($C$68*4)</f>
        <v>15500</v>
      </c>
      <c r="L32" s="98">
        <f t="shared" ref="L32:L38" si="7">($B$64+$B$70)+100</f>
        <v>8100</v>
      </c>
      <c r="M32" s="98">
        <f t="shared" ref="M32:M38" si="8">($C$64+$C$70)+100</f>
        <v>8600</v>
      </c>
      <c r="N32" s="98">
        <f t="shared" ref="N32:N38" si="9">($B$64+ ($B$68*2))+100</f>
        <v>10900</v>
      </c>
      <c r="O32" s="98">
        <f t="shared" ref="O32:O38" si="10">($C$64+($C$68*2))+100</f>
        <v>11600</v>
      </c>
      <c r="P32" s="98">
        <f t="shared" ref="P32:P38" si="11">($B$64+ ($B$68*10))+100</f>
        <v>25300</v>
      </c>
      <c r="Q32" s="98">
        <f t="shared" ref="Q32:Q38" si="12">($C$64+($C$68*10))+100</f>
        <v>27600</v>
      </c>
      <c r="R32" s="98">
        <f t="shared" ref="R32:R38" si="13">($B$64+ ($B$68*8))+100</f>
        <v>21700</v>
      </c>
      <c r="S32" s="98">
        <f t="shared" ref="S32:S38" si="14">($C$64+($C$68*4))+100</f>
        <v>15600</v>
      </c>
      <c r="T32" s="98">
        <f t="shared" ref="T32:T42" si="15">$D$64+$D$70</f>
        <v>8800</v>
      </c>
      <c r="U32" s="98">
        <f t="shared" ref="U32:U42" si="16">$E$64+$E$70</f>
        <v>9300</v>
      </c>
      <c r="V32" s="98">
        <f t="shared" ref="V32:V42" si="17">$D$64+ ($D$68*2)</f>
        <v>13200</v>
      </c>
      <c r="W32" s="98">
        <f t="shared" ref="W32:W42" si="18">$E$64+($E$68*2)</f>
        <v>13900</v>
      </c>
      <c r="X32" s="98">
        <f t="shared" ref="X32:X42" si="19">$D$64+ ($D$68*10)</f>
        <v>32400</v>
      </c>
      <c r="Y32" s="98">
        <f t="shared" ref="Y32:Y42" si="20">$E$64+($E$68*10)</f>
        <v>34700</v>
      </c>
      <c r="Z32" s="98">
        <f t="shared" ref="Z32:Z42" si="21">$D$64+ ($D$68*8)</f>
        <v>27600</v>
      </c>
      <c r="AA32" s="98">
        <f t="shared" ref="AA32:AA42" si="22">$E$64+($E$68*4)</f>
        <v>19100</v>
      </c>
    </row>
    <row r="33" spans="1:27" ht="14.5" hidden="1" x14ac:dyDescent="0.35">
      <c r="A33" s="3" t="s">
        <v>54</v>
      </c>
      <c r="B33" s="3"/>
      <c r="C33" s="3" t="s">
        <v>55</v>
      </c>
      <c r="D33" s="98">
        <f>$B$64+$B$70</f>
        <v>8000</v>
      </c>
      <c r="E33" s="98">
        <f t="shared" si="1"/>
        <v>8500</v>
      </c>
      <c r="F33" s="98">
        <f t="shared" si="2"/>
        <v>10800</v>
      </c>
      <c r="G33" s="98">
        <f t="shared" si="3"/>
        <v>11500</v>
      </c>
      <c r="H33" s="98">
        <f t="shared" si="4"/>
        <v>25200</v>
      </c>
      <c r="I33" s="98">
        <f t="shared" ref="I33:I38" si="23">$C$64+($C$68*10)</f>
        <v>27500</v>
      </c>
      <c r="J33" s="98">
        <f t="shared" si="5"/>
        <v>21600</v>
      </c>
      <c r="K33" s="98">
        <f t="shared" si="6"/>
        <v>15500</v>
      </c>
      <c r="L33" s="98">
        <f t="shared" si="7"/>
        <v>8100</v>
      </c>
      <c r="M33" s="98">
        <f t="shared" si="8"/>
        <v>8600</v>
      </c>
      <c r="N33" s="98">
        <f t="shared" si="9"/>
        <v>10900</v>
      </c>
      <c r="O33" s="98">
        <f t="shared" si="10"/>
        <v>11600</v>
      </c>
      <c r="P33" s="98">
        <f t="shared" si="11"/>
        <v>25300</v>
      </c>
      <c r="Q33" s="98">
        <f t="shared" si="12"/>
        <v>27600</v>
      </c>
      <c r="R33" s="98">
        <f t="shared" si="13"/>
        <v>21700</v>
      </c>
      <c r="S33" s="98">
        <f t="shared" si="14"/>
        <v>15600</v>
      </c>
      <c r="T33" s="98">
        <f t="shared" si="15"/>
        <v>8800</v>
      </c>
      <c r="U33" s="98">
        <f t="shared" si="16"/>
        <v>9300</v>
      </c>
      <c r="V33" s="98">
        <f t="shared" si="17"/>
        <v>13200</v>
      </c>
      <c r="W33" s="98">
        <f t="shared" si="18"/>
        <v>13900</v>
      </c>
      <c r="X33" s="98">
        <f t="shared" si="19"/>
        <v>32400</v>
      </c>
      <c r="Y33" s="98">
        <f t="shared" si="20"/>
        <v>34700</v>
      </c>
      <c r="Z33" s="98">
        <f t="shared" si="21"/>
        <v>27600</v>
      </c>
      <c r="AA33" s="98">
        <f t="shared" si="22"/>
        <v>19100</v>
      </c>
    </row>
    <row r="34" spans="1:27" ht="14.5" hidden="1" x14ac:dyDescent="0.35">
      <c r="A34" s="3" t="s">
        <v>56</v>
      </c>
      <c r="B34" s="3"/>
      <c r="C34" s="3" t="s">
        <v>57</v>
      </c>
      <c r="D34" s="98">
        <f t="shared" si="0"/>
        <v>8000</v>
      </c>
      <c r="E34" s="98">
        <f t="shared" si="1"/>
        <v>8500</v>
      </c>
      <c r="F34" s="98">
        <f t="shared" si="2"/>
        <v>10800</v>
      </c>
      <c r="G34" s="98">
        <f t="shared" si="3"/>
        <v>11500</v>
      </c>
      <c r="H34" s="98">
        <f t="shared" si="4"/>
        <v>25200</v>
      </c>
      <c r="I34" s="98">
        <f t="shared" si="23"/>
        <v>27500</v>
      </c>
      <c r="J34" s="98">
        <f t="shared" si="5"/>
        <v>21600</v>
      </c>
      <c r="K34" s="98">
        <f t="shared" si="6"/>
        <v>15500</v>
      </c>
      <c r="L34" s="98">
        <f t="shared" si="7"/>
        <v>8100</v>
      </c>
      <c r="M34" s="98">
        <f t="shared" si="8"/>
        <v>8600</v>
      </c>
      <c r="N34" s="98">
        <f t="shared" si="9"/>
        <v>10900</v>
      </c>
      <c r="O34" s="98">
        <f t="shared" si="10"/>
        <v>11600</v>
      </c>
      <c r="P34" s="98">
        <f t="shared" si="11"/>
        <v>25300</v>
      </c>
      <c r="Q34" s="98">
        <f t="shared" si="12"/>
        <v>27600</v>
      </c>
      <c r="R34" s="98">
        <f t="shared" si="13"/>
        <v>21700</v>
      </c>
      <c r="S34" s="98">
        <f t="shared" si="14"/>
        <v>15600</v>
      </c>
      <c r="T34" s="98">
        <f t="shared" si="15"/>
        <v>8800</v>
      </c>
      <c r="U34" s="98">
        <f t="shared" si="16"/>
        <v>9300</v>
      </c>
      <c r="V34" s="98">
        <f t="shared" si="17"/>
        <v>13200</v>
      </c>
      <c r="W34" s="98">
        <f t="shared" si="18"/>
        <v>13900</v>
      </c>
      <c r="X34" s="98">
        <f t="shared" si="19"/>
        <v>32400</v>
      </c>
      <c r="Y34" s="98">
        <f t="shared" si="20"/>
        <v>34700</v>
      </c>
      <c r="Z34" s="98">
        <f t="shared" si="21"/>
        <v>27600</v>
      </c>
      <c r="AA34" s="98">
        <f t="shared" si="22"/>
        <v>19100</v>
      </c>
    </row>
    <row r="35" spans="1:27" ht="14.5" hidden="1" x14ac:dyDescent="0.35">
      <c r="A35" s="3" t="s">
        <v>58</v>
      </c>
      <c r="B35" s="3"/>
      <c r="C35" s="3" t="s">
        <v>59</v>
      </c>
      <c r="D35" s="98">
        <f t="shared" si="0"/>
        <v>8000</v>
      </c>
      <c r="E35" s="98">
        <f t="shared" si="1"/>
        <v>8500</v>
      </c>
      <c r="F35" s="98">
        <f t="shared" si="2"/>
        <v>10800</v>
      </c>
      <c r="G35" s="98">
        <f t="shared" si="3"/>
        <v>11500</v>
      </c>
      <c r="H35" s="98">
        <f t="shared" si="4"/>
        <v>25200</v>
      </c>
      <c r="I35" s="98">
        <f t="shared" si="23"/>
        <v>27500</v>
      </c>
      <c r="J35" s="98">
        <f t="shared" si="5"/>
        <v>21600</v>
      </c>
      <c r="K35" s="98">
        <f t="shared" si="6"/>
        <v>15500</v>
      </c>
      <c r="L35" s="98">
        <f t="shared" si="7"/>
        <v>8100</v>
      </c>
      <c r="M35" s="98">
        <f t="shared" si="8"/>
        <v>8600</v>
      </c>
      <c r="N35" s="98">
        <f t="shared" si="9"/>
        <v>10900</v>
      </c>
      <c r="O35" s="98">
        <f t="shared" si="10"/>
        <v>11600</v>
      </c>
      <c r="P35" s="98">
        <f t="shared" si="11"/>
        <v>25300</v>
      </c>
      <c r="Q35" s="98">
        <f t="shared" si="12"/>
        <v>27600</v>
      </c>
      <c r="R35" s="98">
        <f t="shared" si="13"/>
        <v>21700</v>
      </c>
      <c r="S35" s="98">
        <f t="shared" si="14"/>
        <v>15600</v>
      </c>
      <c r="T35" s="98">
        <f t="shared" si="15"/>
        <v>8800</v>
      </c>
      <c r="U35" s="98">
        <f t="shared" si="16"/>
        <v>9300</v>
      </c>
      <c r="V35" s="98">
        <f t="shared" si="17"/>
        <v>13200</v>
      </c>
      <c r="W35" s="98">
        <f t="shared" si="18"/>
        <v>13900</v>
      </c>
      <c r="X35" s="98">
        <f t="shared" si="19"/>
        <v>32400</v>
      </c>
      <c r="Y35" s="98">
        <f t="shared" si="20"/>
        <v>34700</v>
      </c>
      <c r="Z35" s="98">
        <f t="shared" si="21"/>
        <v>27600</v>
      </c>
      <c r="AA35" s="98">
        <f t="shared" si="22"/>
        <v>19100</v>
      </c>
    </row>
    <row r="36" spans="1:27" ht="14.5" hidden="1" x14ac:dyDescent="0.35">
      <c r="A36" s="3" t="s">
        <v>60</v>
      </c>
      <c r="B36" s="3"/>
      <c r="C36" s="3" t="s">
        <v>61</v>
      </c>
      <c r="D36" s="98">
        <f t="shared" si="0"/>
        <v>8000</v>
      </c>
      <c r="E36" s="98">
        <f t="shared" si="1"/>
        <v>8500</v>
      </c>
      <c r="F36" s="98">
        <f t="shared" si="2"/>
        <v>10800</v>
      </c>
      <c r="G36" s="98">
        <f t="shared" si="3"/>
        <v>11500</v>
      </c>
      <c r="H36" s="98">
        <f t="shared" si="4"/>
        <v>25200</v>
      </c>
      <c r="I36" s="98">
        <f t="shared" si="23"/>
        <v>27500</v>
      </c>
      <c r="J36" s="98">
        <f t="shared" si="5"/>
        <v>21600</v>
      </c>
      <c r="K36" s="98">
        <f t="shared" si="6"/>
        <v>15500</v>
      </c>
      <c r="L36" s="98">
        <f t="shared" si="7"/>
        <v>8100</v>
      </c>
      <c r="M36" s="98">
        <f t="shared" si="8"/>
        <v>8600</v>
      </c>
      <c r="N36" s="98">
        <f t="shared" si="9"/>
        <v>10900</v>
      </c>
      <c r="O36" s="98">
        <f t="shared" si="10"/>
        <v>11600</v>
      </c>
      <c r="P36" s="98">
        <f t="shared" si="11"/>
        <v>25300</v>
      </c>
      <c r="Q36" s="98">
        <f t="shared" si="12"/>
        <v>27600</v>
      </c>
      <c r="R36" s="98">
        <f t="shared" si="13"/>
        <v>21700</v>
      </c>
      <c r="S36" s="98">
        <f t="shared" si="14"/>
        <v>15600</v>
      </c>
      <c r="T36" s="98">
        <f t="shared" si="15"/>
        <v>8800</v>
      </c>
      <c r="U36" s="98">
        <f t="shared" si="16"/>
        <v>9300</v>
      </c>
      <c r="V36" s="98">
        <f t="shared" si="17"/>
        <v>13200</v>
      </c>
      <c r="W36" s="98">
        <f t="shared" si="18"/>
        <v>13900</v>
      </c>
      <c r="X36" s="98">
        <f t="shared" si="19"/>
        <v>32400</v>
      </c>
      <c r="Y36" s="98">
        <f t="shared" si="20"/>
        <v>34700</v>
      </c>
      <c r="Z36" s="98">
        <f t="shared" si="21"/>
        <v>27600</v>
      </c>
      <c r="AA36" s="98">
        <f t="shared" si="22"/>
        <v>19100</v>
      </c>
    </row>
    <row r="37" spans="1:27" ht="14.5" hidden="1" x14ac:dyDescent="0.35">
      <c r="A37" s="3" t="s">
        <v>74</v>
      </c>
      <c r="B37" s="3"/>
      <c r="C37" s="3" t="s">
        <v>75</v>
      </c>
      <c r="D37" s="98">
        <f t="shared" si="0"/>
        <v>8000</v>
      </c>
      <c r="E37" s="98">
        <f t="shared" si="1"/>
        <v>8500</v>
      </c>
      <c r="F37" s="98">
        <f t="shared" si="2"/>
        <v>10800</v>
      </c>
      <c r="G37" s="98">
        <f t="shared" si="3"/>
        <v>11500</v>
      </c>
      <c r="H37" s="98">
        <f t="shared" si="4"/>
        <v>25200</v>
      </c>
      <c r="I37" s="98">
        <f t="shared" si="23"/>
        <v>27500</v>
      </c>
      <c r="J37" s="98">
        <f t="shared" si="5"/>
        <v>21600</v>
      </c>
      <c r="K37" s="98">
        <f t="shared" si="6"/>
        <v>15500</v>
      </c>
      <c r="L37" s="98">
        <f t="shared" si="7"/>
        <v>8100</v>
      </c>
      <c r="M37" s="98">
        <f t="shared" si="8"/>
        <v>8600</v>
      </c>
      <c r="N37" s="98">
        <f t="shared" si="9"/>
        <v>10900</v>
      </c>
      <c r="O37" s="98">
        <f t="shared" si="10"/>
        <v>11600</v>
      </c>
      <c r="P37" s="98">
        <f t="shared" si="11"/>
        <v>25300</v>
      </c>
      <c r="Q37" s="98">
        <f t="shared" si="12"/>
        <v>27600</v>
      </c>
      <c r="R37" s="98">
        <f t="shared" si="13"/>
        <v>21700</v>
      </c>
      <c r="S37" s="98">
        <f t="shared" si="14"/>
        <v>15600</v>
      </c>
      <c r="T37" s="98">
        <f t="shared" si="15"/>
        <v>8800</v>
      </c>
      <c r="U37" s="98">
        <f t="shared" si="16"/>
        <v>9300</v>
      </c>
      <c r="V37" s="98">
        <f t="shared" si="17"/>
        <v>13200</v>
      </c>
      <c r="W37" s="98">
        <f t="shared" si="18"/>
        <v>13900</v>
      </c>
      <c r="X37" s="98">
        <f t="shared" si="19"/>
        <v>32400</v>
      </c>
      <c r="Y37" s="98">
        <f t="shared" si="20"/>
        <v>34700</v>
      </c>
      <c r="Z37" s="98">
        <f t="shared" si="21"/>
        <v>27600</v>
      </c>
      <c r="AA37" s="98">
        <f t="shared" si="22"/>
        <v>19100</v>
      </c>
    </row>
    <row r="38" spans="1:27" ht="14.5" hidden="1" x14ac:dyDescent="0.35">
      <c r="A38" s="3" t="s">
        <v>62</v>
      </c>
      <c r="B38" s="3"/>
      <c r="C38" s="3" t="s">
        <v>63</v>
      </c>
      <c r="D38" s="98">
        <f t="shared" si="0"/>
        <v>8000</v>
      </c>
      <c r="E38" s="98">
        <f t="shared" si="1"/>
        <v>8500</v>
      </c>
      <c r="F38" s="98">
        <f t="shared" si="2"/>
        <v>10800</v>
      </c>
      <c r="G38" s="98">
        <f t="shared" si="3"/>
        <v>11500</v>
      </c>
      <c r="H38" s="98">
        <f t="shared" si="4"/>
        <v>25200</v>
      </c>
      <c r="I38" s="98">
        <f t="shared" si="23"/>
        <v>27500</v>
      </c>
      <c r="J38" s="98">
        <f t="shared" si="5"/>
        <v>21600</v>
      </c>
      <c r="K38" s="98">
        <f t="shared" si="6"/>
        <v>15500</v>
      </c>
      <c r="L38" s="98">
        <f t="shared" si="7"/>
        <v>8100</v>
      </c>
      <c r="M38" s="98">
        <f t="shared" si="8"/>
        <v>8600</v>
      </c>
      <c r="N38" s="98">
        <f t="shared" si="9"/>
        <v>10900</v>
      </c>
      <c r="O38" s="98">
        <f t="shared" si="10"/>
        <v>11600</v>
      </c>
      <c r="P38" s="98">
        <f t="shared" si="11"/>
        <v>25300</v>
      </c>
      <c r="Q38" s="98">
        <f t="shared" si="12"/>
        <v>27600</v>
      </c>
      <c r="R38" s="98">
        <f t="shared" si="13"/>
        <v>21700</v>
      </c>
      <c r="S38" s="98">
        <f t="shared" si="14"/>
        <v>15600</v>
      </c>
      <c r="T38" s="98">
        <f t="shared" si="15"/>
        <v>8800</v>
      </c>
      <c r="U38" s="98">
        <f t="shared" si="16"/>
        <v>9300</v>
      </c>
      <c r="V38" s="98">
        <f t="shared" si="17"/>
        <v>13200</v>
      </c>
      <c r="W38" s="98">
        <f t="shared" si="18"/>
        <v>13900</v>
      </c>
      <c r="X38" s="98">
        <f t="shared" si="19"/>
        <v>32400</v>
      </c>
      <c r="Y38" s="98">
        <f t="shared" si="20"/>
        <v>34700</v>
      </c>
      <c r="Z38" s="98">
        <f t="shared" si="21"/>
        <v>27600</v>
      </c>
      <c r="AA38" s="98">
        <f t="shared" si="22"/>
        <v>19100</v>
      </c>
    </row>
    <row r="39" spans="1:27" ht="14.5" hidden="1" x14ac:dyDescent="0.35">
      <c r="A39" s="3" t="s">
        <v>70</v>
      </c>
      <c r="B39" s="3"/>
      <c r="C39" s="3" t="s">
        <v>71</v>
      </c>
      <c r="D39" s="98">
        <f>D37</f>
        <v>8000</v>
      </c>
      <c r="E39" s="98">
        <f>E37</f>
        <v>8500</v>
      </c>
      <c r="F39" s="98">
        <f>F33+300</f>
        <v>11100</v>
      </c>
      <c r="G39" s="98">
        <f>G33+300</f>
        <v>11800</v>
      </c>
      <c r="H39" s="98">
        <f>H33+300</f>
        <v>25500</v>
      </c>
      <c r="I39" s="98">
        <f>I33+300</f>
        <v>27800</v>
      </c>
      <c r="J39" s="98">
        <f>J33+300</f>
        <v>21900</v>
      </c>
      <c r="K39" s="98">
        <f t="shared" ref="K39:S39" si="24">K33+300</f>
        <v>15800</v>
      </c>
      <c r="L39" s="98">
        <f>L37</f>
        <v>8100</v>
      </c>
      <c r="M39" s="98">
        <f>M37</f>
        <v>8600</v>
      </c>
      <c r="N39" s="98">
        <f t="shared" si="24"/>
        <v>11200</v>
      </c>
      <c r="O39" s="98">
        <f t="shared" si="24"/>
        <v>11900</v>
      </c>
      <c r="P39" s="98">
        <f t="shared" si="24"/>
        <v>25600</v>
      </c>
      <c r="Q39" s="98">
        <f t="shared" si="24"/>
        <v>27900</v>
      </c>
      <c r="R39" s="98">
        <f t="shared" si="24"/>
        <v>22000</v>
      </c>
      <c r="S39" s="98">
        <f t="shared" si="24"/>
        <v>15900</v>
      </c>
      <c r="T39" s="98">
        <f>$D$64+$D$70</f>
        <v>8800</v>
      </c>
      <c r="U39" s="98">
        <f>$E$64+$E$70</f>
        <v>9300</v>
      </c>
      <c r="V39" s="98">
        <f>V37+300</f>
        <v>13500</v>
      </c>
      <c r="W39" s="98">
        <f t="shared" ref="W39:AA39" si="25">W37+300</f>
        <v>14200</v>
      </c>
      <c r="X39" s="98">
        <f t="shared" si="25"/>
        <v>32700</v>
      </c>
      <c r="Y39" s="98">
        <f t="shared" si="25"/>
        <v>35000</v>
      </c>
      <c r="Z39" s="98">
        <f t="shared" si="25"/>
        <v>27900</v>
      </c>
      <c r="AA39" s="98">
        <f t="shared" si="25"/>
        <v>19400</v>
      </c>
    </row>
    <row r="40" spans="1:27" ht="14.5" hidden="1" x14ac:dyDescent="0.35">
      <c r="A40" s="3" t="s">
        <v>72</v>
      </c>
      <c r="B40" s="3"/>
      <c r="C40" s="3" t="s">
        <v>73</v>
      </c>
      <c r="D40" s="98">
        <f>D37</f>
        <v>8000</v>
      </c>
      <c r="E40" s="98">
        <f>E37</f>
        <v>8500</v>
      </c>
      <c r="F40" s="98">
        <f>F32+300</f>
        <v>11100</v>
      </c>
      <c r="G40" s="98">
        <f>G32+300</f>
        <v>11800</v>
      </c>
      <c r="H40" s="98">
        <f>H32+300</f>
        <v>25500</v>
      </c>
      <c r="I40" s="98">
        <f t="shared" ref="I40:S40" si="26">I32+300</f>
        <v>27800</v>
      </c>
      <c r="J40" s="98">
        <f t="shared" si="26"/>
        <v>21900</v>
      </c>
      <c r="K40" s="98">
        <f t="shared" si="26"/>
        <v>15800</v>
      </c>
      <c r="L40" s="98">
        <f>L37</f>
        <v>8100</v>
      </c>
      <c r="M40" s="98">
        <f>M37</f>
        <v>8600</v>
      </c>
      <c r="N40" s="98">
        <f t="shared" si="26"/>
        <v>11200</v>
      </c>
      <c r="O40" s="98">
        <f t="shared" si="26"/>
        <v>11900</v>
      </c>
      <c r="P40" s="98">
        <f t="shared" si="26"/>
        <v>25600</v>
      </c>
      <c r="Q40" s="98">
        <f t="shared" si="26"/>
        <v>27900</v>
      </c>
      <c r="R40" s="98">
        <f t="shared" si="26"/>
        <v>22000</v>
      </c>
      <c r="S40" s="98">
        <f t="shared" si="26"/>
        <v>15900</v>
      </c>
      <c r="T40" s="98">
        <f>$D$64+$D$70</f>
        <v>8800</v>
      </c>
      <c r="U40" s="98">
        <f>$E$64+$E$70</f>
        <v>9300</v>
      </c>
      <c r="V40" s="98">
        <f>V37+300</f>
        <v>13500</v>
      </c>
      <c r="W40" s="98">
        <f t="shared" ref="W40:AA40" si="27">W37+300</f>
        <v>14200</v>
      </c>
      <c r="X40" s="98">
        <f t="shared" si="27"/>
        <v>32700</v>
      </c>
      <c r="Y40" s="98">
        <f t="shared" si="27"/>
        <v>35000</v>
      </c>
      <c r="Z40" s="98">
        <f t="shared" si="27"/>
        <v>27900</v>
      </c>
      <c r="AA40" s="98">
        <f t="shared" si="27"/>
        <v>19400</v>
      </c>
    </row>
    <row r="41" spans="1:27" ht="14.5" hidden="1" x14ac:dyDescent="0.35">
      <c r="A41" s="3" t="s">
        <v>64</v>
      </c>
      <c r="B41" s="3"/>
      <c r="C41" s="3" t="s">
        <v>65</v>
      </c>
      <c r="D41" s="98">
        <f>$B$64+$B$70</f>
        <v>8000</v>
      </c>
      <c r="E41" s="98">
        <f>$C$64+$C$70</f>
        <v>8500</v>
      </c>
      <c r="F41" s="98">
        <f>$B$64+ ($B$68*2)</f>
        <v>10800</v>
      </c>
      <c r="G41" s="98">
        <f>$C$64+($C$68*2)</f>
        <v>11500</v>
      </c>
      <c r="H41" s="98">
        <f>$B$64+ ($B$68*10)</f>
        <v>25200</v>
      </c>
      <c r="I41" s="98">
        <f>$C$64+($C$68*10)</f>
        <v>27500</v>
      </c>
      <c r="J41" s="98">
        <f>$B$64+ ($B$68*8)</f>
        <v>21600</v>
      </c>
      <c r="K41" s="98">
        <f>$C$64+($C$68*4)</f>
        <v>15500</v>
      </c>
      <c r="L41" s="98">
        <f>($B$64+$B$70)+100</f>
        <v>8100</v>
      </c>
      <c r="M41" s="98">
        <f>($C$64+$C$70)+100</f>
        <v>8600</v>
      </c>
      <c r="N41" s="98">
        <f>($B$64+ ($B$68*2))+100</f>
        <v>10900</v>
      </c>
      <c r="O41" s="98">
        <f>($C$64+($C$68*2))+100</f>
        <v>11600</v>
      </c>
      <c r="P41" s="98">
        <f>($B$64+ ($B$68*10))+100</f>
        <v>25300</v>
      </c>
      <c r="Q41" s="98">
        <f>($C$64+($C$68*10))+100</f>
        <v>27600</v>
      </c>
      <c r="R41" s="98">
        <f>($B$64+ ($B$68*8))+100</f>
        <v>21700</v>
      </c>
      <c r="S41" s="98">
        <f>($C$64+($C$68*4))+100</f>
        <v>15600</v>
      </c>
      <c r="T41" s="98">
        <f t="shared" si="15"/>
        <v>8800</v>
      </c>
      <c r="U41" s="98">
        <f t="shared" si="16"/>
        <v>9300</v>
      </c>
      <c r="V41" s="98">
        <f t="shared" si="17"/>
        <v>13200</v>
      </c>
      <c r="W41" s="98">
        <f t="shared" si="18"/>
        <v>13900</v>
      </c>
      <c r="X41" s="98">
        <f t="shared" si="19"/>
        <v>32400</v>
      </c>
      <c r="Y41" s="98">
        <f t="shared" si="20"/>
        <v>34700</v>
      </c>
      <c r="Z41" s="98">
        <f t="shared" si="21"/>
        <v>27600</v>
      </c>
      <c r="AA41" s="98">
        <f t="shared" si="22"/>
        <v>19100</v>
      </c>
    </row>
    <row r="42" spans="1:27" ht="14.5" hidden="1" x14ac:dyDescent="0.35">
      <c r="A42" s="3" t="s">
        <v>66</v>
      </c>
      <c r="B42" s="3"/>
      <c r="C42" s="3" t="s">
        <v>67</v>
      </c>
      <c r="D42" s="98">
        <f>($B$64+$B$70)+200</f>
        <v>8200</v>
      </c>
      <c r="E42" s="98">
        <f>($C$64+$C$70)+200</f>
        <v>8700</v>
      </c>
      <c r="F42" s="98">
        <f>($B$64+ ($B$68*2))+200</f>
        <v>11000</v>
      </c>
      <c r="G42" s="98">
        <f>($C$64+($C$68*2))+200</f>
        <v>11700</v>
      </c>
      <c r="H42" s="98">
        <f>($B$64+ ($B$68*10))+200</f>
        <v>25400</v>
      </c>
      <c r="I42" s="98">
        <f>($C$64+($C$68*10))+200</f>
        <v>27700</v>
      </c>
      <c r="J42" s="98">
        <f>($B$64+ ($B$68*8))+200</f>
        <v>21800</v>
      </c>
      <c r="K42" s="98">
        <f>($C$64+($C$68*4))+200</f>
        <v>15700</v>
      </c>
      <c r="L42" s="98">
        <f>(($B$64+$B$70)+100)+200</f>
        <v>8300</v>
      </c>
      <c r="M42" s="98">
        <f>(($C$64+$C$70)+100)+200</f>
        <v>8800</v>
      </c>
      <c r="N42" s="98">
        <f>(($B$64+ ($B$68*2))+100)+200</f>
        <v>11100</v>
      </c>
      <c r="O42" s="98">
        <f>(($C$64+($C$68*2))+100)+200</f>
        <v>11800</v>
      </c>
      <c r="P42" s="98">
        <f>(($B$64+ ($B$68*10))+100)+200</f>
        <v>25500</v>
      </c>
      <c r="Q42" s="98">
        <f>(($C$64+($C$68*10))+100)+200</f>
        <v>27800</v>
      </c>
      <c r="R42" s="98">
        <f>(($B$64+ ($B$68*8))+100)+200</f>
        <v>21900</v>
      </c>
      <c r="S42" s="98">
        <f>(($C$64+($C$68*4))+100)+200</f>
        <v>15800</v>
      </c>
      <c r="T42" s="98">
        <f t="shared" si="15"/>
        <v>8800</v>
      </c>
      <c r="U42" s="98">
        <f t="shared" si="16"/>
        <v>9300</v>
      </c>
      <c r="V42" s="98">
        <f t="shared" si="17"/>
        <v>13200</v>
      </c>
      <c r="W42" s="98">
        <f t="shared" si="18"/>
        <v>13900</v>
      </c>
      <c r="X42" s="98">
        <f t="shared" si="19"/>
        <v>32400</v>
      </c>
      <c r="Y42" s="98">
        <f t="shared" si="20"/>
        <v>34700</v>
      </c>
      <c r="Z42" s="98">
        <f t="shared" si="21"/>
        <v>27600</v>
      </c>
      <c r="AA42" s="98">
        <f t="shared" si="22"/>
        <v>19100</v>
      </c>
    </row>
    <row r="43" spans="1:27" ht="14.5" hidden="1" x14ac:dyDescent="0.35">
      <c r="A43" s="3" t="s">
        <v>232</v>
      </c>
      <c r="B43" s="3" t="s">
        <v>470</v>
      </c>
      <c r="C43" s="3" t="s">
        <v>233</v>
      </c>
      <c r="D43" s="98">
        <f>$D$46</f>
        <v>8800</v>
      </c>
      <c r="E43" s="98">
        <f>E46</f>
        <v>9800</v>
      </c>
      <c r="F43" s="98">
        <f t="shared" ref="F43:AA43" si="28">F46</f>
        <v>11900</v>
      </c>
      <c r="G43" s="98">
        <f t="shared" si="28"/>
        <v>12800</v>
      </c>
      <c r="H43" s="98">
        <f t="shared" si="28"/>
        <v>26300</v>
      </c>
      <c r="I43" s="98">
        <f t="shared" si="28"/>
        <v>28800</v>
      </c>
      <c r="J43" s="98">
        <f t="shared" si="28"/>
        <v>22700</v>
      </c>
      <c r="K43" s="98">
        <f t="shared" si="28"/>
        <v>16800</v>
      </c>
      <c r="L43" s="98">
        <f t="shared" si="28"/>
        <v>8900</v>
      </c>
      <c r="M43" s="98">
        <f t="shared" si="28"/>
        <v>9900</v>
      </c>
      <c r="N43" s="98">
        <f t="shared" si="28"/>
        <v>12000</v>
      </c>
      <c r="O43" s="98">
        <f t="shared" si="28"/>
        <v>12900</v>
      </c>
      <c r="P43" s="98">
        <f t="shared" si="28"/>
        <v>26400</v>
      </c>
      <c r="Q43" s="98">
        <f t="shared" si="28"/>
        <v>28900</v>
      </c>
      <c r="R43" s="98">
        <f t="shared" si="28"/>
        <v>22800</v>
      </c>
      <c r="S43" s="98">
        <f t="shared" si="28"/>
        <v>16900</v>
      </c>
      <c r="T43" s="98">
        <f t="shared" si="28"/>
        <v>8550</v>
      </c>
      <c r="U43" s="98">
        <f t="shared" si="28"/>
        <v>9150</v>
      </c>
      <c r="V43" s="98">
        <f t="shared" si="28"/>
        <v>12850</v>
      </c>
      <c r="W43" s="98">
        <f t="shared" si="28"/>
        <v>13750</v>
      </c>
      <c r="X43" s="98">
        <f t="shared" si="28"/>
        <v>32050</v>
      </c>
      <c r="Y43" s="98">
        <f t="shared" si="28"/>
        <v>34550</v>
      </c>
      <c r="Z43" s="98">
        <f t="shared" si="28"/>
        <v>27250</v>
      </c>
      <c r="AA43" s="98">
        <f t="shared" si="28"/>
        <v>18950</v>
      </c>
    </row>
    <row r="44" spans="1:27" ht="14.5" hidden="1" x14ac:dyDescent="0.35">
      <c r="A44" s="3" t="s">
        <v>234</v>
      </c>
      <c r="B44" s="3" t="s">
        <v>470</v>
      </c>
      <c r="C44" s="3" t="s">
        <v>235</v>
      </c>
      <c r="D44" s="98">
        <f>D46</f>
        <v>8800</v>
      </c>
      <c r="E44" s="98">
        <f t="shared" ref="E44:AA44" si="29">E46</f>
        <v>9800</v>
      </c>
      <c r="F44" s="98">
        <f t="shared" si="29"/>
        <v>11900</v>
      </c>
      <c r="G44" s="98">
        <f t="shared" si="29"/>
        <v>12800</v>
      </c>
      <c r="H44" s="98">
        <f t="shared" si="29"/>
        <v>26300</v>
      </c>
      <c r="I44" s="98">
        <f t="shared" si="29"/>
        <v>28800</v>
      </c>
      <c r="J44" s="98">
        <f t="shared" si="29"/>
        <v>22700</v>
      </c>
      <c r="K44" s="98">
        <f t="shared" si="29"/>
        <v>16800</v>
      </c>
      <c r="L44" s="98">
        <f t="shared" si="29"/>
        <v>8900</v>
      </c>
      <c r="M44" s="98">
        <f t="shared" si="29"/>
        <v>9900</v>
      </c>
      <c r="N44" s="98">
        <f t="shared" si="29"/>
        <v>12000</v>
      </c>
      <c r="O44" s="98">
        <f t="shared" si="29"/>
        <v>12900</v>
      </c>
      <c r="P44" s="98">
        <f t="shared" si="29"/>
        <v>26400</v>
      </c>
      <c r="Q44" s="98">
        <f t="shared" si="29"/>
        <v>28900</v>
      </c>
      <c r="R44" s="98">
        <f t="shared" si="29"/>
        <v>22800</v>
      </c>
      <c r="S44" s="98">
        <f t="shared" si="29"/>
        <v>16900</v>
      </c>
      <c r="T44" s="98">
        <f t="shared" si="29"/>
        <v>8550</v>
      </c>
      <c r="U44" s="98">
        <f t="shared" si="29"/>
        <v>9150</v>
      </c>
      <c r="V44" s="98">
        <f t="shared" si="29"/>
        <v>12850</v>
      </c>
      <c r="W44" s="98">
        <f t="shared" si="29"/>
        <v>13750</v>
      </c>
      <c r="X44" s="98">
        <f t="shared" si="29"/>
        <v>32050</v>
      </c>
      <c r="Y44" s="98">
        <f t="shared" si="29"/>
        <v>34550</v>
      </c>
      <c r="Z44" s="98">
        <f t="shared" si="29"/>
        <v>27250</v>
      </c>
      <c r="AA44" s="98">
        <f t="shared" si="29"/>
        <v>18950</v>
      </c>
    </row>
    <row r="45" spans="1:27" ht="14.5" hidden="1" x14ac:dyDescent="0.35">
      <c r="A45" s="3" t="s">
        <v>473</v>
      </c>
      <c r="B45" s="3"/>
      <c r="C45" s="3" t="s">
        <v>474</v>
      </c>
      <c r="D45" s="98">
        <f>$B$66+$B$71+$B$72</f>
        <v>8350</v>
      </c>
      <c r="E45" s="98">
        <f>$C$66+$C$70+$C$72</f>
        <v>9350</v>
      </c>
      <c r="F45" s="98">
        <f>$B$66+ ($B$69*2)+$B$72</f>
        <v>11450</v>
      </c>
      <c r="G45" s="98">
        <f>$C$66+($C$69*2)+$C$72</f>
        <v>12350</v>
      </c>
      <c r="H45" s="98">
        <f>$B$66+ ($B$69*10)+$B$72</f>
        <v>25850</v>
      </c>
      <c r="I45" s="98">
        <f>$C$66+($C$69*10)+$C$72</f>
        <v>28350</v>
      </c>
      <c r="J45" s="98">
        <f>$B$66+ ($B$69*8)+$B$72</f>
        <v>22250</v>
      </c>
      <c r="K45" s="98">
        <f>$C$66+($C$69*4)+$C$72</f>
        <v>16350</v>
      </c>
      <c r="L45" s="98">
        <f>($B$66+$B$71+$B$72)+100</f>
        <v>8450</v>
      </c>
      <c r="M45" s="98">
        <f>($C$66+$C$70+$C$72)+100</f>
        <v>9450</v>
      </c>
      <c r="N45" s="98">
        <f>($B$66+ ($B$69*2)+$B$72)+100</f>
        <v>11550</v>
      </c>
      <c r="O45" s="98">
        <f>($C$66+($C$69*2)+$C$72)+100</f>
        <v>12450</v>
      </c>
      <c r="P45" s="98">
        <f>($B$66+ ($B$69*10)+$B$72)+100</f>
        <v>25950</v>
      </c>
      <c r="Q45" s="98">
        <f>($C$66+($C$69*10)+$C$72)+100</f>
        <v>28450</v>
      </c>
      <c r="R45" s="98">
        <f>($B$66+ ($B$69*8)+$B$72)+100</f>
        <v>22350</v>
      </c>
      <c r="S45" s="98">
        <f>($C$66+($C$69*4)+$C$72)+100</f>
        <v>16450</v>
      </c>
      <c r="T45" s="98">
        <f t="shared" ref="T45:T46" si="30">$D$66+$D$71+$D$72</f>
        <v>8550</v>
      </c>
      <c r="U45" s="98">
        <f t="shared" ref="U45:U46" si="31">$E$66+$E$70+$E$72</f>
        <v>9150</v>
      </c>
      <c r="V45" s="98">
        <f t="shared" ref="V45:V46" si="32">$D$66+ ($D$69*2)+$D$72</f>
        <v>12850</v>
      </c>
      <c r="W45" s="98">
        <f t="shared" ref="W45:W46" si="33">$E$66+($E$69*2)+$E$72</f>
        <v>13750</v>
      </c>
      <c r="X45" s="98">
        <f>$D$66+ ($D$69*10)+$D$72</f>
        <v>32050</v>
      </c>
      <c r="Y45" s="98">
        <f t="shared" ref="Y45:Y46" si="34">$E$66+($E$69*10)+$E$72</f>
        <v>34550</v>
      </c>
      <c r="Z45" s="98">
        <f t="shared" ref="Z45:Z46" si="35">$D$66+ ($D$69*8)+$D$72</f>
        <v>27250</v>
      </c>
      <c r="AA45" s="98">
        <f t="shared" ref="AA45:AA46" si="36">$E$66+($E$69*4)+$E$72</f>
        <v>18950</v>
      </c>
    </row>
    <row r="46" spans="1:27" ht="14.5" hidden="1" x14ac:dyDescent="0.35">
      <c r="A46" s="3" t="s">
        <v>302</v>
      </c>
      <c r="B46" s="3"/>
      <c r="C46" s="3" t="s">
        <v>303</v>
      </c>
      <c r="D46" s="98">
        <f>($B$66+$B$71+$B$72)+450</f>
        <v>8800</v>
      </c>
      <c r="E46" s="98">
        <f>($C$66+$C$70+$C$72)+450</f>
        <v>9800</v>
      </c>
      <c r="F46" s="98">
        <f>($B$66+ ($B$69*2)+$B$72)+450</f>
        <v>11900</v>
      </c>
      <c r="G46" s="98">
        <f>($C$66+($C$69*2)+$C$72)+450</f>
        <v>12800</v>
      </c>
      <c r="H46" s="98">
        <f>($B$66+ ($B$69*10)+$B$72)+450</f>
        <v>26300</v>
      </c>
      <c r="I46" s="98">
        <f>($C$66+($C$69*10)+$C$72)+450</f>
        <v>28800</v>
      </c>
      <c r="J46" s="98">
        <f>($B$66+ ($B$69*8)+$B$72)+450</f>
        <v>22700</v>
      </c>
      <c r="K46" s="98">
        <f>($C$66+($C$69*4)+$C$72)+450</f>
        <v>16800</v>
      </c>
      <c r="L46" s="98">
        <f>(($B$66+$B$71+$B$72)+100)+450</f>
        <v>8900</v>
      </c>
      <c r="M46" s="98">
        <f>(($C$66+$C$70+$C$72)+100)+450</f>
        <v>9900</v>
      </c>
      <c r="N46" s="98">
        <f>(($B$66+ ($B$69*2)+$B$72)+100)+450</f>
        <v>12000</v>
      </c>
      <c r="O46" s="98">
        <f>(($C$66+($C$69*2)+$C$72)+100)+450</f>
        <v>12900</v>
      </c>
      <c r="P46" s="98">
        <f>(($B$66+ ($B$69*10)+$B$72)+100)+450</f>
        <v>26400</v>
      </c>
      <c r="Q46" s="98">
        <f>(($C$66+($C$69*10)+$C$72)+100)+450</f>
        <v>28900</v>
      </c>
      <c r="R46" s="98">
        <f>(($B$66+ ($B$69*8)+$B$72)+100)+450</f>
        <v>22800</v>
      </c>
      <c r="S46" s="98">
        <f>(($C$66+($C$69*4)+$C$72)+100)+450</f>
        <v>16900</v>
      </c>
      <c r="T46" s="98">
        <f t="shared" si="30"/>
        <v>8550</v>
      </c>
      <c r="U46" s="98">
        <f t="shared" si="31"/>
        <v>9150</v>
      </c>
      <c r="V46" s="98">
        <f t="shared" si="32"/>
        <v>12850</v>
      </c>
      <c r="W46" s="98">
        <f t="shared" si="33"/>
        <v>13750</v>
      </c>
      <c r="X46" s="98">
        <f t="shared" ref="X46" si="37">$D$66+ ($D$69*10)+$D$72</f>
        <v>32050</v>
      </c>
      <c r="Y46" s="98">
        <f t="shared" si="34"/>
        <v>34550</v>
      </c>
      <c r="Z46" s="98">
        <f t="shared" si="35"/>
        <v>27250</v>
      </c>
      <c r="AA46" s="98">
        <f t="shared" si="36"/>
        <v>18950</v>
      </c>
    </row>
    <row r="47" spans="1:27" ht="14.5" x14ac:dyDescent="0.35">
      <c r="A47" s="4"/>
      <c r="B47" s="4"/>
      <c r="C47" s="4"/>
      <c r="D47" s="30"/>
      <c r="E47" s="30"/>
      <c r="F47" s="30"/>
      <c r="G47" s="30"/>
      <c r="H47" s="30"/>
      <c r="I47" s="30"/>
      <c r="J47" s="30"/>
      <c r="K47" s="3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24"/>
    </row>
    <row r="48" spans="1:27" ht="15.75" customHeight="1" x14ac:dyDescent="0.35">
      <c r="A48" s="4"/>
      <c r="B48" s="4"/>
      <c r="C48" s="4"/>
      <c r="D48" s="30"/>
      <c r="E48" s="30"/>
      <c r="F48" s="30"/>
      <c r="G48" s="30"/>
      <c r="H48" s="30"/>
      <c r="I48" s="30"/>
      <c r="J48" s="30"/>
      <c r="K48" s="3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24"/>
    </row>
    <row r="49" spans="1:27" ht="14.2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2"/>
      <c r="Y49" s="2"/>
      <c r="Z49" s="2"/>
      <c r="AA49" s="2"/>
    </row>
    <row r="50" spans="1:27" ht="14.25" customHeight="1" x14ac:dyDescent="0.35">
      <c r="A50" s="31" t="s">
        <v>497</v>
      </c>
      <c r="B50" s="2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2"/>
      <c r="Y50" s="2"/>
      <c r="Z50" s="2"/>
      <c r="AA50" s="2"/>
    </row>
    <row r="51" spans="1:27" ht="14.25" customHeight="1" x14ac:dyDescent="0.35">
      <c r="A51" s="31"/>
      <c r="B51" s="2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2"/>
      <c r="Y51" s="2"/>
      <c r="Z51" s="2"/>
      <c r="AA51" s="2"/>
    </row>
    <row r="52" spans="1:27" ht="14.25" customHeight="1" x14ac:dyDescent="0.35">
      <c r="A52" s="31" t="s">
        <v>394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2"/>
      <c r="Y52" s="2"/>
      <c r="Z52" s="2"/>
      <c r="AA52" s="2"/>
    </row>
    <row r="53" spans="1:27" ht="14.25" customHeight="1" x14ac:dyDescent="0.35">
      <c r="A53" s="31" t="s">
        <v>395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2"/>
      <c r="Y53" s="2"/>
      <c r="Z53" s="2"/>
      <c r="AA53" s="2"/>
    </row>
    <row r="54" spans="1:27" ht="14.25" customHeight="1" x14ac:dyDescent="0.35">
      <c r="A54" s="31" t="s">
        <v>396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5"/>
      <c r="X54" s="2"/>
      <c r="Y54" s="2"/>
      <c r="Z54" s="2"/>
      <c r="AA54" s="2"/>
    </row>
    <row r="55" spans="1:27" ht="14.25" customHeight="1" x14ac:dyDescent="0.35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5"/>
      <c r="X55" s="2"/>
      <c r="Y55" s="2"/>
      <c r="Z55" s="2"/>
      <c r="AA55" s="2"/>
    </row>
    <row r="56" spans="1:27" ht="14.25" customHeight="1" x14ac:dyDescent="0.35">
      <c r="A56" s="31" t="s">
        <v>397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2"/>
      <c r="Y56" s="2"/>
      <c r="Z56" s="2"/>
      <c r="AA56" s="2"/>
    </row>
    <row r="57" spans="1:27" ht="14.25" customHeight="1" x14ac:dyDescent="0.35">
      <c r="A57" s="32" t="s">
        <v>398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2"/>
      <c r="Y57" s="2"/>
      <c r="Z57" s="2"/>
      <c r="AA57" s="2"/>
    </row>
    <row r="58" spans="1:27" ht="14.25" customHeight="1" x14ac:dyDescent="0.35">
      <c r="A58" s="31" t="s">
        <v>409</v>
      </c>
      <c r="B58" s="2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2"/>
      <c r="Y58" s="2"/>
      <c r="Z58" s="2"/>
      <c r="AA58" s="2"/>
    </row>
    <row r="59" spans="1:27" ht="17.25" customHeight="1" x14ac:dyDescent="0.35">
      <c r="A59" s="31" t="s">
        <v>399</v>
      </c>
      <c r="B59" s="2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4"/>
      <c r="W59" s="24"/>
      <c r="X59" s="2"/>
      <c r="Y59" s="2"/>
      <c r="Z59" s="2"/>
      <c r="AA59" s="2"/>
    </row>
    <row r="60" spans="1:27" ht="14.5" x14ac:dyDescent="0.35">
      <c r="A60" s="31"/>
      <c r="B60" s="2"/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5" hidden="1" x14ac:dyDescent="0.35">
      <c r="A62" s="4"/>
      <c r="B62" s="4"/>
      <c r="C62" s="2"/>
      <c r="D62" s="383" t="s">
        <v>400</v>
      </c>
      <c r="E62" s="33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5" hidden="1" x14ac:dyDescent="0.35">
      <c r="A63" s="2"/>
      <c r="B63" s="19" t="s">
        <v>45</v>
      </c>
      <c r="C63" s="33" t="s">
        <v>46</v>
      </c>
      <c r="D63" s="107" t="s">
        <v>45</v>
      </c>
      <c r="E63" s="110" t="s">
        <v>46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5" hidden="1" x14ac:dyDescent="0.35">
      <c r="A64" s="2" t="s">
        <v>401</v>
      </c>
      <c r="B64" s="24">
        <f>'China_TWN_SIN_HKG_KR Dry'!D11</f>
        <v>7200</v>
      </c>
      <c r="C64" s="24">
        <f>'China_TWN_SIN_HKG_KR Dry'!E11</f>
        <v>7500</v>
      </c>
      <c r="D64" s="24">
        <f>'China_TWN_SIN_HKG_KR Dry'!BI11</f>
        <v>8400</v>
      </c>
      <c r="E64" s="24">
        <f>'China_TWN_SIN_HKG_KR Dry'!BJ11</f>
        <v>8700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5" hidden="1" x14ac:dyDescent="0.35">
      <c r="A65" s="2" t="s">
        <v>49</v>
      </c>
      <c r="B65" s="24">
        <f>'China_TWN_SIN_HKG_KR Dry'!D10</f>
        <v>7200</v>
      </c>
      <c r="C65" s="24">
        <f>'China_TWN_SIN_HKG_KR Dry'!E10</f>
        <v>7500</v>
      </c>
      <c r="D65" s="24">
        <f>'China_TWN_SIN_HKG_KR Dry'!BI10</f>
        <v>8400</v>
      </c>
      <c r="E65" s="24">
        <f>'China_TWN_SIN_HKG_KR Dry'!BJ10</f>
        <v>8700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5" hidden="1" x14ac:dyDescent="0.35">
      <c r="A66" s="2" t="s">
        <v>323</v>
      </c>
      <c r="B66" s="117">
        <f>ISC_LK_BD_AE_PK!C19</f>
        <v>7200</v>
      </c>
      <c r="C66" s="117">
        <f>ISC_LK_BD_AE_PK!D19</f>
        <v>7700</v>
      </c>
      <c r="D66" s="117">
        <f>ISC_LK_BD_AE_PK!BH19</f>
        <v>7400</v>
      </c>
      <c r="E66" s="117">
        <f>ISC_LK_BD_AE_PK!BJ19</f>
        <v>7900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5" hidden="1" x14ac:dyDescent="0.35">
      <c r="A67" s="2" t="s">
        <v>413</v>
      </c>
      <c r="B67" s="24">
        <v>1800</v>
      </c>
      <c r="C67" s="24">
        <v>2000</v>
      </c>
      <c r="D67" s="24">
        <v>2400</v>
      </c>
      <c r="E67" s="24">
        <v>2600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5" hidden="1" x14ac:dyDescent="0.35">
      <c r="A68" s="2" t="s">
        <v>402</v>
      </c>
      <c r="B68" s="24">
        <v>1800</v>
      </c>
      <c r="C68" s="24">
        <v>2000</v>
      </c>
      <c r="D68" s="24">
        <v>2400</v>
      </c>
      <c r="E68" s="24">
        <v>2600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5" hidden="1" x14ac:dyDescent="0.35">
      <c r="A69" s="2" t="s">
        <v>403</v>
      </c>
      <c r="B69" s="24">
        <v>1800</v>
      </c>
      <c r="C69" s="24">
        <v>2000</v>
      </c>
      <c r="D69" s="24">
        <v>2400</v>
      </c>
      <c r="E69" s="24">
        <v>2600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5" hidden="1" x14ac:dyDescent="0.35">
      <c r="A70" s="2" t="s">
        <v>404</v>
      </c>
      <c r="B70" s="24">
        <v>800</v>
      </c>
      <c r="C70" s="24">
        <v>1000</v>
      </c>
      <c r="D70" s="24">
        <v>400</v>
      </c>
      <c r="E70" s="24">
        <v>600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5" hidden="1" x14ac:dyDescent="0.35">
      <c r="A71" s="2" t="s">
        <v>405</v>
      </c>
      <c r="B71" s="24">
        <v>500</v>
      </c>
      <c r="C71" s="24">
        <v>600</v>
      </c>
      <c r="D71" s="24">
        <v>500</v>
      </c>
      <c r="E71" s="24">
        <v>600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5" hidden="1" x14ac:dyDescent="0.35">
      <c r="A72" s="2" t="s">
        <v>406</v>
      </c>
      <c r="B72" s="24">
        <v>650</v>
      </c>
      <c r="C72" s="24">
        <v>650</v>
      </c>
      <c r="D72" s="24">
        <v>650</v>
      </c>
      <c r="E72" s="24">
        <v>650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35">
      <c r="A73" s="2"/>
      <c r="B73" s="2"/>
      <c r="C73" s="2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35">
      <c r="A74" s="65" t="s">
        <v>423</v>
      </c>
      <c r="B74" s="63"/>
      <c r="C74" s="64"/>
      <c r="D74" s="6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35">
      <c r="A75" s="68" t="s">
        <v>416</v>
      </c>
      <c r="B75" s="63"/>
      <c r="C75" s="64"/>
      <c r="D75" s="6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35">
      <c r="A76" s="68" t="s">
        <v>417</v>
      </c>
      <c r="B76" s="63"/>
      <c r="C76" s="64"/>
      <c r="D76" s="6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35">
      <c r="A77" s="68" t="s">
        <v>418</v>
      </c>
      <c r="B77" s="63"/>
      <c r="C77" s="64"/>
      <c r="D77" s="6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35">
      <c r="A78" s="68" t="s">
        <v>419</v>
      </c>
      <c r="B78" s="63"/>
      <c r="C78" s="64"/>
      <c r="D78" s="6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35">
      <c r="A79" s="69"/>
      <c r="B79" s="63"/>
      <c r="C79" s="64"/>
      <c r="D79" s="6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35">
      <c r="A80" s="68" t="s">
        <v>420</v>
      </c>
      <c r="B80" s="63"/>
      <c r="C80" s="64"/>
      <c r="D80" s="6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35">
      <c r="A81" s="68" t="s">
        <v>421</v>
      </c>
      <c r="B81" s="63"/>
      <c r="C81" s="63"/>
      <c r="D81" s="6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35">
      <c r="A84" s="2" t="s">
        <v>422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4.25" customHeight="1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4.25" customHeight="1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4.25" customHeight="1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4.25" customHeight="1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4.25" customHeight="1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4.25" customHeight="1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4.25" customHeight="1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mergeCells count="15">
    <mergeCell ref="D62:E62"/>
    <mergeCell ref="D5:AA5"/>
    <mergeCell ref="D6:K6"/>
    <mergeCell ref="L6:S6"/>
    <mergeCell ref="T6:AA6"/>
    <mergeCell ref="D7:K7"/>
    <mergeCell ref="L7:S7"/>
    <mergeCell ref="T7:AA7"/>
    <mergeCell ref="D27:AA27"/>
    <mergeCell ref="D28:K28"/>
    <mergeCell ref="L28:S28"/>
    <mergeCell ref="T28:AA28"/>
    <mergeCell ref="D29:K29"/>
    <mergeCell ref="L29:S29"/>
    <mergeCell ref="T29:AA29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9CB1-5A84-4BB6-B7C9-E97485913E92}">
  <dimension ref="C2:E30"/>
  <sheetViews>
    <sheetView showGridLines="0" workbookViewId="0">
      <selection activeCell="F14" sqref="F14"/>
    </sheetView>
  </sheetViews>
  <sheetFormatPr defaultRowHeight="14.5" x14ac:dyDescent="0.35"/>
  <cols>
    <col min="1" max="2" width="8.7265625" style="397"/>
    <col min="3" max="3" width="40.7265625" style="397" bestFit="1" customWidth="1"/>
    <col min="4" max="4" width="25.7265625" style="397" customWidth="1"/>
    <col min="5" max="5" width="33.453125" style="397" customWidth="1"/>
    <col min="6" max="6" width="44.81640625" style="397" bestFit="1" customWidth="1"/>
    <col min="7" max="16384" width="8.7265625" style="397"/>
  </cols>
  <sheetData>
    <row r="2" spans="3:5" ht="15" thickBot="1" x14ac:dyDescent="0.4">
      <c r="C2" s="395"/>
      <c r="D2" s="396"/>
      <c r="E2" s="396"/>
    </row>
    <row r="3" spans="3:5" ht="16" thickBot="1" x14ac:dyDescent="0.4">
      <c r="C3" s="398" t="s">
        <v>514</v>
      </c>
      <c r="D3" s="399"/>
      <c r="E3" s="399"/>
    </row>
    <row r="4" spans="3:5" ht="78" thickBot="1" x14ac:dyDescent="0.4">
      <c r="C4" s="400" t="s">
        <v>4</v>
      </c>
      <c r="D4" s="401" t="s">
        <v>205</v>
      </c>
      <c r="E4" s="401" t="s">
        <v>515</v>
      </c>
    </row>
    <row r="5" spans="3:5" ht="15" customHeight="1" thickBot="1" x14ac:dyDescent="0.4">
      <c r="C5" s="402" t="s">
        <v>516</v>
      </c>
      <c r="D5" s="403">
        <v>21</v>
      </c>
      <c r="E5" s="404" t="s">
        <v>517</v>
      </c>
    </row>
    <row r="6" spans="3:5" ht="15" customHeight="1" thickBot="1" x14ac:dyDescent="0.4">
      <c r="C6" s="402" t="s">
        <v>206</v>
      </c>
      <c r="D6" s="403">
        <v>21</v>
      </c>
      <c r="E6" s="404" t="s">
        <v>517</v>
      </c>
    </row>
    <row r="7" spans="3:5" ht="15" customHeight="1" thickBot="1" x14ac:dyDescent="0.4">
      <c r="C7" s="402" t="s">
        <v>207</v>
      </c>
      <c r="D7" s="403">
        <v>21</v>
      </c>
      <c r="E7" s="404" t="s">
        <v>517</v>
      </c>
    </row>
    <row r="8" spans="3:5" ht="15" customHeight="1" thickBot="1" x14ac:dyDescent="0.4">
      <c r="C8" s="402" t="s">
        <v>208</v>
      </c>
      <c r="D8" s="403">
        <v>20</v>
      </c>
      <c r="E8" s="404" t="s">
        <v>517</v>
      </c>
    </row>
    <row r="9" spans="3:5" ht="15" customHeight="1" thickBot="1" x14ac:dyDescent="0.4">
      <c r="C9" s="402" t="s">
        <v>209</v>
      </c>
      <c r="D9" s="403">
        <v>18</v>
      </c>
      <c r="E9" s="404" t="s">
        <v>517</v>
      </c>
    </row>
    <row r="10" spans="3:5" ht="15" customHeight="1" thickBot="1" x14ac:dyDescent="0.4">
      <c r="C10" s="402" t="s">
        <v>210</v>
      </c>
      <c r="D10" s="403">
        <v>17</v>
      </c>
      <c r="E10" s="404" t="s">
        <v>517</v>
      </c>
    </row>
    <row r="11" spans="3:5" ht="15" customHeight="1" thickBot="1" x14ac:dyDescent="0.4">
      <c r="C11" s="402" t="s">
        <v>211</v>
      </c>
      <c r="D11" s="403">
        <v>16</v>
      </c>
      <c r="E11" s="404" t="s">
        <v>517</v>
      </c>
    </row>
    <row r="12" spans="3:5" ht="15" customHeight="1" thickBot="1" x14ac:dyDescent="0.4">
      <c r="C12" s="402" t="s">
        <v>212</v>
      </c>
      <c r="D12" s="403">
        <v>16</v>
      </c>
      <c r="E12" s="404" t="s">
        <v>517</v>
      </c>
    </row>
    <row r="13" spans="3:5" ht="15" customHeight="1" thickBot="1" x14ac:dyDescent="0.4">
      <c r="C13" s="402" t="s">
        <v>213</v>
      </c>
      <c r="D13" s="403">
        <v>16</v>
      </c>
      <c r="E13" s="404" t="s">
        <v>517</v>
      </c>
    </row>
    <row r="14" spans="3:5" ht="15" customHeight="1" thickBot="1" x14ac:dyDescent="0.4">
      <c r="C14" s="402" t="s">
        <v>214</v>
      </c>
      <c r="D14" s="403">
        <v>16</v>
      </c>
      <c r="E14" s="404" t="s">
        <v>517</v>
      </c>
    </row>
    <row r="15" spans="3:5" ht="15" customHeight="1" thickBot="1" x14ac:dyDescent="0.4">
      <c r="C15" s="402" t="s">
        <v>215</v>
      </c>
      <c r="D15" s="403">
        <v>12</v>
      </c>
      <c r="E15" s="404" t="s">
        <v>517</v>
      </c>
    </row>
    <row r="16" spans="3:5" x14ac:dyDescent="0.35">
      <c r="C16" s="405"/>
      <c r="D16" s="405"/>
      <c r="E16" s="405"/>
    </row>
    <row r="17" spans="3:5" x14ac:dyDescent="0.35">
      <c r="C17" s="405"/>
      <c r="D17" s="405"/>
      <c r="E17" s="405"/>
    </row>
    <row r="18" spans="3:5" ht="16" thickBot="1" x14ac:dyDescent="0.4">
      <c r="C18" s="406" t="s">
        <v>518</v>
      </c>
      <c r="D18" s="399"/>
      <c r="E18" s="399"/>
    </row>
    <row r="19" spans="3:5" ht="78" thickBot="1" x14ac:dyDescent="0.4">
      <c r="C19" s="400" t="s">
        <v>4</v>
      </c>
      <c r="D19" s="401" t="s">
        <v>205</v>
      </c>
      <c r="E19" s="401" t="s">
        <v>515</v>
      </c>
    </row>
    <row r="20" spans="3:5" ht="15" customHeight="1" thickBot="1" x14ac:dyDescent="0.4">
      <c r="C20" s="402" t="s">
        <v>516</v>
      </c>
      <c r="D20" s="407">
        <v>14</v>
      </c>
      <c r="E20" s="404" t="s">
        <v>517</v>
      </c>
    </row>
    <row r="21" spans="3:5" ht="15" customHeight="1" thickBot="1" x14ac:dyDescent="0.4">
      <c r="C21" s="402" t="s">
        <v>206</v>
      </c>
      <c r="D21" s="407">
        <v>14</v>
      </c>
      <c r="E21" s="404" t="s">
        <v>517</v>
      </c>
    </row>
    <row r="22" spans="3:5" ht="15" customHeight="1" thickBot="1" x14ac:dyDescent="0.4">
      <c r="C22" s="402" t="s">
        <v>207</v>
      </c>
      <c r="D22" s="407">
        <v>14</v>
      </c>
      <c r="E22" s="404" t="s">
        <v>517</v>
      </c>
    </row>
    <row r="23" spans="3:5" ht="15" customHeight="1" thickBot="1" x14ac:dyDescent="0.4">
      <c r="C23" s="402" t="s">
        <v>208</v>
      </c>
      <c r="D23" s="407">
        <v>14</v>
      </c>
      <c r="E23" s="404" t="s">
        <v>517</v>
      </c>
    </row>
    <row r="24" spans="3:5" ht="15" customHeight="1" thickBot="1" x14ac:dyDescent="0.4">
      <c r="C24" s="402" t="s">
        <v>209</v>
      </c>
      <c r="D24" s="407">
        <v>14</v>
      </c>
      <c r="E24" s="404" t="s">
        <v>517</v>
      </c>
    </row>
    <row r="25" spans="3:5" ht="15" customHeight="1" thickBot="1" x14ac:dyDescent="0.4">
      <c r="C25" s="402" t="s">
        <v>210</v>
      </c>
      <c r="D25" s="407">
        <v>14</v>
      </c>
      <c r="E25" s="404" t="s">
        <v>517</v>
      </c>
    </row>
    <row r="26" spans="3:5" ht="15" customHeight="1" thickBot="1" x14ac:dyDescent="0.4">
      <c r="C26" s="402" t="s">
        <v>211</v>
      </c>
      <c r="D26" s="407">
        <v>14</v>
      </c>
      <c r="E26" s="404" t="s">
        <v>517</v>
      </c>
    </row>
    <row r="27" spans="3:5" ht="15" customHeight="1" thickBot="1" x14ac:dyDescent="0.4">
      <c r="C27" s="402" t="s">
        <v>212</v>
      </c>
      <c r="D27" s="407">
        <v>14</v>
      </c>
      <c r="E27" s="404" t="s">
        <v>517</v>
      </c>
    </row>
    <row r="28" spans="3:5" ht="15" customHeight="1" thickBot="1" x14ac:dyDescent="0.4">
      <c r="C28" s="402" t="s">
        <v>213</v>
      </c>
      <c r="D28" s="407">
        <v>14</v>
      </c>
      <c r="E28" s="404" t="s">
        <v>517</v>
      </c>
    </row>
    <row r="29" spans="3:5" ht="15" customHeight="1" thickBot="1" x14ac:dyDescent="0.4">
      <c r="C29" s="402" t="s">
        <v>214</v>
      </c>
      <c r="D29" s="407">
        <v>14</v>
      </c>
      <c r="E29" s="404" t="s">
        <v>517</v>
      </c>
    </row>
    <row r="30" spans="3:5" ht="15" customHeight="1" thickBot="1" x14ac:dyDescent="0.4">
      <c r="C30" s="402" t="s">
        <v>215</v>
      </c>
      <c r="D30" s="407">
        <v>14</v>
      </c>
      <c r="E30" s="404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China_TWN_SIN_HKG_KR Dry</vt:lpstr>
      <vt:lpstr>S.E.A_JPN_SA_AU_NZ Dry </vt:lpstr>
      <vt:lpstr>ISC_LK_BD_AE_PK</vt:lpstr>
      <vt:lpstr>Reefer</vt:lpstr>
      <vt:lpstr>LAWC NOR </vt:lpstr>
      <vt:lpstr>OOG</vt:lpstr>
      <vt:lpstr>Free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Jane Yap</cp:lastModifiedBy>
  <dcterms:created xsi:type="dcterms:W3CDTF">2018-04-25T03:39:33Z</dcterms:created>
  <dcterms:modified xsi:type="dcterms:W3CDTF">2026-08-20T06:50:23Z</dcterms:modified>
</cp:coreProperties>
</file>