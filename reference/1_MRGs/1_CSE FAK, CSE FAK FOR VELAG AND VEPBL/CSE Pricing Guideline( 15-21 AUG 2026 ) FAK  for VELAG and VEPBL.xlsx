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.yap\Desktop\"/>
    </mc:Choice>
  </mc:AlternateContent>
  <xr:revisionPtr revIDLastSave="0" documentId="8_{35E97FE3-AB9B-4C79-8F50-5FADD4DDCA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SE" sheetId="7" r:id="rId1"/>
    <sheet name="DG surcharges" sheetId="9" r:id="rId2"/>
    <sheet name="Yangtze ARB Add-on" sheetId="10" r:id="rId3"/>
    <sheet name="Free Time " sheetId="11" r:id="rId4"/>
  </sheets>
  <externalReferences>
    <externalReference r:id="rId5"/>
    <externalReference r:id="rId6"/>
  </externalReferences>
  <definedNames>
    <definedName name="FAK">#REF!</definedName>
    <definedName name="PODNOR">'[1]R5 NOR'!#REF!</definedName>
    <definedName name="POLNOR">'[1]R5 NOR'!#REF!</definedName>
    <definedName name="RatesNOR">'[1]R5 NOR'!#REF!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0" i="10" l="1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</calcChain>
</file>

<file path=xl/sharedStrings.xml><?xml version="1.0" encoding="utf-8"?>
<sst xmlns="http://schemas.openxmlformats.org/spreadsheetml/2006/main" count="659" uniqueCount="387">
  <si>
    <t xml:space="preserve">ONE ASIA-CARIBBEAN RATE GUIDELINE </t>
  </si>
  <si>
    <t>From</t>
  </si>
  <si>
    <t>To</t>
  </si>
  <si>
    <t xml:space="preserve">Validity period </t>
  </si>
  <si>
    <t>SERVICE SCOPE = CSE</t>
  </si>
  <si>
    <t>PLACE OF ORIGIN (POR)</t>
  </si>
  <si>
    <t>POR CODE</t>
  </si>
  <si>
    <t>D2</t>
  </si>
  <si>
    <t>D4</t>
  </si>
  <si>
    <t>D5</t>
  </si>
  <si>
    <t>Taichung</t>
  </si>
  <si>
    <t>TWTXG</t>
  </si>
  <si>
    <t>Dalian</t>
  </si>
  <si>
    <t>CNDLC</t>
  </si>
  <si>
    <t>Xingang</t>
  </si>
  <si>
    <t>CNTXG</t>
  </si>
  <si>
    <t>Lianyungang</t>
  </si>
  <si>
    <t>Yantai</t>
  </si>
  <si>
    <t>Nanchang</t>
  </si>
  <si>
    <t>Chongqing</t>
  </si>
  <si>
    <t>Zhapu</t>
  </si>
  <si>
    <t>Wenzhou</t>
  </si>
  <si>
    <t>Huangpu</t>
  </si>
  <si>
    <t>CNHUA</t>
  </si>
  <si>
    <t>Qinzhou</t>
  </si>
  <si>
    <t>CNQZH</t>
  </si>
  <si>
    <t>Haiphong</t>
  </si>
  <si>
    <t>VNHPH</t>
  </si>
  <si>
    <t>Port Kelang</t>
  </si>
  <si>
    <t>MYPKG</t>
  </si>
  <si>
    <t>Penang</t>
  </si>
  <si>
    <t>MYPEN</t>
  </si>
  <si>
    <t>Jakarta</t>
  </si>
  <si>
    <t>IDJKT</t>
  </si>
  <si>
    <t>Surabaya</t>
  </si>
  <si>
    <t>IDSUB</t>
  </si>
  <si>
    <t>Semarang</t>
  </si>
  <si>
    <t>IDSRG</t>
  </si>
  <si>
    <t>Belawan</t>
  </si>
  <si>
    <t>IDBLW</t>
  </si>
  <si>
    <t>Palembang</t>
  </si>
  <si>
    <t>IDPLM</t>
  </si>
  <si>
    <t>Panjang</t>
  </si>
  <si>
    <t>IDPNJ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</si>
  <si>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</si>
  <si>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</si>
  <si>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</si>
  <si>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</si>
  <si>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</si>
  <si>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</si>
  <si>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</si>
  <si>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</si>
  <si>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Manila</t>
  </si>
  <si>
    <t>PHMNL</t>
  </si>
  <si>
    <t>Cebu</t>
  </si>
  <si>
    <t>PHCEB</t>
  </si>
  <si>
    <t>Yangon</t>
  </si>
  <si>
    <t>MMRGN</t>
  </si>
  <si>
    <t>Phnom Penh</t>
  </si>
  <si>
    <t>KHPNH</t>
  </si>
  <si>
    <t>Sihanoukville</t>
  </si>
  <si>
    <t>KHKOS</t>
  </si>
  <si>
    <t>Karachi</t>
  </si>
  <si>
    <t>PKKHI</t>
  </si>
  <si>
    <t>Colombo*</t>
  </si>
  <si>
    <t>LKCMB</t>
  </si>
  <si>
    <t>Chittagong*</t>
  </si>
  <si>
    <t>BDCGP</t>
  </si>
  <si>
    <t>Jebel Ali*</t>
  </si>
  <si>
    <t>AEJEA</t>
  </si>
  <si>
    <t>Jeddah*</t>
  </si>
  <si>
    <t>SAJED</t>
  </si>
  <si>
    <t>- Above rate offer is applicable for non-DG commodity only.</t>
  </si>
  <si>
    <t>POD</t>
  </si>
  <si>
    <t>Free line detention combine (port storage and demurrage under cnee own negotiation with terminal)</t>
  </si>
  <si>
    <t xml:space="preserve">Fuzhou </t>
  </si>
  <si>
    <t xml:space="preserve"> Fuqing</t>
  </si>
  <si>
    <t xml:space="preserve">Ho Chi Minh </t>
  </si>
  <si>
    <t xml:space="preserve"> BIEN HOA </t>
  </si>
  <si>
    <t xml:space="preserve"> DI AN </t>
  </si>
  <si>
    <t xml:space="preserve"> CAI MEP</t>
  </si>
  <si>
    <t xml:space="preserve">Danang  </t>
  </si>
  <si>
    <t xml:space="preserve"> Quinhon</t>
  </si>
  <si>
    <t xml:space="preserve">Pasir Gudang </t>
  </si>
  <si>
    <t xml:space="preserve"> Tanjung Pelepas</t>
  </si>
  <si>
    <t xml:space="preserve"> General Santos</t>
  </si>
  <si>
    <t xml:space="preserve">Davao </t>
  </si>
  <si>
    <t xml:space="preserve">Sydney </t>
  </si>
  <si>
    <t xml:space="preserve"> Melbourn</t>
  </si>
  <si>
    <t xml:space="preserve"> Fremantle </t>
  </si>
  <si>
    <t xml:space="preserve"> Brisbane </t>
  </si>
  <si>
    <t>Adelaide</t>
  </si>
  <si>
    <t>Auckland</t>
  </si>
  <si>
    <t xml:space="preserve"> Tauranga </t>
  </si>
  <si>
    <t xml:space="preserve"> Lyttelton </t>
  </si>
  <si>
    <t xml:space="preserve"> Napier</t>
  </si>
  <si>
    <t xml:space="preserve">Nhava Sheva </t>
  </si>
  <si>
    <t xml:space="preserve"> Pipavav </t>
  </si>
  <si>
    <t xml:space="preserve"> Mundra</t>
  </si>
  <si>
    <t xml:space="preserve">Chennai </t>
  </si>
  <si>
    <t xml:space="preserve"> Kattupalli</t>
  </si>
  <si>
    <t xml:space="preserve"> Visakhapatnam</t>
  </si>
  <si>
    <t xml:space="preserve">Calcutta </t>
  </si>
  <si>
    <t>Haldia</t>
  </si>
  <si>
    <t xml:space="preserve">Tuticorin </t>
  </si>
  <si>
    <t xml:space="preserve"> Cochin</t>
  </si>
  <si>
    <t>INCOK</t>
  </si>
  <si>
    <t>VNDIA</t>
  </si>
  <si>
    <t>NZNPE</t>
  </si>
  <si>
    <t>FAR EAST BASE PORT</t>
  </si>
  <si>
    <t>FEBP</t>
  </si>
  <si>
    <t>PEARL RIVER DELTA</t>
  </si>
  <si>
    <t>WPRD</t>
  </si>
  <si>
    <t>WPRD = current PRD ports : Zhongshan/Zhuhai/Jiangmen/Nansha/Foshan/Sanshan/Rongqi/Beijiao/Xiaolan/Zhanjiang/Shantou/Gaolan/Leliu/Gaoming/Sanshui/Zhoaqing/Jiujiang,guangdong</t>
  </si>
  <si>
    <t>Hazira</t>
  </si>
  <si>
    <t>INHZA</t>
  </si>
  <si>
    <t>Heavy Weight surcharge (HEA):
Nil for cargo weight upto 17.99 tons. USD200 per 20ft for cargo weight over 18 tons</t>
  </si>
  <si>
    <t>Hamad</t>
  </si>
  <si>
    <t>QAHMD</t>
  </si>
  <si>
    <t>Sohar</t>
  </si>
  <si>
    <t>OMSOH</t>
  </si>
  <si>
    <t>Kuwait</t>
  </si>
  <si>
    <t>KWSWK</t>
  </si>
  <si>
    <t>Jordan</t>
  </si>
  <si>
    <t>JOAQJ</t>
  </si>
  <si>
    <t>Bahrain</t>
  </si>
  <si>
    <t>BHBAH</t>
  </si>
  <si>
    <t>Effective Date:</t>
  </si>
  <si>
    <t>Mode</t>
  </si>
  <si>
    <t>Province</t>
  </si>
  <si>
    <t>Origin</t>
  </si>
  <si>
    <t>Via</t>
  </si>
  <si>
    <t>Zhejiang</t>
  </si>
  <si>
    <t>Shanghai</t>
  </si>
  <si>
    <t>Barge</t>
  </si>
  <si>
    <t>Anhui</t>
  </si>
  <si>
    <t>Rail</t>
  </si>
  <si>
    <t>Jiangsu</t>
  </si>
  <si>
    <t>Ningbo</t>
  </si>
  <si>
    <t>Hefei</t>
  </si>
  <si>
    <t>Hubei</t>
  </si>
  <si>
    <t>Jiangxi</t>
  </si>
  <si>
    <t>Qingdao</t>
  </si>
  <si>
    <t>Shandong</t>
  </si>
  <si>
    <t>Rizhao</t>
  </si>
  <si>
    <t>Shidao</t>
  </si>
  <si>
    <t>Weihai</t>
  </si>
  <si>
    <t>CNFOC</t>
  </si>
  <si>
    <t>CNFUG</t>
  </si>
  <si>
    <t>VNSGN</t>
  </si>
  <si>
    <t>VNBHA</t>
  </si>
  <si>
    <t>VNCMP</t>
  </si>
  <si>
    <t>VNDAD</t>
  </si>
  <si>
    <t>VNUIH</t>
  </si>
  <si>
    <t>MYPGU</t>
  </si>
  <si>
    <t>MYTPP</t>
  </si>
  <si>
    <t>PHGES</t>
  </si>
  <si>
    <t>PHDVO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</si>
  <si>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</si>
  <si>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</si>
  <si>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</si>
  <si>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</si>
  <si>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</si>
  <si>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</si>
  <si>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</si>
  <si>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</si>
  <si>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</si>
  <si>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</si>
  <si>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</si>
  <si>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</si>
  <si>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</si>
  <si>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</si>
  <si>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</si>
  <si>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</si>
  <si>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</si>
  <si>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Origin Code</t>
  </si>
  <si>
    <t>20GP</t>
  </si>
  <si>
    <t>40GP</t>
  </si>
  <si>
    <t>40HQ</t>
  </si>
  <si>
    <t>PUERTO CABELLO</t>
  </si>
  <si>
    <t>LA GUAIRA</t>
  </si>
  <si>
    <t>VEPBL</t>
  </si>
  <si>
    <t>VELAG</t>
  </si>
  <si>
    <t xml:space="preserve">Free days for FAK DRY cargo </t>
  </si>
  <si>
    <t>VELAG/VEPBL</t>
  </si>
  <si>
    <r>
      <t>Countermeasures for Outstanding
- All manifested BL surcharges needs to be</t>
    </r>
    <r>
      <rPr>
        <b/>
        <sz val="11"/>
        <color theme="1"/>
        <rFont val="Calibri"/>
        <family val="2"/>
        <scheme val="minor"/>
      </rPr>
      <t xml:space="preserve"> Prepaid outside Venezuela</t>
    </r>
    <r>
      <rPr>
        <sz val="11"/>
        <color theme="1"/>
        <rFont val="Calibri"/>
        <family val="2"/>
        <scheme val="minor"/>
      </rPr>
      <t>.
only Local Charges Non manifested to be collected in Venezuela
- Payment confirmation at Transshipment port
- Cargo Acceptance confirmation (CACF) confirmation by Venezuela TPA
Countermeasure for Longstay
- Evacuate empties in no longer than 60 days after being discharged.
- Import cargo release alert after 15 days with no action at Port.
Countermeasure for Sanction 
- Regular screening by BKG office (as per ONE GHQ Legal's guideline)
- Due diligence by Venezuela TPA with the consignee (= additional screening)
 -No government cargo acceptance.</t>
    </r>
  </si>
  <si>
    <t xml:space="preserve">Importance : </t>
  </si>
  <si>
    <t>Yantian</t>
  </si>
  <si>
    <t>*** The number of D2 containers must be an even number, odd number of D2 containers are prohibited.</t>
  </si>
  <si>
    <t>Shekou</t>
  </si>
  <si>
    <t>Via Code</t>
  </si>
  <si>
    <t>CNKHN</t>
  </si>
  <si>
    <t>CNCLJ</t>
  </si>
  <si>
    <t>POR Add-on</t>
  </si>
  <si>
    <t>KRPUS</t>
  </si>
  <si>
    <t xml:space="preserve">IMO Surcharges </t>
  </si>
  <si>
    <t>Tariff Surcharge
(Surcharge code: HAZ)</t>
  </si>
  <si>
    <t>IMO Class</t>
  </si>
  <si>
    <t>D20</t>
  </si>
  <si>
    <t>D40</t>
  </si>
  <si>
    <t>40HC</t>
  </si>
  <si>
    <t>Remarks</t>
  </si>
  <si>
    <t>CLASS 1</t>
  </si>
  <si>
    <t>pls check with us case by case</t>
  </si>
  <si>
    <t xml:space="preserve">CLASS 2.1 </t>
  </si>
  <si>
    <t>USD 450</t>
  </si>
  <si>
    <t>USD 800</t>
  </si>
  <si>
    <t>CLASS 2.2</t>
  </si>
  <si>
    <t>USD 300</t>
  </si>
  <si>
    <t>USD 600</t>
  </si>
  <si>
    <t>Other class 2</t>
  </si>
  <si>
    <t>USD 700</t>
  </si>
  <si>
    <t>USD 1400</t>
  </si>
  <si>
    <t>CLASS 3</t>
  </si>
  <si>
    <t>USD 200</t>
  </si>
  <si>
    <t>USD 400</t>
  </si>
  <si>
    <t>CLASS 4</t>
  </si>
  <si>
    <t>Class 5</t>
  </si>
  <si>
    <t>USD 500</t>
  </si>
  <si>
    <t>USD 1000</t>
  </si>
  <si>
    <t>CLASS 6.1/6.2</t>
  </si>
  <si>
    <t>CLASS 7</t>
  </si>
  <si>
    <t>CLASS 8</t>
  </si>
  <si>
    <t>USD 100</t>
  </si>
  <si>
    <t>CLASS 9</t>
  </si>
  <si>
    <t xml:space="preserve">** All HAZ shpt is subject to DG desk approval &amp; vessel operator's acceptance. </t>
  </si>
  <si>
    <t>PSA T/S charge
(for any shpt tranship via Singapore)
(Surcharge code: PSA)</t>
  </si>
  <si>
    <t>PSA Class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</si>
  <si>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</si>
  <si>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</si>
  <si>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no extra t/s charge is needed.</t>
  </si>
  <si>
    <t>USD 538</t>
  </si>
  <si>
    <t>USD 753</t>
  </si>
  <si>
    <r>
      <t xml:space="preserve">FEBP = current base port : </t>
    </r>
    <r>
      <rPr>
        <b/>
        <strike/>
        <sz val="14"/>
        <color rgb="FFFF0000"/>
        <rFont val="Calibri"/>
        <family val="2"/>
      </rPr>
      <t>Pusan</t>
    </r>
    <r>
      <rPr>
        <b/>
        <sz val="14"/>
        <color rgb="FF000000"/>
        <rFont val="Calibri"/>
        <family val="2"/>
      </rPr>
      <t xml:space="preserve">/Shanghai/Ningbo/Qingdao/Xiamen/Yantian/Shekou /Hong Kong/Keelung/Kaohsiung/Taoyuan/Singapore </t>
    </r>
  </si>
  <si>
    <t>Xiamen</t>
  </si>
  <si>
    <t>CNYUY</t>
  </si>
  <si>
    <t>Hai'An</t>
  </si>
  <si>
    <t>CNHAI</t>
  </si>
  <si>
    <t>Huainan</t>
  </si>
  <si>
    <t>CNHIA</t>
  </si>
  <si>
    <t>Pusan</t>
  </si>
  <si>
    <t>Lu'An</t>
  </si>
  <si>
    <t>CNLUN</t>
  </si>
  <si>
    <t>Xuzhou</t>
  </si>
  <si>
    <t>Yancheng</t>
  </si>
  <si>
    <t>CNYNC</t>
  </si>
  <si>
    <t>Nil</t>
  </si>
  <si>
    <t>Class 5 .1</t>
  </si>
  <si>
    <t xml:space="preserve"> Dangerous Goods (DG) - Class 1D , 2 &amp; 2B (Non-Storable in PSA) </t>
  </si>
  <si>
    <t xml:space="preserve"> Dangerous Goods (DG) - Class 1S, 2S, 2A, 2F  (Storable in PSA)</t>
  </si>
  <si>
    <t>ONE Bunker Surcharge (OBS): usd 119/238/238/238 per D2/D4/D5/R5 NOR during Q2 2026 (Apr-Jun)</t>
  </si>
  <si>
    <t>Kuala Tanjung</t>
  </si>
  <si>
    <t>IDKTJ</t>
  </si>
  <si>
    <t>KOREA</t>
  </si>
  <si>
    <t xml:space="preserve"> 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</si>
  <si>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</si>
  <si>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</si>
  <si>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</si>
  <si>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rPr>
        <b/>
        <sz val="14"/>
        <rFont val="Calibri"/>
        <family val="2"/>
        <scheme val="minor"/>
      </rPr>
      <t>Rates are   Incl. PSS/OBS/EFS/MBS</t>
    </r>
    <r>
      <rPr>
        <b/>
        <sz val="14"/>
        <color rgb="FFCC0099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subject to</t>
    </r>
    <r>
      <rPr>
        <b/>
        <sz val="14"/>
        <color rgb="FFCC0099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SLF/</t>
    </r>
    <r>
      <rPr>
        <b/>
        <sz val="14"/>
        <color theme="1"/>
        <rFont val="Calibri"/>
        <family val="2"/>
        <scheme val="minor"/>
      </rPr>
      <t>CSS/THL/DOCs at POL &amp; POD/Tariff Surcharges both ends/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</si>
  <si>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  PSS/OBS/EFS/MBS  </t>
    </r>
    <r>
      <rPr>
        <b/>
        <sz val="14"/>
        <rFont val="Calibri"/>
        <family val="2"/>
        <scheme val="minor"/>
      </rPr>
      <t xml:space="preserve">  subject to   WRC/ SLF/CSS/THL/DOCs at POL &amp; POD/Tariff Surcharges both ends/ 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</si>
  <si>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 xml:space="preserve">THL/CSS/SLF </t>
    </r>
    <r>
      <rPr>
        <b/>
        <sz val="14"/>
        <rFont val="Calibri"/>
        <family val="2"/>
        <scheme val="minor"/>
      </rPr>
      <t>/PSS/OBS/EFS/MBS   sub to DOCs at POL &amp; POD/Tariff Surcharges both ends/ 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</si>
  <si>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 </t>
    </r>
    <r>
      <rPr>
        <b/>
        <sz val="14"/>
        <color rgb="FFCC0099"/>
        <rFont val="Calibri"/>
        <family val="2"/>
        <scheme val="minor"/>
      </rPr>
      <t xml:space="preserve">THL/PSS/OBS/EFS/MBS  </t>
    </r>
    <r>
      <rPr>
        <b/>
        <sz val="14"/>
        <rFont val="Calibri"/>
        <family val="2"/>
        <scheme val="minor"/>
      </rPr>
      <t xml:space="preserve"> subject to  CSS /SLF/DOCs at POL &amp; POD/Tariff Surcharges both ends/ PCT/HEA/CMD/WHA</t>
    </r>
  </si>
  <si>
    <t>ONE Bunker Surcharge (OBS): usd 320/640/640/640 per D2/D4/D5/R5 NOR during Q3 2026 (Jul-Sep)</t>
  </si>
  <si>
    <t>From Jul 1 - Sept 31, 2026</t>
  </si>
  <si>
    <t>Anji</t>
    <phoneticPr fontId="11" type="noConversion"/>
  </si>
  <si>
    <t>CNANJ</t>
    <phoneticPr fontId="7" type="noConversion"/>
  </si>
  <si>
    <t>Anqing</t>
    <phoneticPr fontId="11" type="noConversion"/>
  </si>
  <si>
    <t>CNAQG</t>
    <phoneticPr fontId="7" type="noConversion"/>
  </si>
  <si>
    <t>Shanghai</t>
    <phoneticPr fontId="7" type="noConversion"/>
  </si>
  <si>
    <t>Rail</t>
    <phoneticPr fontId="7" type="noConversion"/>
  </si>
  <si>
    <t>Bengbu</t>
    <phoneticPr fontId="7" type="noConversion"/>
  </si>
  <si>
    <t>CNBFU</t>
    <phoneticPr fontId="7" type="noConversion"/>
  </si>
  <si>
    <t>Jilin</t>
    <phoneticPr fontId="7" type="noConversion"/>
  </si>
  <si>
    <t>Changchun</t>
    <phoneticPr fontId="7" type="noConversion"/>
  </si>
  <si>
    <t>CNCGQ</t>
    <phoneticPr fontId="7" type="noConversion"/>
  </si>
  <si>
    <t>Dalian</t>
    <phoneticPr fontId="7" type="noConversion"/>
  </si>
  <si>
    <t>Hunan</t>
    <phoneticPr fontId="7" type="noConversion"/>
  </si>
  <si>
    <t>Changsha</t>
    <phoneticPr fontId="11" type="noConversion"/>
  </si>
  <si>
    <t>CNCSX</t>
    <phoneticPr fontId="7" type="noConversion"/>
  </si>
  <si>
    <t>Changshu</t>
    <phoneticPr fontId="11" type="noConversion"/>
  </si>
  <si>
    <t>CNCGU</t>
    <phoneticPr fontId="7" type="noConversion"/>
  </si>
  <si>
    <t>Changzhou</t>
    <phoneticPr fontId="11" type="noConversion"/>
  </si>
  <si>
    <t>CNCZX</t>
    <phoneticPr fontId="7" type="noConversion"/>
  </si>
  <si>
    <t>Jiangsu</t>
    <phoneticPr fontId="7" type="noConversion"/>
  </si>
  <si>
    <t>Changzhou</t>
    <phoneticPr fontId="7" type="noConversion"/>
  </si>
  <si>
    <t>Changxing</t>
    <phoneticPr fontId="7" type="noConversion"/>
  </si>
  <si>
    <t>CNCH1</t>
    <phoneticPr fontId="7" type="noConversion"/>
  </si>
  <si>
    <t>Sichuan</t>
    <phoneticPr fontId="7" type="noConversion"/>
  </si>
  <si>
    <t>Chengdu</t>
    <phoneticPr fontId="11" type="noConversion"/>
  </si>
  <si>
    <t>CNCTU</t>
    <phoneticPr fontId="7" type="noConversion"/>
  </si>
  <si>
    <t>Chengdu</t>
    <phoneticPr fontId="7" type="noConversion"/>
  </si>
  <si>
    <t>Yantian</t>
    <phoneticPr fontId="7" type="noConversion"/>
  </si>
  <si>
    <t>Chongqing</t>
    <phoneticPr fontId="7" type="noConversion"/>
  </si>
  <si>
    <t>Chongqing</t>
    <phoneticPr fontId="11" type="noConversion"/>
  </si>
  <si>
    <t>CNCKG</t>
    <phoneticPr fontId="7" type="noConversion"/>
  </si>
  <si>
    <t>Chuzhou</t>
    <phoneticPr fontId="7" type="noConversion"/>
  </si>
  <si>
    <t>CNCZH</t>
    <phoneticPr fontId="7" type="noConversion"/>
  </si>
  <si>
    <t xml:space="preserve">Dafeng </t>
    <phoneticPr fontId="11" type="noConversion"/>
  </si>
  <si>
    <t>CNDFG</t>
    <phoneticPr fontId="7" type="noConversion"/>
  </si>
  <si>
    <t>Hefei</t>
    <phoneticPr fontId="11" type="noConversion"/>
  </si>
  <si>
    <t>CNHFE</t>
    <phoneticPr fontId="7" type="noConversion"/>
  </si>
  <si>
    <t>Huaian</t>
    <phoneticPr fontId="11" type="noConversion"/>
  </si>
  <si>
    <t>CNHUN</t>
    <phoneticPr fontId="7" type="noConversion"/>
  </si>
  <si>
    <t>Huaian</t>
    <phoneticPr fontId="7" type="noConversion"/>
  </si>
  <si>
    <t>Hubei</t>
    <phoneticPr fontId="7" type="noConversion"/>
  </si>
  <si>
    <t>Huangshi</t>
    <phoneticPr fontId="11" type="noConversion"/>
  </si>
  <si>
    <t>CNHSI</t>
    <phoneticPr fontId="7" type="noConversion"/>
  </si>
  <si>
    <t>Jiangyin</t>
    <phoneticPr fontId="11" type="noConversion"/>
  </si>
  <si>
    <t>CNJIA</t>
    <phoneticPr fontId="7" type="noConversion"/>
  </si>
  <si>
    <t>Barge</t>
    <phoneticPr fontId="7" type="noConversion"/>
  </si>
  <si>
    <t>Jingzhou</t>
    <phoneticPr fontId="11" type="noConversion"/>
  </si>
  <si>
    <t>CNJGZ</t>
    <phoneticPr fontId="7" type="noConversion"/>
  </si>
  <si>
    <t>Jiangxi</t>
    <phoneticPr fontId="7" type="noConversion"/>
  </si>
  <si>
    <t>Jiujiang</t>
    <phoneticPr fontId="11" type="noConversion"/>
  </si>
  <si>
    <t>CNJIU</t>
    <phoneticPr fontId="7" type="noConversion"/>
  </si>
  <si>
    <t>Lianyungang</t>
    <phoneticPr fontId="11" type="noConversion"/>
  </si>
  <si>
    <t>CNLYG</t>
    <phoneticPr fontId="7" type="noConversion"/>
  </si>
  <si>
    <t>Luzhou</t>
    <phoneticPr fontId="11" type="noConversion"/>
  </si>
  <si>
    <t>CNLZU</t>
    <phoneticPr fontId="7" type="noConversion"/>
  </si>
  <si>
    <t>Ma'anshan</t>
    <phoneticPr fontId="11" type="noConversion"/>
  </si>
  <si>
    <t>CNMAA</t>
    <phoneticPr fontId="7" type="noConversion"/>
  </si>
  <si>
    <t>Nanchang</t>
    <phoneticPr fontId="11" type="noConversion"/>
  </si>
  <si>
    <t>CNKHN</t>
    <phoneticPr fontId="7" type="noConversion"/>
  </si>
  <si>
    <t>Nanchang</t>
    <phoneticPr fontId="7" type="noConversion"/>
  </si>
  <si>
    <t>Ningbo</t>
    <phoneticPr fontId="7" type="noConversion"/>
  </si>
  <si>
    <t>Not Applicable for  New Energy Vehicle</t>
  </si>
  <si>
    <t>Nansha</t>
    <phoneticPr fontId="7" type="noConversion"/>
  </si>
  <si>
    <t>Nanjing</t>
    <phoneticPr fontId="11" type="noConversion"/>
  </si>
  <si>
    <t>CNNKG</t>
    <phoneticPr fontId="7" type="noConversion"/>
  </si>
  <si>
    <t>Nantong</t>
    <phoneticPr fontId="11" type="noConversion"/>
  </si>
  <si>
    <t>CNNTG</t>
    <phoneticPr fontId="7" type="noConversion"/>
  </si>
  <si>
    <t>CNRZH</t>
    <phoneticPr fontId="7" type="noConversion"/>
  </si>
  <si>
    <t>Rugao</t>
    <phoneticPr fontId="11" type="noConversion"/>
  </si>
  <si>
    <t>CNRUG</t>
    <phoneticPr fontId="7" type="noConversion"/>
  </si>
  <si>
    <t>CNSHD</t>
    <phoneticPr fontId="7" type="noConversion"/>
  </si>
  <si>
    <t>Suzhou</t>
    <phoneticPr fontId="7" type="noConversion"/>
  </si>
  <si>
    <t>CNSZH</t>
    <phoneticPr fontId="7" type="noConversion"/>
  </si>
  <si>
    <t>Taicang</t>
    <phoneticPr fontId="11" type="noConversion"/>
  </si>
  <si>
    <t>CNTAG</t>
    <phoneticPr fontId="7" type="noConversion"/>
  </si>
  <si>
    <t>Taizhou</t>
    <phoneticPr fontId="11" type="noConversion"/>
  </si>
  <si>
    <t>CNTZO</t>
    <phoneticPr fontId="7" type="noConversion"/>
  </si>
  <si>
    <t>Inner Mongolia</t>
    <phoneticPr fontId="7" type="noConversion"/>
  </si>
  <si>
    <t>Tongliao</t>
    <phoneticPr fontId="7" type="noConversion"/>
  </si>
  <si>
    <t>CNTNL</t>
    <phoneticPr fontId="7" type="noConversion"/>
  </si>
  <si>
    <t>CNWEI</t>
    <phoneticPr fontId="7" type="noConversion"/>
  </si>
  <si>
    <t>CNWNZ</t>
    <phoneticPr fontId="7" type="noConversion"/>
  </si>
  <si>
    <t>Wuhan</t>
    <phoneticPr fontId="11" type="noConversion"/>
  </si>
  <si>
    <t>CNWUH</t>
    <phoneticPr fontId="7" type="noConversion"/>
  </si>
  <si>
    <t>Wuhan</t>
    <phoneticPr fontId="7" type="noConversion"/>
  </si>
  <si>
    <t>Xiamen</t>
    <phoneticPr fontId="7" type="noConversion"/>
  </si>
  <si>
    <t>Wuhu</t>
    <phoneticPr fontId="11" type="noConversion"/>
  </si>
  <si>
    <t>CNWHI</t>
    <phoneticPr fontId="7" type="noConversion"/>
  </si>
  <si>
    <t>Xiangyang</t>
    <phoneticPr fontId="7" type="noConversion"/>
  </si>
  <si>
    <t>CNXAN</t>
    <phoneticPr fontId="7" type="noConversion"/>
  </si>
  <si>
    <t>CNXUZ</t>
    <phoneticPr fontId="7" type="noConversion"/>
  </si>
  <si>
    <t>Yangzhou</t>
    <phoneticPr fontId="11" type="noConversion"/>
  </si>
  <si>
    <t>CNYZH</t>
    <phoneticPr fontId="7" type="noConversion"/>
  </si>
  <si>
    <t>CNYNT</t>
    <phoneticPr fontId="7" type="noConversion"/>
  </si>
  <si>
    <t>Yibin</t>
    <phoneticPr fontId="11" type="noConversion"/>
  </si>
  <si>
    <t>CNYBN</t>
    <phoneticPr fontId="7" type="noConversion"/>
  </si>
  <si>
    <t>Yichang</t>
    <phoneticPr fontId="11" type="noConversion"/>
  </si>
  <si>
    <t>CNYIC</t>
    <phoneticPr fontId="7" type="noConversion"/>
  </si>
  <si>
    <t>Ningxia</t>
    <phoneticPr fontId="7" type="noConversion"/>
  </si>
  <si>
    <t>Yinchuan</t>
    <phoneticPr fontId="7" type="noConversion"/>
  </si>
  <si>
    <t>CNYIH</t>
    <phoneticPr fontId="7" type="noConversion"/>
  </si>
  <si>
    <t>Tianjin</t>
    <phoneticPr fontId="7" type="noConversion"/>
  </si>
  <si>
    <t>Zhejiang</t>
    <phoneticPr fontId="7" type="noConversion"/>
  </si>
  <si>
    <t>Yiwu</t>
    <phoneticPr fontId="7" type="noConversion"/>
  </si>
  <si>
    <t>CNYIU</t>
    <phoneticPr fontId="7" type="noConversion"/>
  </si>
  <si>
    <t>Yueyang</t>
    <phoneticPr fontId="11" type="noConversion"/>
  </si>
  <si>
    <t>Zhangjiagang</t>
    <phoneticPr fontId="11" type="noConversion"/>
  </si>
  <si>
    <t>CNZJG</t>
    <phoneticPr fontId="7" type="noConversion"/>
  </si>
  <si>
    <t>CNZAP</t>
    <phoneticPr fontId="7" type="noConversion"/>
  </si>
  <si>
    <t>Zhengzhou</t>
    <phoneticPr fontId="7" type="noConversion"/>
  </si>
  <si>
    <t>CNCGO</t>
    <phoneticPr fontId="7" type="noConversion"/>
  </si>
  <si>
    <t>Qingdao</t>
    <phoneticPr fontId="7" type="noConversion"/>
  </si>
  <si>
    <t>Zhenjiang</t>
    <phoneticPr fontId="11" type="noConversion"/>
  </si>
  <si>
    <t>CNZHE</t>
    <phoneticPr fontId="7" type="noConversion"/>
  </si>
  <si>
    <t>Remarks:</t>
    <phoneticPr fontId="7" type="noConversion"/>
  </si>
  <si>
    <t>For Nanjing Shipments, if the gross weight (cargo weight + tare weight) is over 30.5 tons, please add USD65/95 (20'/40') on top of our add-on to cover heavy surcharge in Nanjing terminal</t>
    <phoneticPr fontId="7" type="noConversion"/>
  </si>
  <si>
    <t>For shipments T/S via Ningbo, if the gross weight (cargo weight + tare weight) is over 32.5 tons, please add USD35/52 (20'/40') on top of our add-on to cover heavy surcharge</t>
    <phoneticPr fontId="7" type="noConversion"/>
  </si>
  <si>
    <t>For shipments T/S via SHA, if the gross weight (cargo weight + tare weight) is over 30.5 tons T/S, OWT surcharge will be auto-rated. (CNY 650/900 for 20'/40')</t>
    <phoneticPr fontId="7" type="noConversion"/>
  </si>
  <si>
    <t>PCT amount increased eff from 10 AUG 2026 . USD 100/TEU</t>
  </si>
  <si>
    <t>Free days for FAK DRY cargo</t>
  </si>
  <si>
    <t>      Expire </t>
  </si>
  <si>
    <t>14 days Dry Only</t>
  </si>
  <si>
    <t>1 July 2026 to 30 Sept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</si>
</sst>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[$-13C09]d\ mmm\ yyyy"/>
    <numFmt numFmtId="165" formatCode="0_ ;[Red]\-0\ "/>
    <numFmt numFmtId="166" formatCode="_ * #,##0.00_ ;_ * \-#,##0.00_ ;_ * &quot;-&quot;??_ ;_ @_ "/>
    <numFmt numFmtId="167" formatCode="[$-409]dd\-mmm\-yy;@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name val="SWISS"/>
      <family val="1"/>
    </font>
    <font>
      <sz val="10"/>
      <name val="Arial"/>
      <family val="2"/>
    </font>
    <font>
      <b/>
      <sz val="14"/>
      <color rgb="FFCC009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8"/>
      <color rgb="FFCC0099"/>
      <name val="Calibri"/>
      <family val="2"/>
      <scheme val="minor"/>
    </font>
    <font>
      <b/>
      <sz val="14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  <font>
      <b/>
      <sz val="18"/>
      <color rgb="FFFF000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ahoma"/>
      <family val="2"/>
    </font>
    <font>
      <sz val="12"/>
      <color rgb="FF024D71"/>
      <name val="Proxima Nova"/>
    </font>
    <font>
      <sz val="11"/>
      <color rgb="FF000000"/>
      <name val="Arial"/>
      <family val="2"/>
    </font>
    <font>
      <sz val="11"/>
      <name val="SimSun"/>
    </font>
    <font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C009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b/>
      <sz val="11"/>
      <color rgb="FFFF0000"/>
      <name val="Calibri"/>
      <family val="2"/>
    </font>
    <font>
      <b/>
      <strike/>
      <sz val="14"/>
      <color rgb="FFFF0000"/>
      <name val="Calibri"/>
      <family val="2"/>
    </font>
    <font>
      <sz val="11"/>
      <color rgb="FF22222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4"/>
      <color theme="1"/>
      <name val="Aptos"/>
      <family val="2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2222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CC00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CFF"/>
        <bgColor rgb="FFFFCCFF"/>
      </patternFill>
    </fill>
    <fill>
      <patternFill patternType="solid">
        <fgColor rgb="FFBDD6EE"/>
        <bgColor rgb="FFBDD6EE"/>
      </patternFill>
    </fill>
    <fill>
      <patternFill patternType="solid">
        <fgColor rgb="FFBD0096"/>
        <bgColor rgb="FFBD0096"/>
      </patternFill>
    </fill>
    <fill>
      <patternFill patternType="solid">
        <fgColor rgb="FFFBE4D5"/>
        <bgColor rgb="FFFBE4D5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BE4D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3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2">
    <xf numFmtId="0" fontId="0" fillId="0" borderId="0"/>
    <xf numFmtId="0" fontId="8" fillId="4" borderId="0"/>
    <xf numFmtId="0" fontId="9" fillId="0" borderId="0"/>
    <xf numFmtId="0" fontId="9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/>
    <xf numFmtId="0" fontId="32" fillId="0" borderId="0"/>
    <xf numFmtId="0" fontId="1" fillId="0" borderId="0">
      <alignment vertical="center"/>
    </xf>
    <xf numFmtId="0" fontId="9" fillId="0" borderId="0"/>
    <xf numFmtId="0" fontId="9" fillId="0" borderId="0"/>
    <xf numFmtId="0" fontId="1" fillId="0" borderId="0"/>
    <xf numFmtId="0" fontId="1" fillId="0" borderId="0"/>
    <xf numFmtId="0" fontId="33" fillId="0" borderId="0"/>
    <xf numFmtId="0" fontId="3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7" fontId="1" fillId="0" borderId="0">
      <alignment vertical="center"/>
    </xf>
    <xf numFmtId="0" fontId="1" fillId="0" borderId="0"/>
    <xf numFmtId="167" fontId="1" fillId="0" borderId="0">
      <alignment vertical="center"/>
    </xf>
    <xf numFmtId="0" fontId="1" fillId="0" borderId="0">
      <alignment vertical="center"/>
    </xf>
    <xf numFmtId="16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9" fillId="0" borderId="0"/>
    <xf numFmtId="0" fontId="14" fillId="0" borderId="0"/>
    <xf numFmtId="0" fontId="1" fillId="0" borderId="0"/>
    <xf numFmtId="0" fontId="14" fillId="0" borderId="0"/>
  </cellStyleXfs>
  <cellXfs count="161"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16" fillId="0" borderId="0" xfId="18" applyFont="1"/>
    <xf numFmtId="0" fontId="17" fillId="0" borderId="0" xfId="18" applyFont="1"/>
    <xf numFmtId="0" fontId="7" fillId="0" borderId="0" xfId="0" applyFont="1" applyAlignment="1">
      <alignment horizontal="center"/>
    </xf>
    <xf numFmtId="0" fontId="19" fillId="0" borderId="0" xfId="0" quotePrefix="1" applyFont="1" applyAlignment="1">
      <alignment horizontal="left" vertical="center"/>
    </xf>
    <xf numFmtId="0" fontId="11" fillId="6" borderId="0" xfId="0" quotePrefix="1" applyFont="1" applyFill="1"/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13" fillId="6" borderId="0" xfId="0" applyFont="1" applyFill="1"/>
    <xf numFmtId="0" fontId="21" fillId="0" borderId="0" xfId="0" applyFont="1"/>
    <xf numFmtId="0" fontId="22" fillId="0" borderId="0" xfId="18" applyFont="1"/>
    <xf numFmtId="0" fontId="11" fillId="0" borderId="0" xfId="0" applyFont="1"/>
    <xf numFmtId="0" fontId="11" fillId="0" borderId="0" xfId="0" applyFont="1" applyAlignment="1">
      <alignment horizontal="center"/>
    </xf>
    <xf numFmtId="0" fontId="22" fillId="8" borderId="0" xfId="18" applyFont="1" applyFill="1"/>
    <xf numFmtId="0" fontId="23" fillId="8" borderId="0" xfId="18" applyFont="1" applyFill="1"/>
    <xf numFmtId="0" fontId="25" fillId="3" borderId="0" xfId="0" applyFont="1" applyFill="1" applyAlignment="1">
      <alignment vertical="center"/>
    </xf>
    <xf numFmtId="0" fontId="13" fillId="3" borderId="0" xfId="0" applyFont="1" applyFill="1" applyAlignment="1">
      <alignment horizontal="center"/>
    </xf>
    <xf numFmtId="1" fontId="11" fillId="3" borderId="0" xfId="0" applyNumberFormat="1" applyFont="1" applyFill="1" applyAlignment="1">
      <alignment horizontal="center" vertical="center"/>
    </xf>
    <xf numFmtId="0" fontId="25" fillId="9" borderId="0" xfId="0" applyFont="1" applyFill="1" applyAlignment="1">
      <alignment vertical="center"/>
    </xf>
    <xf numFmtId="0" fontId="13" fillId="9" borderId="0" xfId="0" applyFont="1" applyFill="1" applyAlignment="1">
      <alignment horizontal="center"/>
    </xf>
    <xf numFmtId="1" fontId="11" fillId="9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24" fillId="3" borderId="0" xfId="0" applyFont="1" applyFill="1"/>
    <xf numFmtId="0" fontId="0" fillId="3" borderId="0" xfId="0" applyFill="1"/>
    <xf numFmtId="0" fontId="26" fillId="3" borderId="0" xfId="0" applyFont="1" applyFill="1"/>
    <xf numFmtId="164" fontId="27" fillId="12" borderId="3" xfId="0" applyNumberFormat="1" applyFont="1" applyFill="1" applyBorder="1" applyAlignment="1">
      <alignment horizontal="center"/>
    </xf>
    <xf numFmtId="164" fontId="27" fillId="12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8" fillId="11" borderId="3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0" fontId="31" fillId="14" borderId="1" xfId="0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 vertical="center"/>
    </xf>
    <xf numFmtId="0" fontId="27" fillId="10" borderId="3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/>
    </xf>
    <xf numFmtId="0" fontId="27" fillId="13" borderId="1" xfId="0" applyFont="1" applyFill="1" applyBorder="1" applyAlignment="1">
      <alignment horizontal="center" vertical="center"/>
    </xf>
    <xf numFmtId="0" fontId="27" fillId="13" borderId="8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vertical="center"/>
    </xf>
    <xf numFmtId="0" fontId="28" fillId="11" borderId="1" xfId="0" applyFont="1" applyFill="1" applyBorder="1" applyAlignment="1">
      <alignment horizontal="center" wrapText="1"/>
    </xf>
    <xf numFmtId="0" fontId="28" fillId="15" borderId="1" xfId="0" applyFont="1" applyFill="1" applyBorder="1" applyAlignment="1">
      <alignment horizontal="center" vertical="center"/>
    </xf>
    <xf numFmtId="0" fontId="28" fillId="15" borderId="4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35" fillId="0" borderId="0" xfId="0" applyFont="1"/>
    <xf numFmtId="0" fontId="35" fillId="0" borderId="0" xfId="0" applyFont="1" applyAlignment="1">
      <alignment vertical="center" readingOrder="1"/>
    </xf>
    <xf numFmtId="0" fontId="35" fillId="17" borderId="0" xfId="0" applyFont="1" applyFill="1"/>
    <xf numFmtId="0" fontId="0" fillId="6" borderId="0" xfId="0" applyFill="1"/>
    <xf numFmtId="0" fontId="39" fillId="0" borderId="0" xfId="0" applyFont="1"/>
    <xf numFmtId="0" fontId="40" fillId="0" borderId="0" xfId="0" applyFont="1"/>
    <xf numFmtId="0" fontId="41" fillId="5" borderId="12" xfId="2" applyFont="1" applyFill="1" applyBorder="1" applyAlignment="1">
      <alignment wrapText="1"/>
    </xf>
    <xf numFmtId="0" fontId="41" fillId="5" borderId="12" xfId="2" applyFont="1" applyFill="1" applyBorder="1" applyAlignment="1">
      <alignment horizontal="center" wrapText="1"/>
    </xf>
    <xf numFmtId="0" fontId="41" fillId="5" borderId="13" xfId="2" applyFont="1" applyFill="1" applyBorder="1" applyAlignment="1">
      <alignment horizontal="center" wrapText="1"/>
    </xf>
    <xf numFmtId="0" fontId="6" fillId="18" borderId="10" xfId="3" applyFont="1" applyFill="1" applyBorder="1" applyAlignment="1">
      <alignment horizontal="left"/>
    </xf>
    <xf numFmtId="0" fontId="6" fillId="18" borderId="15" xfId="3" applyFont="1" applyFill="1" applyBorder="1" applyAlignment="1">
      <alignment horizontal="center"/>
    </xf>
    <xf numFmtId="0" fontId="3" fillId="18" borderId="10" xfId="3" applyFont="1" applyFill="1" applyBorder="1" applyAlignment="1">
      <alignment horizontal="left"/>
    </xf>
    <xf numFmtId="0" fontId="1" fillId="18" borderId="10" xfId="3" applyFont="1" applyFill="1" applyBorder="1" applyAlignment="1">
      <alignment horizontal="center"/>
    </xf>
    <xf numFmtId="0" fontId="1" fillId="0" borderId="10" xfId="4" applyBorder="1" applyAlignment="1">
      <alignment horizontal="center"/>
    </xf>
    <xf numFmtId="0" fontId="3" fillId="0" borderId="15" xfId="3" applyFont="1" applyBorder="1" applyAlignment="1">
      <alignment horizontal="center"/>
    </xf>
    <xf numFmtId="0" fontId="1" fillId="18" borderId="10" xfId="4" applyFill="1" applyBorder="1" applyAlignment="1">
      <alignment horizontal="center"/>
    </xf>
    <xf numFmtId="0" fontId="42" fillId="18" borderId="10" xfId="3" applyFont="1" applyFill="1" applyBorder="1" applyAlignment="1">
      <alignment horizontal="left"/>
    </xf>
    <xf numFmtId="0" fontId="38" fillId="18" borderId="10" xfId="4" applyFont="1" applyFill="1" applyBorder="1" applyAlignment="1">
      <alignment horizontal="center"/>
    </xf>
    <xf numFmtId="0" fontId="6" fillId="18" borderId="15" xfId="3" applyFont="1" applyFill="1" applyBorder="1" applyAlignment="1">
      <alignment horizontal="center" wrapText="1"/>
    </xf>
    <xf numFmtId="0" fontId="6" fillId="18" borderId="17" xfId="3" applyFont="1" applyFill="1" applyBorder="1" applyAlignment="1">
      <alignment horizontal="left"/>
    </xf>
    <xf numFmtId="0" fontId="1" fillId="0" borderId="17" xfId="4" applyBorder="1" applyAlignment="1">
      <alignment horizontal="center"/>
    </xf>
    <xf numFmtId="0" fontId="3" fillId="0" borderId="18" xfId="3" applyFont="1" applyBorder="1" applyAlignment="1">
      <alignment horizontal="center"/>
    </xf>
    <xf numFmtId="0" fontId="0" fillId="0" borderId="19" xfId="0" applyBorder="1"/>
    <xf numFmtId="0" fontId="6" fillId="0" borderId="19" xfId="3" applyFont="1" applyBorder="1" applyAlignment="1">
      <alignment horizontal="left"/>
    </xf>
    <xf numFmtId="0" fontId="1" fillId="0" borderId="19" xfId="4" applyBorder="1" applyAlignment="1">
      <alignment horizontal="center"/>
    </xf>
    <xf numFmtId="0" fontId="6" fillId="0" borderId="19" xfId="3" applyFont="1" applyBorder="1" applyAlignment="1">
      <alignment horizontal="center"/>
    </xf>
    <xf numFmtId="0" fontId="6" fillId="0" borderId="0" xfId="3" applyFont="1" applyAlignment="1">
      <alignment horizontal="left"/>
    </xf>
    <xf numFmtId="0" fontId="1" fillId="0" borderId="0" xfId="4" applyAlignment="1">
      <alignment horizontal="center"/>
    </xf>
    <xf numFmtId="0" fontId="6" fillId="0" borderId="0" xfId="3" applyFont="1" applyAlignment="1">
      <alignment horizontal="center"/>
    </xf>
    <xf numFmtId="0" fontId="42" fillId="0" borderId="10" xfId="0" applyFont="1" applyBorder="1" applyAlignment="1">
      <alignment vertical="center"/>
    </xf>
    <xf numFmtId="0" fontId="43" fillId="18" borderId="15" xfId="4" applyFont="1" applyFill="1" applyBorder="1" applyAlignment="1">
      <alignment horizontal="left" vertical="center" wrapText="1"/>
    </xf>
    <xf numFmtId="2" fontId="43" fillId="18" borderId="18" xfId="4" applyNumberFormat="1" applyFont="1" applyFill="1" applyBorder="1" applyAlignment="1">
      <alignment horizontal="left" vertical="center" wrapText="1"/>
    </xf>
    <xf numFmtId="0" fontId="42" fillId="3" borderId="10" xfId="6" applyFont="1" applyFill="1" applyBorder="1" applyAlignment="1">
      <alignment horizontal="center" vertical="center"/>
    </xf>
    <xf numFmtId="0" fontId="27" fillId="10" borderId="3" xfId="0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" fontId="28" fillId="13" borderId="1" xfId="0" applyNumberFormat="1" applyFont="1" applyFill="1" applyBorder="1" applyAlignment="1">
      <alignment horizontal="center" vertical="center"/>
    </xf>
    <xf numFmtId="1" fontId="45" fillId="19" borderId="1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6" fillId="0" borderId="0" xfId="0" applyFont="1"/>
    <xf numFmtId="0" fontId="48" fillId="18" borderId="10" xfId="0" applyFont="1" applyFill="1" applyBorder="1" applyAlignment="1">
      <alignment horizontal="center" vertical="center"/>
    </xf>
    <xf numFmtId="0" fontId="49" fillId="18" borderId="10" xfId="0" applyFont="1" applyFill="1" applyBorder="1" applyAlignment="1">
      <alignment horizontal="center" vertical="center"/>
    </xf>
    <xf numFmtId="165" fontId="49" fillId="18" borderId="10" xfId="0" applyNumberFormat="1" applyFont="1" applyFill="1" applyBorder="1" applyAlignment="1">
      <alignment horizontal="center" vertical="center"/>
    </xf>
    <xf numFmtId="0" fontId="47" fillId="3" borderId="0" xfId="0" applyFont="1" applyFill="1"/>
    <xf numFmtId="0" fontId="11" fillId="3" borderId="0" xfId="0" quotePrefix="1" applyFont="1" applyFill="1"/>
    <xf numFmtId="0" fontId="49" fillId="0" borderId="10" xfId="0" applyFont="1" applyBorder="1" applyAlignment="1">
      <alignment vertical="center"/>
    </xf>
    <xf numFmtId="165" fontId="49" fillId="0" borderId="10" xfId="0" applyNumberFormat="1" applyFont="1" applyBorder="1" applyAlignment="1">
      <alignment vertical="center"/>
    </xf>
    <xf numFmtId="165" fontId="49" fillId="0" borderId="10" xfId="0" applyNumberFormat="1" applyFont="1" applyBorder="1" applyAlignment="1">
      <alignment horizontal="center" vertical="center"/>
    </xf>
    <xf numFmtId="0" fontId="48" fillId="18" borderId="10" xfId="0" applyFont="1" applyFill="1" applyBorder="1" applyAlignment="1">
      <alignment horizontal="center" vertical="center" wrapText="1"/>
    </xf>
    <xf numFmtId="165" fontId="48" fillId="18" borderId="1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0" fillId="3" borderId="0" xfId="0" applyFont="1" applyFill="1" applyAlignment="1">
      <alignment vertical="center"/>
    </xf>
    <xf numFmtId="0" fontId="11" fillId="0" borderId="0" xfId="1" applyFont="1" applyFill="1"/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center"/>
    </xf>
    <xf numFmtId="0" fontId="52" fillId="18" borderId="0" xfId="0" applyFont="1" applyFill="1" applyAlignment="1">
      <alignment vertical="center"/>
    </xf>
    <xf numFmtId="0" fontId="52" fillId="0" borderId="0" xfId="0" applyFont="1" applyAlignment="1">
      <alignment vertical="center"/>
    </xf>
    <xf numFmtId="0" fontId="48" fillId="0" borderId="25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18" borderId="1" xfId="0" applyFont="1" applyFill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165" fontId="49" fillId="0" borderId="0" xfId="0" applyNumberFormat="1" applyFont="1" applyAlignment="1">
      <alignment horizontal="center" vertical="center"/>
    </xf>
    <xf numFmtId="165" fontId="53" fillId="0" borderId="0" xfId="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12" fillId="0" borderId="0" xfId="0" applyFont="1"/>
    <xf numFmtId="0" fontId="10" fillId="20" borderId="0" xfId="0" quotePrefix="1" applyFont="1" applyFill="1" applyAlignment="1">
      <alignment horizontal="left" vertical="center"/>
    </xf>
    <xf numFmtId="0" fontId="5" fillId="20" borderId="0" xfId="0" applyFont="1" applyFill="1" applyAlignment="1">
      <alignment horizontal="center"/>
    </xf>
    <xf numFmtId="0" fontId="5" fillId="20" borderId="0" xfId="0" applyFont="1" applyFill="1"/>
    <xf numFmtId="0" fontId="0" fillId="20" borderId="0" xfId="0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2" xfId="0" applyFont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0" fillId="0" borderId="0" xfId="0" quotePrefix="1" applyFont="1" applyAlignment="1">
      <alignment horizontal="left" vertical="center" wrapText="1"/>
    </xf>
    <xf numFmtId="0" fontId="29" fillId="16" borderId="4" xfId="0" applyFont="1" applyFill="1" applyBorder="1" applyAlignment="1">
      <alignment horizontal="center" vertical="center" wrapText="1"/>
    </xf>
    <xf numFmtId="0" fontId="16" fillId="7" borderId="8" xfId="0" applyFont="1" applyFill="1" applyBorder="1"/>
    <xf numFmtId="0" fontId="16" fillId="7" borderId="3" xfId="0" applyFont="1" applyFill="1" applyBorder="1"/>
    <xf numFmtId="0" fontId="29" fillId="16" borderId="4" xfId="0" applyFont="1" applyFill="1" applyBorder="1" applyAlignment="1">
      <alignment horizontal="center" vertical="center"/>
    </xf>
    <xf numFmtId="0" fontId="3" fillId="18" borderId="20" xfId="0" applyFont="1" applyFill="1" applyBorder="1" applyAlignment="1">
      <alignment horizontal="center" vertical="center" wrapText="1"/>
    </xf>
    <xf numFmtId="0" fontId="3" fillId="18" borderId="21" xfId="0" applyFont="1" applyFill="1" applyBorder="1" applyAlignment="1">
      <alignment horizontal="center" vertical="center" wrapText="1"/>
    </xf>
    <xf numFmtId="0" fontId="3" fillId="18" borderId="22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3" fillId="18" borderId="14" xfId="0" applyFont="1" applyFill="1" applyBorder="1" applyAlignment="1">
      <alignment horizontal="center" vertical="center" wrapText="1"/>
    </xf>
    <xf numFmtId="0" fontId="3" fillId="18" borderId="16" xfId="0" applyFont="1" applyFill="1" applyBorder="1" applyAlignment="1">
      <alignment horizontal="center" vertical="center" wrapText="1"/>
    </xf>
    <xf numFmtId="0" fontId="7" fillId="18" borderId="10" xfId="3" applyFont="1" applyFill="1" applyBorder="1" applyAlignment="1">
      <alignment horizontal="center"/>
    </xf>
    <xf numFmtId="165" fontId="49" fillId="18" borderId="7" xfId="0" applyNumberFormat="1" applyFont="1" applyFill="1" applyBorder="1" applyAlignment="1">
      <alignment horizontal="center" vertical="center"/>
    </xf>
    <xf numFmtId="165" fontId="49" fillId="18" borderId="6" xfId="0" applyNumberFormat="1" applyFont="1" applyFill="1" applyBorder="1" applyAlignment="1">
      <alignment horizontal="center" vertical="center"/>
    </xf>
    <xf numFmtId="165" fontId="49" fillId="18" borderId="24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5" fillId="0" borderId="10" xfId="0" applyFont="1" applyBorder="1" applyAlignment="1">
      <alignment wrapText="1"/>
    </xf>
    <xf numFmtId="0" fontId="55" fillId="21" borderId="10" xfId="0" applyFont="1" applyFill="1" applyBorder="1" applyAlignment="1">
      <alignment vertical="center" wrapText="1"/>
    </xf>
    <xf numFmtId="0" fontId="55" fillId="21" borderId="10" xfId="0" applyFont="1" applyFill="1" applyBorder="1" applyAlignment="1">
      <alignment horizontal="center" vertical="center" wrapText="1"/>
    </xf>
    <xf numFmtId="0" fontId="56" fillId="0" borderId="10" xfId="0" applyFont="1" applyBorder="1" applyAlignment="1">
      <alignment wrapText="1"/>
    </xf>
    <xf numFmtId="0" fontId="56" fillId="0" borderId="10" xfId="0" applyFont="1" applyBorder="1" applyAlignment="1">
      <alignment horizontal="center" wrapText="1"/>
    </xf>
    <xf numFmtId="0" fontId="57" fillId="0" borderId="10" xfId="0" applyFont="1" applyBorder="1" applyAlignment="1">
      <alignment horizontal="center" vertical="center" wrapText="1"/>
    </xf>
  </cellXfs>
  <cellStyles count="72">
    <cellStyle name="Currency 2" xfId="5" xr:uid="{00000000-0005-0000-0000-000000000000}"/>
    <cellStyle name="Currency 2 2" xfId="17" xr:uid="{00000000-0005-0000-0000-000001000000}"/>
    <cellStyle name="Currency 2 3" xfId="20" xr:uid="{00000000-0005-0000-0000-000002000000}"/>
    <cellStyle name="Currency 2 4" xfId="22" xr:uid="{00000000-0005-0000-0000-000003000000}"/>
    <cellStyle name="Currency 3" xfId="7" xr:uid="{00000000-0005-0000-0000-000004000000}"/>
    <cellStyle name="Currency 4" xfId="8" xr:uid="{00000000-0005-0000-0000-000005000000}"/>
    <cellStyle name="Currency 5" xfId="19" xr:uid="{00000000-0005-0000-0000-000006000000}"/>
    <cellStyle name="Currency 6" xfId="21" xr:uid="{00000000-0005-0000-0000-000007000000}"/>
    <cellStyle name="Normal" xfId="0" builtinId="0"/>
    <cellStyle name="Normal 10" xfId="3" xr:uid="{00000000-0005-0000-0000-000009000000}"/>
    <cellStyle name="Normal 11" xfId="41" xr:uid="{04FDC84B-298F-4863-8404-02EDAEF1ADAA}"/>
    <cellStyle name="Normal 11 2" xfId="67" xr:uid="{CCACA431-3E6B-4B7E-B22E-E066A81A0310}"/>
    <cellStyle name="Normal 12" xfId="46" xr:uid="{CCE7C7F0-1DF9-4494-9FAF-ABDDD55049B1}"/>
    <cellStyle name="Normal 12 2" xfId="26" xr:uid="{622EE6BC-F769-4552-904B-9075F17F1822}"/>
    <cellStyle name="Normal 12 2 2" xfId="68" xr:uid="{0FBC3899-3F6B-4373-90F5-9F75DF3FB6CE}"/>
    <cellStyle name="Normal 13" xfId="50" xr:uid="{78BB52FC-D340-4FCA-900B-968EE846E65C}"/>
    <cellStyle name="Normal 14" xfId="32" xr:uid="{60F3CFA6-7ECB-4FB0-8CBB-FD213FBD3CF0}"/>
    <cellStyle name="Normal 15" xfId="54" xr:uid="{3B9EF0B3-9BC2-426B-B23B-B69B391EA68B}"/>
    <cellStyle name="Normal 16" xfId="55" xr:uid="{D9FEA8CF-3BC9-404C-B358-937B8CE60F83}"/>
    <cellStyle name="Normal 17" xfId="25" xr:uid="{4BD59276-0E08-4C99-8647-15FB9EA7A9D4}"/>
    <cellStyle name="Normal 17 2" xfId="57" xr:uid="{9BA76907-0C21-4468-B29E-016EBC9821F0}"/>
    <cellStyle name="Normal 18" xfId="61" xr:uid="{8D55B9C4-3920-4ABC-A706-B0AC99884DEB}"/>
    <cellStyle name="Normal 19" xfId="64" xr:uid="{DEDFF34D-C8C8-485E-B7F0-CC11540C98C0}"/>
    <cellStyle name="Normal 2" xfId="10" xr:uid="{00000000-0005-0000-0000-00000A000000}"/>
    <cellStyle name="Normal 2 2" xfId="27" xr:uid="{BDFC2C7B-D16F-4018-8D75-921E5B46404B}"/>
    <cellStyle name="Normal 2 3" xfId="45" xr:uid="{7BE09AC3-C3AC-45BF-A99F-B1658985683D}"/>
    <cellStyle name="Normal 2 4" xfId="28" xr:uid="{4E0C4E97-B249-4DF8-9B96-2706EB8E5E37}"/>
    <cellStyle name="Normal 2 4 2" xfId="33" xr:uid="{1DF932B3-74BE-4CAA-9B31-102043E0CDD0}"/>
    <cellStyle name="Normal 2 5" xfId="30" xr:uid="{993A2B99-AAFE-439C-961C-6D3F26010485}"/>
    <cellStyle name="Normal 2 6" xfId="70" xr:uid="{4F03418C-618D-46A2-BD0F-0464E4D97C86}"/>
    <cellStyle name="Normal 20" xfId="63" xr:uid="{ACE8E8E4-F5DB-4492-BFF2-60600190474F}"/>
    <cellStyle name="Normal 21" xfId="23" xr:uid="{645116E5-C49E-4270-83B3-816FF2540839}"/>
    <cellStyle name="Normal 21 2" xfId="69" xr:uid="{2274815B-DBB0-4ACB-8E7B-9D9A02487AE3}"/>
    <cellStyle name="Normal 22" xfId="29" xr:uid="{6B08BC4A-B951-43B4-9CBB-957549E94890}"/>
    <cellStyle name="Normal 23" xfId="24" xr:uid="{359BEA49-943A-4EEF-BB2E-82BC0242FE34}"/>
    <cellStyle name="Normal 24" xfId="71" xr:uid="{F9D98611-CA66-48F0-AD6C-57B54B8060FB}"/>
    <cellStyle name="Normal 3" xfId="4" xr:uid="{00000000-0005-0000-0000-00000B000000}"/>
    <cellStyle name="Normal 3 10" xfId="47" xr:uid="{39B5643F-131B-4824-B919-152A601CEBB0}"/>
    <cellStyle name="Normal 3 10 7" xfId="66" xr:uid="{37FDA1D1-475E-4B42-AFC5-E33085947021}"/>
    <cellStyle name="Normal 3 11" xfId="51" xr:uid="{9D239E19-EBD0-4578-96E0-79F354A0A1E4}"/>
    <cellStyle name="Normal 3 2" xfId="11" xr:uid="{00000000-0005-0000-0000-00000C000000}"/>
    <cellStyle name="Normal 3 3" xfId="13" xr:uid="{00000000-0005-0000-0000-00000D000000}"/>
    <cellStyle name="Normal 3 4" xfId="15" xr:uid="{00000000-0005-0000-0000-00000E000000}"/>
    <cellStyle name="Normal 3 4 2" xfId="40" xr:uid="{51949764-F905-4D07-BC8E-C3B025FF0A29}"/>
    <cellStyle name="Normal 3 4 3" xfId="43" xr:uid="{82365452-B9F1-439B-B55F-B5CA739EAD9E}"/>
    <cellStyle name="Normal 3 4 4" xfId="48" xr:uid="{8360A55E-1B7E-4AC3-B4BD-8DFF4D1E3656}"/>
    <cellStyle name="Normal 3 4 5" xfId="52" xr:uid="{02C9EE71-467F-4782-A165-3D2FB9001394}"/>
    <cellStyle name="Normal 3 5" xfId="35" xr:uid="{A0B7A5FC-6F31-438C-8A1C-F4F89072AA9E}"/>
    <cellStyle name="Normal 3 6" xfId="6" xr:uid="{00000000-0005-0000-0000-00000F000000}"/>
    <cellStyle name="Normal 3 6 7" xfId="65" xr:uid="{727BDCC0-DF09-430C-B036-66281E1A20B4}"/>
    <cellStyle name="Normal 3 7" xfId="16" xr:uid="{00000000-0005-0000-0000-000010000000}"/>
    <cellStyle name="Normal 3 8" xfId="39" xr:uid="{E6D0249F-5991-4DAE-BA35-8C0B74AB92A8}"/>
    <cellStyle name="Normal 3 9" xfId="42" xr:uid="{2008FB8D-3E97-48C1-841E-6BB84B8A69EB}"/>
    <cellStyle name="Normal 4" xfId="12" xr:uid="{00000000-0005-0000-0000-000011000000}"/>
    <cellStyle name="Normal 5" xfId="14" xr:uid="{00000000-0005-0000-0000-000012000000}"/>
    <cellStyle name="Normal 5 2" xfId="44" xr:uid="{2F0F43C5-B8CF-4AE5-A07B-425A0A823E49}"/>
    <cellStyle name="Normal 5 3" xfId="49" xr:uid="{6D180B56-D05D-4D4B-A98D-CC3295A0AEE9}"/>
    <cellStyle name="Normal 5 4" xfId="53" xr:uid="{119FD446-4C50-4E3F-BB97-C049DD1E7FF7}"/>
    <cellStyle name="Normal 6" xfId="9" xr:uid="{00000000-0005-0000-0000-000013000000}"/>
    <cellStyle name="Normal 6 2" xfId="34" xr:uid="{C713D046-DCE8-4994-959E-78A57EF48F62}"/>
    <cellStyle name="Normal 7" xfId="18" xr:uid="{00000000-0005-0000-0000-000014000000}"/>
    <cellStyle name="Normal 7 2" xfId="56" xr:uid="{E49FC165-338A-4850-86F3-3C0D40D73194}"/>
    <cellStyle name="Normal 7 3" xfId="58" xr:uid="{AB8C8E4B-C14A-4D5C-ABFB-0EE952AC16C6}"/>
    <cellStyle name="Normal 7 4" xfId="36" xr:uid="{6F7C8D89-8FC2-43FF-B2E9-6188BAF70C72}"/>
    <cellStyle name="Normal 8" xfId="37" xr:uid="{49F3A314-3415-4EE9-BF29-499CA773528C}"/>
    <cellStyle name="Normal 9" xfId="38" xr:uid="{826AAAB0-33CB-4053-8787-8618FABF69CD}"/>
    <cellStyle name="Normal_CSW9912A" xfId="1" xr:uid="{00000000-0005-0000-0000-000015000000}"/>
    <cellStyle name="Standard 2 2" xfId="2" xr:uid="{00000000-0005-0000-0000-000016000000}"/>
    <cellStyle name="千位分隔 2" xfId="62" xr:uid="{95B0CA18-6162-4ECA-A6FB-A54C53F81661}"/>
    <cellStyle name="常规 2" xfId="59" xr:uid="{DC6A1EE4-6798-4F0E-BF28-4148C1E5D999}"/>
    <cellStyle name="常规 3" xfId="60" xr:uid="{64F13E4D-BF58-4FFB-BF83-9D3141AEFA77}"/>
    <cellStyle name="常规 4" xfId="31" xr:uid="{A01FB817-6C4C-4E58-9AC0-5D8E2D4FD802}"/>
  </cellStyles>
  <dxfs count="0"/>
  <tableStyles count="0" defaultTableStyle="TableStyleMedium2" defaultPivotStyle="PivotStyleLight16"/>
  <colors>
    <mruColors>
      <color rgb="FFCC00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122</xdr:row>
      <xdr:rowOff>39143</xdr:rowOff>
    </xdr:from>
    <xdr:to>
      <xdr:col>3</xdr:col>
      <xdr:colOff>791714</xdr:colOff>
      <xdr:row>142</xdr:row>
      <xdr:rowOff>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EDCD0-764F-DDC4-E031-D6F4D524E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65410"/>
          <a:ext cx="5847619" cy="387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loria.yip/Downloads/LAEC%20Pricing%20Guideline%20-%20CN%20(20250701-20250707)%20(Tier%201)%20_%20IN%20(20250701-20250707).xlsx" TargetMode="External"/><Relationship Id="rId2" Type="http://schemas.openxmlformats.org/officeDocument/2006/relationships/externalLinkPath" Target="file:///C:\Users\gloria.yip\Downloads\LAEC%20Pricing%20Guideline%20-%20CN%20(20250701-20250707)%20(Tier%201)%20_%20IN%20(20250701-20250707).xlsx" TargetMode="External"/><Relationship Id="rId1" Type="http://schemas.openxmlformats.org/officeDocument/2006/relationships/externalLinkPath" Target="/Users/gloria.yip/Downloads/LAEC%20Pricing%20Guideline%20-%20CN%20(20250701-20250707)%20(Tier%201)%20_%20IN%20(20250701-20250707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RY"/>
      <sheetName val="R5 NOR"/>
      <sheetName val="Ingauge FAK"/>
      <sheetName val="Yangtze ARB Add-on"/>
      <sheetName val="ECSA Add-On"/>
      <sheetName val="IMO charg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0C80-D18F-4298-99F4-C538BC99BEA2}">
  <dimension ref="A1:K126"/>
  <sheetViews>
    <sheetView tabSelected="1" zoomScale="73" zoomScaleNormal="73" workbookViewId="0">
      <selection activeCell="P10" sqref="P10"/>
    </sheetView>
  </sheetViews>
  <sheetFormatPr defaultRowHeight="14.5"/>
  <cols>
    <col min="1" max="1" width="34.26953125" customWidth="1"/>
    <col min="2" max="2" width="27.453125" customWidth="1"/>
    <col min="3" max="8" width="14.1796875" customWidth="1"/>
  </cols>
  <sheetData>
    <row r="1" spans="1:8" ht="18.5">
      <c r="A1" s="1" t="s">
        <v>0</v>
      </c>
      <c r="B1" s="2"/>
      <c r="C1" s="3"/>
      <c r="D1" s="3"/>
      <c r="E1" s="3"/>
    </row>
    <row r="2" spans="1:8">
      <c r="A2" s="4"/>
      <c r="B2" s="2"/>
      <c r="C2" s="3"/>
      <c r="D2" s="3"/>
      <c r="E2" s="3"/>
    </row>
    <row r="3" spans="1:8">
      <c r="A3" s="5"/>
      <c r="B3" s="6"/>
      <c r="C3" s="7" t="s">
        <v>1</v>
      </c>
      <c r="D3" s="7" t="s">
        <v>2</v>
      </c>
      <c r="E3" s="8"/>
    </row>
    <row r="4" spans="1:8" ht="46.9" customHeight="1">
      <c r="A4" s="136" t="s">
        <v>3</v>
      </c>
      <c r="B4" s="136"/>
      <c r="C4" s="33">
        <v>46249</v>
      </c>
      <c r="D4" s="34">
        <v>46255</v>
      </c>
      <c r="E4" s="8"/>
    </row>
    <row r="5" spans="1:8">
      <c r="C5" s="11"/>
      <c r="D5" s="11"/>
      <c r="E5" s="6"/>
      <c r="F5" s="6"/>
      <c r="G5" s="6"/>
      <c r="H5" s="6"/>
    </row>
    <row r="6" spans="1:8" ht="21.65" customHeight="1">
      <c r="C6" s="137" t="s">
        <v>4</v>
      </c>
      <c r="D6" s="138"/>
      <c r="E6" s="138"/>
      <c r="F6" s="138"/>
      <c r="G6" s="138"/>
      <c r="H6" s="138"/>
    </row>
    <row r="7" spans="1:8" ht="40.15" customHeight="1">
      <c r="A7" s="37"/>
      <c r="B7" s="37"/>
      <c r="C7" s="143" t="s">
        <v>179</v>
      </c>
      <c r="D7" s="141"/>
      <c r="E7" s="142"/>
      <c r="F7" s="140" t="s">
        <v>180</v>
      </c>
      <c r="G7" s="141"/>
      <c r="H7" s="142"/>
    </row>
    <row r="8" spans="1:8" ht="37.15" customHeight="1">
      <c r="A8" s="38"/>
      <c r="B8" s="39"/>
      <c r="C8" s="140" t="s">
        <v>181</v>
      </c>
      <c r="D8" s="141"/>
      <c r="E8" s="142"/>
      <c r="F8" s="140" t="s">
        <v>182</v>
      </c>
      <c r="G8" s="141"/>
      <c r="H8" s="142"/>
    </row>
    <row r="9" spans="1:8" ht="29.5" customHeight="1">
      <c r="A9" s="40" t="s">
        <v>5</v>
      </c>
      <c r="B9" s="41" t="s">
        <v>6</v>
      </c>
      <c r="C9" s="42" t="s">
        <v>7</v>
      </c>
      <c r="D9" s="42" t="s">
        <v>8</v>
      </c>
      <c r="E9" s="42" t="s">
        <v>9</v>
      </c>
      <c r="F9" s="42" t="s">
        <v>7</v>
      </c>
      <c r="G9" s="42" t="s">
        <v>8</v>
      </c>
      <c r="H9" s="42" t="s">
        <v>9</v>
      </c>
    </row>
    <row r="10" spans="1:8" ht="23.25" customHeight="1">
      <c r="A10" s="43" t="s">
        <v>109</v>
      </c>
      <c r="B10" s="44" t="s">
        <v>110</v>
      </c>
      <c r="C10" s="92">
        <v>8900</v>
      </c>
      <c r="D10" s="92">
        <v>8900</v>
      </c>
      <c r="E10" s="92">
        <v>8900</v>
      </c>
      <c r="F10" s="92">
        <v>8900</v>
      </c>
      <c r="G10" s="92">
        <v>8900</v>
      </c>
      <c r="H10" s="92">
        <v>8900</v>
      </c>
    </row>
    <row r="11" spans="1:8" ht="23.25" customHeight="1">
      <c r="A11" s="43" t="s">
        <v>253</v>
      </c>
      <c r="B11" s="89" t="s">
        <v>194</v>
      </c>
      <c r="C11" s="92">
        <v>8900</v>
      </c>
      <c r="D11" s="92">
        <v>8900</v>
      </c>
      <c r="E11" s="92">
        <v>8900</v>
      </c>
      <c r="F11" s="92">
        <v>8900</v>
      </c>
      <c r="G11" s="92">
        <v>8900</v>
      </c>
      <c r="H11" s="92">
        <v>8900</v>
      </c>
    </row>
    <row r="12" spans="1:8">
      <c r="A12" s="45" t="s">
        <v>10</v>
      </c>
      <c r="B12" s="46" t="s">
        <v>11</v>
      </c>
      <c r="C12" s="90">
        <v>8900</v>
      </c>
      <c r="D12" s="90">
        <v>8900</v>
      </c>
      <c r="E12" s="90">
        <v>8900</v>
      </c>
      <c r="F12" s="90">
        <v>8900</v>
      </c>
      <c r="G12" s="90">
        <v>8900</v>
      </c>
      <c r="H12" s="90">
        <v>8900</v>
      </c>
    </row>
    <row r="13" spans="1:8">
      <c r="A13" s="46" t="s">
        <v>12</v>
      </c>
      <c r="B13" s="46" t="s">
        <v>13</v>
      </c>
      <c r="C13" s="90">
        <v>8950</v>
      </c>
      <c r="D13" s="90">
        <v>8900</v>
      </c>
      <c r="E13" s="90">
        <v>8900</v>
      </c>
      <c r="F13" s="90">
        <v>8950</v>
      </c>
      <c r="G13" s="90">
        <v>8900</v>
      </c>
      <c r="H13" s="90">
        <v>8900</v>
      </c>
    </row>
    <row r="14" spans="1:8">
      <c r="A14" s="46" t="s">
        <v>14</v>
      </c>
      <c r="B14" s="46" t="s">
        <v>15</v>
      </c>
      <c r="C14" s="90">
        <v>8950</v>
      </c>
      <c r="D14" s="90">
        <v>8900</v>
      </c>
      <c r="E14" s="90">
        <v>8900</v>
      </c>
      <c r="F14" s="90">
        <v>8950</v>
      </c>
      <c r="G14" s="90">
        <v>8900</v>
      </c>
      <c r="H14" s="90">
        <v>8900</v>
      </c>
    </row>
    <row r="15" spans="1:8">
      <c r="A15" s="45" t="s">
        <v>75</v>
      </c>
      <c r="B15" s="46" t="s">
        <v>147</v>
      </c>
      <c r="C15" s="90">
        <v>9000</v>
      </c>
      <c r="D15" s="90">
        <v>9100</v>
      </c>
      <c r="E15" s="90">
        <v>9100</v>
      </c>
      <c r="F15" s="90">
        <v>9000</v>
      </c>
      <c r="G15" s="90">
        <v>9100</v>
      </c>
      <c r="H15" s="90">
        <v>9100</v>
      </c>
    </row>
    <row r="16" spans="1:8">
      <c r="A16" s="45" t="s">
        <v>76</v>
      </c>
      <c r="B16" s="46" t="s">
        <v>148</v>
      </c>
      <c r="C16" s="90">
        <v>9000</v>
      </c>
      <c r="D16" s="90">
        <v>9100</v>
      </c>
      <c r="E16" s="90">
        <v>9100</v>
      </c>
      <c r="F16" s="90">
        <v>9000</v>
      </c>
      <c r="G16" s="90">
        <v>9100</v>
      </c>
      <c r="H16" s="90">
        <v>9100</v>
      </c>
    </row>
    <row r="17" spans="1:8">
      <c r="A17" s="45" t="s">
        <v>22</v>
      </c>
      <c r="B17" s="46" t="s">
        <v>23</v>
      </c>
      <c r="C17" s="90">
        <v>8950</v>
      </c>
      <c r="D17" s="90">
        <v>9000</v>
      </c>
      <c r="E17" s="90">
        <v>9000</v>
      </c>
      <c r="F17" s="90">
        <v>8950</v>
      </c>
      <c r="G17" s="90">
        <v>9000</v>
      </c>
      <c r="H17" s="90">
        <v>9000</v>
      </c>
    </row>
    <row r="18" spans="1:8">
      <c r="A18" s="47" t="s">
        <v>111</v>
      </c>
      <c r="B18" s="48" t="s">
        <v>112</v>
      </c>
      <c r="C18" s="91">
        <v>8975</v>
      </c>
      <c r="D18" s="91">
        <v>9050</v>
      </c>
      <c r="E18" s="91">
        <v>9050</v>
      </c>
      <c r="F18" s="91">
        <v>8975</v>
      </c>
      <c r="G18" s="91">
        <v>9050</v>
      </c>
      <c r="H18" s="91">
        <v>9050</v>
      </c>
    </row>
    <row r="19" spans="1:8">
      <c r="A19" s="45" t="s">
        <v>24</v>
      </c>
      <c r="B19" s="46" t="s">
        <v>25</v>
      </c>
      <c r="C19" s="90">
        <v>9000</v>
      </c>
      <c r="D19" s="90">
        <v>9150</v>
      </c>
      <c r="E19" s="90">
        <v>9150</v>
      </c>
      <c r="F19" s="90">
        <v>9000</v>
      </c>
      <c r="G19" s="90">
        <v>9150</v>
      </c>
      <c r="H19" s="90">
        <v>9150</v>
      </c>
    </row>
    <row r="20" spans="1:8">
      <c r="A20" s="45" t="s">
        <v>77</v>
      </c>
      <c r="B20" s="46" t="s">
        <v>149</v>
      </c>
      <c r="C20" s="90">
        <v>8950</v>
      </c>
      <c r="D20" s="90">
        <v>9000</v>
      </c>
      <c r="E20" s="90">
        <v>9000</v>
      </c>
      <c r="F20" s="90">
        <v>8950</v>
      </c>
      <c r="G20" s="90">
        <v>9000</v>
      </c>
      <c r="H20" s="90">
        <v>9000</v>
      </c>
    </row>
    <row r="21" spans="1:8">
      <c r="A21" s="45" t="s">
        <v>78</v>
      </c>
      <c r="B21" s="46" t="s">
        <v>150</v>
      </c>
      <c r="C21" s="90">
        <v>8950</v>
      </c>
      <c r="D21" s="90">
        <v>9000</v>
      </c>
      <c r="E21" s="90">
        <v>9000</v>
      </c>
      <c r="F21" s="90">
        <v>8950</v>
      </c>
      <c r="G21" s="90">
        <v>9000</v>
      </c>
      <c r="H21" s="90">
        <v>9000</v>
      </c>
    </row>
    <row r="22" spans="1:8">
      <c r="A22" s="45" t="s">
        <v>79</v>
      </c>
      <c r="B22" s="46" t="s">
        <v>107</v>
      </c>
      <c r="C22" s="90">
        <v>8950</v>
      </c>
      <c r="D22" s="90">
        <v>9000</v>
      </c>
      <c r="E22" s="90">
        <v>9000</v>
      </c>
      <c r="F22" s="90">
        <v>8950</v>
      </c>
      <c r="G22" s="90">
        <v>9000</v>
      </c>
      <c r="H22" s="90">
        <v>9000</v>
      </c>
    </row>
    <row r="23" spans="1:8">
      <c r="A23" s="45" t="s">
        <v>80</v>
      </c>
      <c r="B23" s="46" t="s">
        <v>151</v>
      </c>
      <c r="C23" s="90">
        <v>8950</v>
      </c>
      <c r="D23" s="90">
        <v>9000</v>
      </c>
      <c r="E23" s="90">
        <v>9000</v>
      </c>
      <c r="F23" s="90">
        <v>8950</v>
      </c>
      <c r="G23" s="90">
        <v>9000</v>
      </c>
      <c r="H23" s="90">
        <v>9000</v>
      </c>
    </row>
    <row r="24" spans="1:8">
      <c r="A24" s="45" t="s">
        <v>26</v>
      </c>
      <c r="B24" s="46" t="s">
        <v>27</v>
      </c>
      <c r="C24" s="90">
        <v>8950</v>
      </c>
      <c r="D24" s="90">
        <v>9000</v>
      </c>
      <c r="E24" s="90">
        <v>9000</v>
      </c>
      <c r="F24" s="90">
        <v>8950</v>
      </c>
      <c r="G24" s="90">
        <v>9000</v>
      </c>
      <c r="H24" s="90">
        <v>9000</v>
      </c>
    </row>
    <row r="25" spans="1:8">
      <c r="A25" s="45" t="s">
        <v>81</v>
      </c>
      <c r="B25" s="46" t="s">
        <v>152</v>
      </c>
      <c r="C25" s="90">
        <v>9100</v>
      </c>
      <c r="D25" s="90">
        <v>9300</v>
      </c>
      <c r="E25" s="90">
        <v>9300</v>
      </c>
      <c r="F25" s="90">
        <v>9100</v>
      </c>
      <c r="G25" s="90">
        <v>9300</v>
      </c>
      <c r="H25" s="90">
        <v>9300</v>
      </c>
    </row>
    <row r="26" spans="1:8">
      <c r="A26" s="45" t="s">
        <v>82</v>
      </c>
      <c r="B26" s="46" t="s">
        <v>153</v>
      </c>
      <c r="C26" s="90">
        <v>9100</v>
      </c>
      <c r="D26" s="90">
        <v>9300</v>
      </c>
      <c r="E26" s="90">
        <v>9300</v>
      </c>
      <c r="F26" s="90">
        <v>9100</v>
      </c>
      <c r="G26" s="90">
        <v>9300</v>
      </c>
      <c r="H26" s="90">
        <v>9300</v>
      </c>
    </row>
    <row r="27" spans="1:8">
      <c r="A27" s="45" t="s">
        <v>28</v>
      </c>
      <c r="B27" s="46" t="s">
        <v>29</v>
      </c>
      <c r="C27" s="90">
        <v>8950</v>
      </c>
      <c r="D27" s="90">
        <v>9000</v>
      </c>
      <c r="E27" s="90">
        <v>9000</v>
      </c>
      <c r="F27" s="90">
        <v>8950</v>
      </c>
      <c r="G27" s="90">
        <v>9000</v>
      </c>
      <c r="H27" s="90">
        <v>9000</v>
      </c>
    </row>
    <row r="28" spans="1:8">
      <c r="A28" s="45" t="s">
        <v>30</v>
      </c>
      <c r="B28" s="46" t="s">
        <v>31</v>
      </c>
      <c r="C28" s="90">
        <v>8950</v>
      </c>
      <c r="D28" s="90">
        <v>9000</v>
      </c>
      <c r="E28" s="90">
        <v>9000</v>
      </c>
      <c r="F28" s="90">
        <v>8950</v>
      </c>
      <c r="G28" s="90">
        <v>9000</v>
      </c>
      <c r="H28" s="90">
        <v>9000</v>
      </c>
    </row>
    <row r="29" spans="1:8">
      <c r="A29" s="45" t="s">
        <v>83</v>
      </c>
      <c r="B29" s="46" t="s">
        <v>154</v>
      </c>
      <c r="C29" s="90">
        <v>9000</v>
      </c>
      <c r="D29" s="90">
        <v>9100</v>
      </c>
      <c r="E29" s="90">
        <v>9100</v>
      </c>
      <c r="F29" s="90">
        <v>9000</v>
      </c>
      <c r="G29" s="90">
        <v>9100</v>
      </c>
      <c r="H29" s="90">
        <v>9100</v>
      </c>
    </row>
    <row r="30" spans="1:8">
      <c r="A30" s="45" t="s">
        <v>84</v>
      </c>
      <c r="B30" s="46" t="s">
        <v>155</v>
      </c>
      <c r="C30" s="90">
        <v>9000</v>
      </c>
      <c r="D30" s="90">
        <v>9100</v>
      </c>
      <c r="E30" s="90">
        <v>9100</v>
      </c>
      <c r="F30" s="90">
        <v>9000</v>
      </c>
      <c r="G30" s="90">
        <v>9100</v>
      </c>
      <c r="H30" s="90">
        <v>9100</v>
      </c>
    </row>
    <row r="31" spans="1:8">
      <c r="A31" s="45" t="s">
        <v>32</v>
      </c>
      <c r="B31" s="46" t="s">
        <v>33</v>
      </c>
      <c r="C31" s="90">
        <v>8950</v>
      </c>
      <c r="D31" s="90">
        <v>9000</v>
      </c>
      <c r="E31" s="90">
        <v>9000</v>
      </c>
      <c r="F31" s="90">
        <v>8950</v>
      </c>
      <c r="G31" s="90">
        <v>9000</v>
      </c>
      <c r="H31" s="90">
        <v>9000</v>
      </c>
    </row>
    <row r="32" spans="1:8">
      <c r="A32" s="45" t="s">
        <v>34</v>
      </c>
      <c r="B32" s="46" t="s">
        <v>35</v>
      </c>
      <c r="C32" s="90">
        <v>9000</v>
      </c>
      <c r="D32" s="90">
        <v>9100</v>
      </c>
      <c r="E32" s="90">
        <v>9100</v>
      </c>
      <c r="F32" s="90">
        <v>9000</v>
      </c>
      <c r="G32" s="90">
        <v>9100</v>
      </c>
      <c r="H32" s="90">
        <v>9100</v>
      </c>
    </row>
    <row r="33" spans="1:8">
      <c r="A33" s="45" t="s">
        <v>36</v>
      </c>
      <c r="B33" s="46" t="s">
        <v>37</v>
      </c>
      <c r="C33" s="90">
        <v>9000</v>
      </c>
      <c r="D33" s="90">
        <v>9100</v>
      </c>
      <c r="E33" s="90">
        <v>9100</v>
      </c>
      <c r="F33" s="90">
        <v>9000</v>
      </c>
      <c r="G33" s="90">
        <v>9100</v>
      </c>
      <c r="H33" s="90">
        <v>9100</v>
      </c>
    </row>
    <row r="34" spans="1:8">
      <c r="A34" s="45" t="s">
        <v>38</v>
      </c>
      <c r="B34" s="46" t="s">
        <v>39</v>
      </c>
      <c r="C34" s="90">
        <v>9000</v>
      </c>
      <c r="D34" s="90">
        <v>9100</v>
      </c>
      <c r="E34" s="90">
        <v>9100</v>
      </c>
      <c r="F34" s="90">
        <v>9000</v>
      </c>
      <c r="G34" s="90">
        <v>9100</v>
      </c>
      <c r="H34" s="90">
        <v>9100</v>
      </c>
    </row>
    <row r="35" spans="1:8">
      <c r="A35" s="45" t="s">
        <v>40</v>
      </c>
      <c r="B35" s="46" t="s">
        <v>41</v>
      </c>
      <c r="C35" s="90">
        <v>9100</v>
      </c>
      <c r="D35" s="90">
        <v>9200</v>
      </c>
      <c r="E35" s="90">
        <v>9200</v>
      </c>
      <c r="F35" s="90">
        <v>9100</v>
      </c>
      <c r="G35" s="90">
        <v>9200</v>
      </c>
      <c r="H35" s="90">
        <v>9200</v>
      </c>
    </row>
    <row r="36" spans="1:8">
      <c r="A36" s="45" t="s">
        <v>42</v>
      </c>
      <c r="B36" s="46" t="s">
        <v>43</v>
      </c>
      <c r="C36" s="90">
        <v>9180</v>
      </c>
      <c r="D36" s="90">
        <v>9460</v>
      </c>
      <c r="E36" s="90">
        <v>9460</v>
      </c>
      <c r="F36" s="90">
        <v>9180</v>
      </c>
      <c r="G36" s="90">
        <v>9460</v>
      </c>
      <c r="H36" s="90">
        <v>9460</v>
      </c>
    </row>
    <row r="37" spans="1:8">
      <c r="A37" s="45" t="s">
        <v>251</v>
      </c>
      <c r="B37" s="46" t="s">
        <v>252</v>
      </c>
      <c r="C37" s="90">
        <v>9000</v>
      </c>
      <c r="D37" s="90">
        <v>9100</v>
      </c>
      <c r="E37" s="90">
        <v>9100</v>
      </c>
      <c r="F37" s="90">
        <v>9000</v>
      </c>
      <c r="G37" s="90">
        <v>9100</v>
      </c>
      <c r="H37" s="90">
        <v>9100</v>
      </c>
    </row>
    <row r="38" spans="1:8">
      <c r="A38" s="45" t="s">
        <v>44</v>
      </c>
      <c r="B38" s="46" t="s">
        <v>45</v>
      </c>
      <c r="C38" s="90">
        <v>8950</v>
      </c>
      <c r="D38" s="90">
        <v>9000</v>
      </c>
      <c r="E38" s="90">
        <v>9000</v>
      </c>
      <c r="F38" s="90">
        <v>8950</v>
      </c>
      <c r="G38" s="90">
        <v>9000</v>
      </c>
      <c r="H38" s="90">
        <v>9000</v>
      </c>
    </row>
    <row r="39" spans="1:8">
      <c r="A39" s="45" t="s">
        <v>46</v>
      </c>
      <c r="B39" s="46" t="s">
        <v>47</v>
      </c>
      <c r="C39" s="90">
        <v>8950</v>
      </c>
      <c r="D39" s="90">
        <v>9000</v>
      </c>
      <c r="E39" s="90">
        <v>9000</v>
      </c>
      <c r="F39" s="90">
        <v>8950</v>
      </c>
      <c r="G39" s="90">
        <v>9000</v>
      </c>
      <c r="H39" s="90">
        <v>9000</v>
      </c>
    </row>
    <row r="40" spans="1:8">
      <c r="A40" s="45" t="s">
        <v>48</v>
      </c>
      <c r="B40" s="46" t="s">
        <v>49</v>
      </c>
      <c r="C40" s="90">
        <v>9000</v>
      </c>
      <c r="D40" s="90">
        <v>9100</v>
      </c>
      <c r="E40" s="90">
        <v>9100</v>
      </c>
      <c r="F40" s="90">
        <v>9000</v>
      </c>
      <c r="G40" s="90">
        <v>9100</v>
      </c>
      <c r="H40" s="90">
        <v>9100</v>
      </c>
    </row>
    <row r="41" spans="1:8">
      <c r="A41" s="45" t="s">
        <v>50</v>
      </c>
      <c r="B41" s="46" t="s">
        <v>51</v>
      </c>
      <c r="C41" s="90">
        <v>9050</v>
      </c>
      <c r="D41" s="90">
        <v>9200</v>
      </c>
      <c r="E41" s="90">
        <v>9200</v>
      </c>
      <c r="F41" s="90">
        <v>9050</v>
      </c>
      <c r="G41" s="90">
        <v>9200</v>
      </c>
      <c r="H41" s="90">
        <v>9200</v>
      </c>
    </row>
    <row r="42" spans="1:8">
      <c r="A42" s="45" t="s">
        <v>52</v>
      </c>
      <c r="B42" s="46" t="s">
        <v>53</v>
      </c>
      <c r="C42" s="90">
        <v>9000</v>
      </c>
      <c r="D42" s="90">
        <v>9100</v>
      </c>
      <c r="E42" s="90">
        <v>9100</v>
      </c>
      <c r="F42" s="90">
        <v>9000</v>
      </c>
      <c r="G42" s="90">
        <v>9100</v>
      </c>
      <c r="H42" s="90">
        <v>9100</v>
      </c>
    </row>
    <row r="43" spans="1:8">
      <c r="A43" s="49" t="s">
        <v>85</v>
      </c>
      <c r="B43" s="46" t="s">
        <v>156</v>
      </c>
      <c r="C43" s="90">
        <v>9050</v>
      </c>
      <c r="D43" s="90">
        <v>9200</v>
      </c>
      <c r="E43" s="90">
        <v>9200</v>
      </c>
      <c r="F43" s="90">
        <v>9050</v>
      </c>
      <c r="G43" s="90">
        <v>9200</v>
      </c>
      <c r="H43" s="90">
        <v>9200</v>
      </c>
    </row>
    <row r="44" spans="1:8">
      <c r="A44" s="49" t="s">
        <v>86</v>
      </c>
      <c r="B44" s="46" t="s">
        <v>157</v>
      </c>
      <c r="C44" s="90">
        <v>9050</v>
      </c>
      <c r="D44" s="90">
        <v>9200</v>
      </c>
      <c r="E44" s="90">
        <v>9200</v>
      </c>
      <c r="F44" s="90">
        <v>9050</v>
      </c>
      <c r="G44" s="90">
        <v>9200</v>
      </c>
      <c r="H44" s="90">
        <v>9200</v>
      </c>
    </row>
    <row r="45" spans="1:8">
      <c r="A45" s="45" t="s">
        <v>54</v>
      </c>
      <c r="B45" s="46" t="s">
        <v>55</v>
      </c>
      <c r="C45" s="90">
        <v>9200</v>
      </c>
      <c r="D45" s="90">
        <v>9500</v>
      </c>
      <c r="E45" s="90">
        <v>9500</v>
      </c>
      <c r="F45" s="90">
        <v>9200</v>
      </c>
      <c r="G45" s="90">
        <v>9500</v>
      </c>
      <c r="H45" s="90">
        <v>9500</v>
      </c>
    </row>
    <row r="46" spans="1:8">
      <c r="A46" s="45" t="s">
        <v>56</v>
      </c>
      <c r="B46" s="46" t="s">
        <v>57</v>
      </c>
      <c r="C46" s="90">
        <v>9000</v>
      </c>
      <c r="D46" s="90">
        <v>9100</v>
      </c>
      <c r="E46" s="90">
        <v>9100</v>
      </c>
      <c r="F46" s="90">
        <v>9000</v>
      </c>
      <c r="G46" s="90">
        <v>9100</v>
      </c>
      <c r="H46" s="90">
        <v>9100</v>
      </c>
    </row>
    <row r="47" spans="1:8">
      <c r="A47" s="45" t="s">
        <v>58</v>
      </c>
      <c r="B47" s="46" t="s">
        <v>59</v>
      </c>
      <c r="C47" s="90">
        <v>9050</v>
      </c>
      <c r="D47" s="90">
        <v>9200</v>
      </c>
      <c r="E47" s="90">
        <v>9200</v>
      </c>
      <c r="F47" s="90">
        <v>9050</v>
      </c>
      <c r="G47" s="90">
        <v>9200</v>
      </c>
      <c r="H47" s="90">
        <v>9200</v>
      </c>
    </row>
    <row r="48" spans="1:8">
      <c r="A48" s="45" t="s">
        <v>60</v>
      </c>
      <c r="B48" s="46" t="s">
        <v>61</v>
      </c>
      <c r="C48" s="90">
        <v>9050</v>
      </c>
      <c r="D48" s="90">
        <v>9200</v>
      </c>
      <c r="E48" s="90">
        <v>9200</v>
      </c>
      <c r="F48" s="90">
        <v>9050</v>
      </c>
      <c r="G48" s="90">
        <v>9200</v>
      </c>
      <c r="H48" s="90">
        <v>9200</v>
      </c>
    </row>
    <row r="49" spans="1:8">
      <c r="A49" s="45" t="s">
        <v>87</v>
      </c>
      <c r="B49" s="50" t="s">
        <v>158</v>
      </c>
      <c r="C49" s="90">
        <v>9200</v>
      </c>
      <c r="D49" s="90">
        <v>9200</v>
      </c>
      <c r="E49" s="90">
        <v>9200</v>
      </c>
      <c r="F49" s="90">
        <v>9200</v>
      </c>
      <c r="G49" s="90">
        <v>9200</v>
      </c>
      <c r="H49" s="90">
        <v>9200</v>
      </c>
    </row>
    <row r="50" spans="1:8">
      <c r="A50" s="45" t="s">
        <v>88</v>
      </c>
      <c r="B50" s="50" t="s">
        <v>159</v>
      </c>
      <c r="C50" s="90">
        <v>9200</v>
      </c>
      <c r="D50" s="90">
        <v>9200</v>
      </c>
      <c r="E50" s="90">
        <v>9200</v>
      </c>
      <c r="F50" s="90">
        <v>9200</v>
      </c>
      <c r="G50" s="90">
        <v>9200</v>
      </c>
      <c r="H50" s="90">
        <v>9200</v>
      </c>
    </row>
    <row r="51" spans="1:8">
      <c r="A51" s="45" t="s">
        <v>89</v>
      </c>
      <c r="B51" s="50" t="s">
        <v>160</v>
      </c>
      <c r="C51" s="90">
        <v>9200</v>
      </c>
      <c r="D51" s="90">
        <v>9200</v>
      </c>
      <c r="E51" s="90">
        <v>9200</v>
      </c>
      <c r="F51" s="90">
        <v>9200</v>
      </c>
      <c r="G51" s="90">
        <v>9200</v>
      </c>
      <c r="H51" s="90">
        <v>9200</v>
      </c>
    </row>
    <row r="52" spans="1:8">
      <c r="A52" s="45" t="s">
        <v>90</v>
      </c>
      <c r="B52" s="50" t="s">
        <v>161</v>
      </c>
      <c r="C52" s="90">
        <v>9200</v>
      </c>
      <c r="D52" s="90">
        <v>9200</v>
      </c>
      <c r="E52" s="90">
        <v>9200</v>
      </c>
      <c r="F52" s="90">
        <v>9200</v>
      </c>
      <c r="G52" s="90">
        <v>9200</v>
      </c>
      <c r="H52" s="90">
        <v>9200</v>
      </c>
    </row>
    <row r="53" spans="1:8">
      <c r="A53" s="45" t="s">
        <v>91</v>
      </c>
      <c r="B53" s="50" t="s">
        <v>162</v>
      </c>
      <c r="C53" s="90">
        <v>9200</v>
      </c>
      <c r="D53" s="90">
        <v>9200</v>
      </c>
      <c r="E53" s="90">
        <v>9200</v>
      </c>
      <c r="F53" s="90">
        <v>9200</v>
      </c>
      <c r="G53" s="90">
        <v>9200</v>
      </c>
      <c r="H53" s="90">
        <v>9200</v>
      </c>
    </row>
    <row r="54" spans="1:8">
      <c r="A54" s="45" t="s">
        <v>92</v>
      </c>
      <c r="B54" s="50" t="s">
        <v>163</v>
      </c>
      <c r="C54" s="90">
        <v>9200</v>
      </c>
      <c r="D54" s="90">
        <v>9200</v>
      </c>
      <c r="E54" s="90">
        <v>9200</v>
      </c>
      <c r="F54" s="90">
        <v>9200</v>
      </c>
      <c r="G54" s="90">
        <v>9200</v>
      </c>
      <c r="H54" s="90">
        <v>9200</v>
      </c>
    </row>
    <row r="55" spans="1:8">
      <c r="A55" s="45" t="s">
        <v>93</v>
      </c>
      <c r="B55" s="50" t="s">
        <v>164</v>
      </c>
      <c r="C55" s="90">
        <v>9200</v>
      </c>
      <c r="D55" s="90">
        <v>9200</v>
      </c>
      <c r="E55" s="90">
        <v>9200</v>
      </c>
      <c r="F55" s="90">
        <v>9200</v>
      </c>
      <c r="G55" s="90">
        <v>9200</v>
      </c>
      <c r="H55" s="90">
        <v>9200</v>
      </c>
    </row>
    <row r="56" spans="1:8">
      <c r="A56" s="45" t="s">
        <v>94</v>
      </c>
      <c r="B56" s="50" t="s">
        <v>165</v>
      </c>
      <c r="C56" s="90">
        <v>9200</v>
      </c>
      <c r="D56" s="90">
        <v>9200</v>
      </c>
      <c r="E56" s="90">
        <v>9200</v>
      </c>
      <c r="F56" s="90">
        <v>9200</v>
      </c>
      <c r="G56" s="90">
        <v>9200</v>
      </c>
      <c r="H56" s="90">
        <v>9200</v>
      </c>
    </row>
    <row r="57" spans="1:8">
      <c r="A57" s="45" t="s">
        <v>95</v>
      </c>
      <c r="B57" s="50" t="s">
        <v>108</v>
      </c>
      <c r="C57" s="90">
        <v>9200</v>
      </c>
      <c r="D57" s="90">
        <v>9200</v>
      </c>
      <c r="E57" s="90">
        <v>9200</v>
      </c>
      <c r="F57" s="90">
        <v>9200</v>
      </c>
      <c r="G57" s="90">
        <v>9200</v>
      </c>
      <c r="H57" s="90">
        <v>9200</v>
      </c>
    </row>
    <row r="58" spans="1:8">
      <c r="A58" s="51" t="s">
        <v>96</v>
      </c>
      <c r="B58" s="52" t="s">
        <v>166</v>
      </c>
      <c r="C58" s="90">
        <v>9100</v>
      </c>
      <c r="D58" s="90">
        <v>9100</v>
      </c>
      <c r="E58" s="90">
        <v>9100</v>
      </c>
      <c r="F58" s="90">
        <v>9100</v>
      </c>
      <c r="G58" s="90">
        <v>9100</v>
      </c>
      <c r="H58" s="90">
        <v>9100</v>
      </c>
    </row>
    <row r="59" spans="1:8">
      <c r="A59" s="51" t="s">
        <v>97</v>
      </c>
      <c r="B59" s="52" t="s">
        <v>167</v>
      </c>
      <c r="C59" s="90">
        <v>9100</v>
      </c>
      <c r="D59" s="90">
        <v>9100</v>
      </c>
      <c r="E59" s="90">
        <v>9100</v>
      </c>
      <c r="F59" s="90">
        <v>9100</v>
      </c>
      <c r="G59" s="90">
        <v>9100</v>
      </c>
      <c r="H59" s="90">
        <v>9100</v>
      </c>
    </row>
    <row r="60" spans="1:8">
      <c r="A60" s="51" t="s">
        <v>98</v>
      </c>
      <c r="B60" s="52" t="s">
        <v>168</v>
      </c>
      <c r="C60" s="90">
        <v>9100</v>
      </c>
      <c r="D60" s="90">
        <v>9100</v>
      </c>
      <c r="E60" s="90">
        <v>9100</v>
      </c>
      <c r="F60" s="90">
        <v>9100</v>
      </c>
      <c r="G60" s="90">
        <v>9100</v>
      </c>
      <c r="H60" s="90">
        <v>9100</v>
      </c>
    </row>
    <row r="61" spans="1:8">
      <c r="A61" s="51" t="s">
        <v>99</v>
      </c>
      <c r="B61" s="52" t="s">
        <v>169</v>
      </c>
      <c r="C61" s="90">
        <v>9100</v>
      </c>
      <c r="D61" s="90">
        <v>9100</v>
      </c>
      <c r="E61" s="90">
        <v>9100</v>
      </c>
      <c r="F61" s="90">
        <v>9100</v>
      </c>
      <c r="G61" s="90">
        <v>9100</v>
      </c>
      <c r="H61" s="90">
        <v>9100</v>
      </c>
    </row>
    <row r="62" spans="1:8">
      <c r="A62" s="51" t="s">
        <v>100</v>
      </c>
      <c r="B62" s="52" t="s">
        <v>170</v>
      </c>
      <c r="C62" s="90">
        <v>9100</v>
      </c>
      <c r="D62" s="90">
        <v>9100</v>
      </c>
      <c r="E62" s="90">
        <v>9100</v>
      </c>
      <c r="F62" s="90">
        <v>9100</v>
      </c>
      <c r="G62" s="90">
        <v>9100</v>
      </c>
      <c r="H62" s="90">
        <v>9100</v>
      </c>
    </row>
    <row r="63" spans="1:8">
      <c r="A63" s="51" t="s">
        <v>101</v>
      </c>
      <c r="B63" s="52" t="s">
        <v>171</v>
      </c>
      <c r="C63" s="90">
        <v>9100</v>
      </c>
      <c r="D63" s="90">
        <v>9100</v>
      </c>
      <c r="E63" s="90">
        <v>9100</v>
      </c>
      <c r="F63" s="90">
        <v>9100</v>
      </c>
      <c r="G63" s="90">
        <v>9100</v>
      </c>
      <c r="H63" s="90">
        <v>9100</v>
      </c>
    </row>
    <row r="64" spans="1:8">
      <c r="A64" s="51" t="s">
        <v>102</v>
      </c>
      <c r="B64" s="52" t="s">
        <v>172</v>
      </c>
      <c r="C64" s="90">
        <v>9200</v>
      </c>
      <c r="D64" s="90">
        <v>9200</v>
      </c>
      <c r="E64" s="90">
        <v>9200</v>
      </c>
      <c r="F64" s="90">
        <v>9200</v>
      </c>
      <c r="G64" s="90">
        <v>9200</v>
      </c>
      <c r="H64" s="90">
        <v>9200</v>
      </c>
    </row>
    <row r="65" spans="1:8">
      <c r="A65" s="51" t="s">
        <v>103</v>
      </c>
      <c r="B65" s="52" t="s">
        <v>173</v>
      </c>
      <c r="C65" s="90">
        <v>9200</v>
      </c>
      <c r="D65" s="90">
        <v>9200</v>
      </c>
      <c r="E65" s="90">
        <v>9200</v>
      </c>
      <c r="F65" s="90">
        <v>9200</v>
      </c>
      <c r="G65" s="90">
        <v>9200</v>
      </c>
      <c r="H65" s="90">
        <v>9200</v>
      </c>
    </row>
    <row r="66" spans="1:8">
      <c r="A66" s="51" t="s">
        <v>104</v>
      </c>
      <c r="B66" s="52" t="s">
        <v>174</v>
      </c>
      <c r="C66" s="90">
        <v>9300</v>
      </c>
      <c r="D66" s="90">
        <v>9300</v>
      </c>
      <c r="E66" s="90">
        <v>9300</v>
      </c>
      <c r="F66" s="90">
        <v>9300</v>
      </c>
      <c r="G66" s="90">
        <v>9300</v>
      </c>
      <c r="H66" s="90">
        <v>9300</v>
      </c>
    </row>
    <row r="67" spans="1:8">
      <c r="A67" s="51" t="s">
        <v>105</v>
      </c>
      <c r="B67" s="52" t="s">
        <v>106</v>
      </c>
      <c r="C67" s="90">
        <v>9300</v>
      </c>
      <c r="D67" s="90">
        <v>9300</v>
      </c>
      <c r="E67" s="90">
        <v>9300</v>
      </c>
      <c r="F67" s="90">
        <v>9300</v>
      </c>
      <c r="G67" s="90">
        <v>9300</v>
      </c>
      <c r="H67" s="90">
        <v>9300</v>
      </c>
    </row>
    <row r="68" spans="1:8">
      <c r="A68" s="51" t="s">
        <v>114</v>
      </c>
      <c r="B68" s="52" t="s">
        <v>115</v>
      </c>
      <c r="C68" s="90">
        <v>9115</v>
      </c>
      <c r="D68" s="90">
        <v>9200</v>
      </c>
      <c r="E68" s="90">
        <v>9200</v>
      </c>
      <c r="F68" s="90">
        <v>9115</v>
      </c>
      <c r="G68" s="90">
        <v>9200</v>
      </c>
      <c r="H68" s="90">
        <v>9200</v>
      </c>
    </row>
    <row r="69" spans="1:8">
      <c r="A69" s="49" t="s">
        <v>62</v>
      </c>
      <c r="B69" s="53" t="s">
        <v>63</v>
      </c>
      <c r="C69" s="90">
        <v>9100</v>
      </c>
      <c r="D69" s="90">
        <v>9100</v>
      </c>
      <c r="E69" s="90">
        <v>9100</v>
      </c>
      <c r="F69" s="90">
        <v>9100</v>
      </c>
      <c r="G69" s="90">
        <v>9100</v>
      </c>
      <c r="H69" s="90">
        <v>9100</v>
      </c>
    </row>
    <row r="70" spans="1:8">
      <c r="A70" s="49" t="s">
        <v>64</v>
      </c>
      <c r="B70" s="54" t="s">
        <v>65</v>
      </c>
      <c r="C70" s="90">
        <v>9100</v>
      </c>
      <c r="D70" s="90">
        <v>9100</v>
      </c>
      <c r="E70" s="90">
        <v>9100</v>
      </c>
      <c r="F70" s="90">
        <v>9100</v>
      </c>
      <c r="G70" s="90">
        <v>9100</v>
      </c>
      <c r="H70" s="90">
        <v>9100</v>
      </c>
    </row>
    <row r="71" spans="1:8">
      <c r="A71" s="49" t="s">
        <v>66</v>
      </c>
      <c r="B71" s="55" t="s">
        <v>67</v>
      </c>
      <c r="C71" s="90">
        <v>9200</v>
      </c>
      <c r="D71" s="90">
        <v>9225</v>
      </c>
      <c r="E71" s="90">
        <v>9265</v>
      </c>
      <c r="F71" s="90">
        <v>9200</v>
      </c>
      <c r="G71" s="90">
        <v>9225</v>
      </c>
      <c r="H71" s="90">
        <v>9265</v>
      </c>
    </row>
    <row r="72" spans="1:8">
      <c r="A72" s="35" t="s">
        <v>68</v>
      </c>
      <c r="B72" s="36" t="s">
        <v>69</v>
      </c>
      <c r="C72" s="90">
        <v>9100</v>
      </c>
      <c r="D72" s="90">
        <v>9100</v>
      </c>
      <c r="E72" s="90">
        <v>9100</v>
      </c>
      <c r="F72" s="90">
        <v>9100</v>
      </c>
      <c r="G72" s="90">
        <v>9100</v>
      </c>
      <c r="H72" s="90">
        <v>9100</v>
      </c>
    </row>
    <row r="73" spans="1:8">
      <c r="A73" s="35" t="s">
        <v>70</v>
      </c>
      <c r="B73" s="36" t="s">
        <v>71</v>
      </c>
      <c r="C73" s="90">
        <v>9100</v>
      </c>
      <c r="D73" s="90">
        <v>9100</v>
      </c>
      <c r="E73" s="90">
        <v>9100</v>
      </c>
      <c r="F73" s="90">
        <v>9100</v>
      </c>
      <c r="G73" s="90">
        <v>9100</v>
      </c>
      <c r="H73" s="90">
        <v>9100</v>
      </c>
    </row>
    <row r="74" spans="1:8">
      <c r="A74" s="35" t="s">
        <v>117</v>
      </c>
      <c r="B74" s="36" t="s">
        <v>118</v>
      </c>
      <c r="C74" s="90">
        <v>9100</v>
      </c>
      <c r="D74" s="90">
        <v>9200</v>
      </c>
      <c r="E74" s="90">
        <v>9200</v>
      </c>
      <c r="F74" s="90">
        <v>9100</v>
      </c>
      <c r="G74" s="90">
        <v>9200</v>
      </c>
      <c r="H74" s="90">
        <v>9200</v>
      </c>
    </row>
    <row r="75" spans="1:8">
      <c r="A75" s="36" t="s">
        <v>119</v>
      </c>
      <c r="B75" s="36" t="s">
        <v>120</v>
      </c>
      <c r="C75" s="90">
        <v>9080</v>
      </c>
      <c r="D75" s="90">
        <v>9150</v>
      </c>
      <c r="E75" s="90">
        <v>9150</v>
      </c>
      <c r="F75" s="90">
        <v>9080</v>
      </c>
      <c r="G75" s="90">
        <v>9150</v>
      </c>
      <c r="H75" s="90">
        <v>9150</v>
      </c>
    </row>
    <row r="76" spans="1:8">
      <c r="A76" s="36" t="s">
        <v>121</v>
      </c>
      <c r="B76" s="36" t="s">
        <v>122</v>
      </c>
      <c r="C76" s="90">
        <v>9180</v>
      </c>
      <c r="D76" s="90">
        <v>9230</v>
      </c>
      <c r="E76" s="90">
        <v>9230</v>
      </c>
      <c r="F76" s="90">
        <v>9180</v>
      </c>
      <c r="G76" s="90">
        <v>9230</v>
      </c>
      <c r="H76" s="90">
        <v>9230</v>
      </c>
    </row>
    <row r="77" spans="1:8">
      <c r="A77" s="36" t="s">
        <v>123</v>
      </c>
      <c r="B77" s="36" t="s">
        <v>124</v>
      </c>
      <c r="C77" s="90">
        <v>9050</v>
      </c>
      <c r="D77" s="90">
        <v>9120</v>
      </c>
      <c r="E77" s="90">
        <v>9120</v>
      </c>
      <c r="F77" s="90">
        <v>9050</v>
      </c>
      <c r="G77" s="90">
        <v>9120</v>
      </c>
      <c r="H77" s="90">
        <v>9120</v>
      </c>
    </row>
    <row r="78" spans="1:8">
      <c r="A78" s="36" t="s">
        <v>125</v>
      </c>
      <c r="B78" s="36" t="s">
        <v>126</v>
      </c>
      <c r="C78" s="90">
        <v>9400</v>
      </c>
      <c r="D78" s="90">
        <v>9650</v>
      </c>
      <c r="E78" s="90">
        <v>9650</v>
      </c>
      <c r="F78" s="90">
        <v>9400</v>
      </c>
      <c r="G78" s="90">
        <v>9650</v>
      </c>
      <c r="H78" s="90">
        <v>9650</v>
      </c>
    </row>
    <row r="82" spans="1:11" ht="29.25" customHeight="1">
      <c r="A82" s="23" t="s">
        <v>233</v>
      </c>
      <c r="B82" s="24"/>
      <c r="C82" s="25"/>
      <c r="D82" s="25"/>
      <c r="E82" s="25"/>
      <c r="F82" s="25"/>
      <c r="G82" s="29"/>
      <c r="H82" s="29"/>
    </row>
    <row r="83" spans="1:11" ht="18.5">
      <c r="A83" s="26" t="s">
        <v>113</v>
      </c>
      <c r="B83" s="27"/>
      <c r="C83" s="28"/>
      <c r="D83" s="28"/>
      <c r="E83" s="28"/>
      <c r="F83" s="26"/>
      <c r="G83" s="26"/>
      <c r="H83" s="26"/>
    </row>
    <row r="84" spans="1:11">
      <c r="A84" s="5"/>
      <c r="B84" s="6"/>
      <c r="C84" s="11"/>
      <c r="D84" s="11"/>
      <c r="E84" s="6"/>
      <c r="F84" s="6"/>
      <c r="G84" s="6"/>
      <c r="H84" s="6"/>
    </row>
    <row r="85" spans="1:11" ht="18.5">
      <c r="A85" s="12" t="s">
        <v>72</v>
      </c>
      <c r="B85" s="6"/>
      <c r="C85" s="8"/>
      <c r="D85" s="8"/>
      <c r="E85" s="8"/>
      <c r="F85" s="8"/>
    </row>
    <row r="86" spans="1:11" ht="41.25" customHeight="1">
      <c r="A86" s="130" t="s">
        <v>258</v>
      </c>
      <c r="B86" s="131"/>
      <c r="C86" s="132"/>
      <c r="D86" s="132"/>
      <c r="E86" s="132"/>
      <c r="F86" s="132"/>
      <c r="G86" s="133"/>
      <c r="H86" s="133"/>
      <c r="I86" s="133"/>
      <c r="J86" s="133"/>
      <c r="K86" s="133"/>
    </row>
    <row r="87" spans="1:11" ht="79.5" customHeight="1">
      <c r="A87" s="139" t="s">
        <v>116</v>
      </c>
      <c r="B87" s="139"/>
      <c r="C87" s="139"/>
      <c r="D87" s="139"/>
      <c r="E87" s="139"/>
      <c r="F87" s="139"/>
    </row>
    <row r="88" spans="1:11" ht="26">
      <c r="A88" s="113" t="s">
        <v>250</v>
      </c>
      <c r="B88" s="30"/>
      <c r="C88" s="30"/>
      <c r="D88" s="30"/>
      <c r="E88" s="30"/>
      <c r="F88" s="31"/>
      <c r="G88" s="32"/>
      <c r="H88" s="32"/>
    </row>
    <row r="89" spans="1:11" ht="26">
      <c r="A89" s="102" t="s">
        <v>262</v>
      </c>
      <c r="B89" s="30"/>
      <c r="C89" s="30"/>
      <c r="D89" s="30"/>
      <c r="E89" s="30"/>
      <c r="F89" s="31"/>
      <c r="G89" s="32"/>
      <c r="H89" s="32"/>
    </row>
    <row r="90" spans="1:11" ht="18.5">
      <c r="A90" s="13" t="s">
        <v>261</v>
      </c>
      <c r="B90" s="14"/>
      <c r="C90" s="15"/>
      <c r="D90" s="15"/>
      <c r="E90" s="15"/>
      <c r="F90" s="15"/>
      <c r="G90" s="16"/>
      <c r="H90" s="16"/>
      <c r="I90" s="59"/>
      <c r="J90" s="59"/>
      <c r="K90" s="59"/>
    </row>
    <row r="91" spans="1:11" ht="18.5">
      <c r="A91" s="13" t="s">
        <v>260</v>
      </c>
      <c r="B91" s="14"/>
      <c r="C91" s="15"/>
      <c r="D91" s="15"/>
      <c r="E91" s="15"/>
      <c r="F91" s="15"/>
      <c r="G91" s="16"/>
      <c r="H91" s="16"/>
      <c r="I91" s="59"/>
      <c r="J91" s="59"/>
      <c r="K91" s="59"/>
    </row>
    <row r="92" spans="1:11" ht="18.5">
      <c r="A92" s="13" t="s">
        <v>259</v>
      </c>
      <c r="B92" s="14"/>
      <c r="C92" s="15"/>
      <c r="D92" s="15"/>
      <c r="E92" s="15"/>
      <c r="F92" s="15"/>
      <c r="G92" s="16"/>
      <c r="H92" s="16"/>
      <c r="I92" s="59"/>
      <c r="J92" s="59"/>
      <c r="K92" s="59"/>
    </row>
    <row r="93" spans="1:11" ht="18.5">
      <c r="A93" s="114" t="s">
        <v>254</v>
      </c>
      <c r="B93" s="6"/>
      <c r="C93" s="8"/>
      <c r="D93" s="8"/>
      <c r="E93" s="8"/>
      <c r="F93" s="8"/>
    </row>
    <row r="94" spans="1:11" ht="18.5">
      <c r="A94" s="129" t="s">
        <v>382</v>
      </c>
      <c r="B94" s="6"/>
      <c r="C94" s="8"/>
      <c r="D94" s="8"/>
      <c r="E94" s="8"/>
      <c r="F94" s="8"/>
    </row>
    <row r="96" spans="1:11" ht="18.5">
      <c r="A96" s="18" t="s">
        <v>183</v>
      </c>
      <c r="B96" s="10"/>
      <c r="C96" s="10"/>
      <c r="D96" s="10"/>
      <c r="E96" s="10"/>
      <c r="F96" s="9"/>
      <c r="G96" s="9"/>
      <c r="H96" s="9"/>
    </row>
    <row r="97" spans="1:8" ht="18.5">
      <c r="A97" s="21" t="s">
        <v>73</v>
      </c>
      <c r="B97" s="21" t="s">
        <v>74</v>
      </c>
      <c r="C97" s="21"/>
      <c r="D97" s="21"/>
      <c r="E97" s="21"/>
      <c r="F97" s="22"/>
      <c r="G97" s="22"/>
      <c r="H97" s="22"/>
    </row>
    <row r="98" spans="1:8" ht="18.5">
      <c r="A98" s="19" t="s">
        <v>184</v>
      </c>
      <c r="B98" s="20">
        <v>14</v>
      </c>
      <c r="C98" s="19"/>
      <c r="D98" s="19"/>
      <c r="E98" s="19"/>
      <c r="F98" s="17"/>
      <c r="G98" s="17"/>
      <c r="H98" s="17"/>
    </row>
    <row r="99" spans="1:8" ht="18.5">
      <c r="A99" s="17"/>
      <c r="B99" s="17"/>
      <c r="C99" s="17"/>
      <c r="D99" s="17"/>
      <c r="E99" s="17"/>
      <c r="F99" s="17"/>
      <c r="G99" s="17"/>
      <c r="H99" s="17"/>
    </row>
    <row r="100" spans="1:8" ht="18.5">
      <c r="A100" s="17"/>
      <c r="B100" s="17"/>
      <c r="C100" s="17"/>
      <c r="D100" s="17"/>
      <c r="E100" s="17"/>
      <c r="F100" s="17"/>
      <c r="G100" s="17"/>
      <c r="H100" s="17"/>
    </row>
    <row r="101" spans="1:8" ht="18.5">
      <c r="A101" s="17"/>
      <c r="B101" s="17"/>
      <c r="C101" s="17"/>
      <c r="D101" s="17"/>
      <c r="E101" s="17"/>
      <c r="F101" s="17"/>
      <c r="G101" s="17"/>
      <c r="H101" s="17"/>
    </row>
    <row r="102" spans="1:8">
      <c r="A102" s="134" t="s">
        <v>185</v>
      </c>
      <c r="B102" s="135"/>
      <c r="C102" s="135"/>
      <c r="D102" s="135"/>
      <c r="E102" s="135"/>
    </row>
    <row r="103" spans="1:8">
      <c r="A103" s="135"/>
      <c r="B103" s="135"/>
      <c r="C103" s="135"/>
      <c r="D103" s="135"/>
      <c r="E103" s="135"/>
    </row>
    <row r="104" spans="1:8">
      <c r="A104" s="135"/>
      <c r="B104" s="135"/>
      <c r="C104" s="135"/>
      <c r="D104" s="135"/>
      <c r="E104" s="135"/>
    </row>
    <row r="105" spans="1:8">
      <c r="A105" s="135"/>
      <c r="B105" s="135"/>
      <c r="C105" s="135"/>
      <c r="D105" s="135"/>
      <c r="E105" s="135"/>
    </row>
    <row r="106" spans="1:8">
      <c r="A106" s="135"/>
      <c r="B106" s="135"/>
      <c r="C106" s="135"/>
      <c r="D106" s="135"/>
      <c r="E106" s="135"/>
    </row>
    <row r="107" spans="1:8">
      <c r="A107" s="135"/>
      <c r="B107" s="135"/>
      <c r="C107" s="135"/>
      <c r="D107" s="135"/>
      <c r="E107" s="135"/>
    </row>
    <row r="108" spans="1:8">
      <c r="A108" s="135"/>
      <c r="B108" s="135"/>
      <c r="C108" s="135"/>
      <c r="D108" s="135"/>
      <c r="E108" s="135"/>
    </row>
    <row r="109" spans="1:8">
      <c r="A109" s="135"/>
      <c r="B109" s="135"/>
      <c r="C109" s="135"/>
      <c r="D109" s="135"/>
      <c r="E109" s="135"/>
    </row>
    <row r="110" spans="1:8">
      <c r="A110" s="135"/>
      <c r="B110" s="135"/>
      <c r="C110" s="135"/>
      <c r="D110" s="135"/>
      <c r="E110" s="135"/>
    </row>
    <row r="111" spans="1:8">
      <c r="A111" s="135"/>
      <c r="B111" s="135"/>
      <c r="C111" s="135"/>
      <c r="D111" s="135"/>
      <c r="E111" s="135"/>
    </row>
    <row r="112" spans="1:8">
      <c r="A112" s="135"/>
      <c r="B112" s="135"/>
      <c r="C112" s="135"/>
      <c r="D112" s="135"/>
      <c r="E112" s="135"/>
    </row>
    <row r="113" spans="1:5">
      <c r="A113" s="135"/>
      <c r="B113" s="135"/>
      <c r="C113" s="135"/>
      <c r="D113" s="135"/>
      <c r="E113" s="135"/>
    </row>
    <row r="114" spans="1:5">
      <c r="A114" s="135"/>
      <c r="B114" s="135"/>
      <c r="C114" s="135"/>
      <c r="D114" s="135"/>
      <c r="E114" s="135"/>
    </row>
    <row r="115" spans="1:5">
      <c r="A115" s="135"/>
      <c r="B115" s="135"/>
      <c r="C115" s="135"/>
      <c r="D115" s="135"/>
      <c r="E115" s="135"/>
    </row>
    <row r="116" spans="1:5">
      <c r="A116" s="135"/>
      <c r="B116" s="135"/>
      <c r="C116" s="135"/>
      <c r="D116" s="135"/>
      <c r="E116" s="135"/>
    </row>
    <row r="117" spans="1:5" ht="2.25" customHeight="1">
      <c r="A117" s="135"/>
      <c r="B117" s="135"/>
      <c r="C117" s="135"/>
      <c r="D117" s="135"/>
      <c r="E117" s="135"/>
    </row>
    <row r="118" spans="1:5" hidden="1">
      <c r="A118" s="135"/>
      <c r="B118" s="135"/>
      <c r="C118" s="135"/>
      <c r="D118" s="135"/>
      <c r="E118" s="135"/>
    </row>
    <row r="119" spans="1:5" hidden="1">
      <c r="A119" s="135"/>
      <c r="B119" s="135"/>
      <c r="C119" s="135"/>
      <c r="D119" s="135"/>
      <c r="E119" s="135"/>
    </row>
    <row r="120" spans="1:5" hidden="1">
      <c r="A120" s="135"/>
      <c r="B120" s="135"/>
      <c r="C120" s="135"/>
      <c r="D120" s="135"/>
      <c r="E120" s="135"/>
    </row>
    <row r="121" spans="1:5" hidden="1">
      <c r="A121" s="135"/>
      <c r="B121" s="135"/>
      <c r="C121" s="135"/>
      <c r="D121" s="135"/>
      <c r="E121" s="135"/>
    </row>
    <row r="122" spans="1:5" ht="30.75" customHeight="1">
      <c r="A122" s="58" t="s">
        <v>186</v>
      </c>
    </row>
    <row r="123" spans="1:5" ht="15.5">
      <c r="A123" s="57"/>
    </row>
    <row r="124" spans="1:5" ht="15.5">
      <c r="A124" s="57"/>
    </row>
    <row r="125" spans="1:5" ht="15.5">
      <c r="A125" s="56"/>
    </row>
    <row r="126" spans="1:5" ht="15.5">
      <c r="A126" s="57"/>
    </row>
  </sheetData>
  <mergeCells count="8">
    <mergeCell ref="A102:E121"/>
    <mergeCell ref="A4:B4"/>
    <mergeCell ref="C6:H6"/>
    <mergeCell ref="A87:F87"/>
    <mergeCell ref="C8:E8"/>
    <mergeCell ref="F8:H8"/>
    <mergeCell ref="C7:E7"/>
    <mergeCell ref="F7:H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70F8-1660-4CD0-99C2-91DA0978697E}">
  <sheetPr>
    <tabColor rgb="FF9966FF"/>
  </sheetPr>
  <dimension ref="A1:I24"/>
  <sheetViews>
    <sheetView zoomScale="81" zoomScaleNormal="81" workbookViewId="0">
      <selection activeCell="D16" sqref="D16"/>
    </sheetView>
  </sheetViews>
  <sheetFormatPr defaultColWidth="9.1796875" defaultRowHeight="14.5"/>
  <cols>
    <col min="1" max="1" width="19.54296875" customWidth="1"/>
    <col min="2" max="2" width="61.26953125" bestFit="1" customWidth="1"/>
    <col min="3" max="3" width="24.54296875" customWidth="1"/>
    <col min="4" max="4" width="16.1796875" bestFit="1" customWidth="1"/>
    <col min="5" max="5" width="29.453125" customWidth="1"/>
    <col min="6" max="6" width="67" customWidth="1"/>
    <col min="7" max="7" width="20.54296875" hidden="1" customWidth="1"/>
    <col min="8" max="8" width="0" hidden="1" customWidth="1"/>
  </cols>
  <sheetData>
    <row r="1" spans="1:9" s="61" customFormat="1" ht="23.5">
      <c r="A1" s="60" t="s">
        <v>195</v>
      </c>
      <c r="G1"/>
      <c r="H1"/>
      <c r="I1"/>
    </row>
    <row r="2" spans="1:9" s="61" customFormat="1" ht="13.5" customHeight="1">
      <c r="A2" s="60"/>
      <c r="G2"/>
      <c r="H2"/>
      <c r="I2"/>
    </row>
    <row r="3" spans="1:9" ht="15" thickBot="1"/>
    <row r="4" spans="1:9">
      <c r="A4" s="147" t="s">
        <v>196</v>
      </c>
      <c r="B4" s="62" t="s">
        <v>197</v>
      </c>
      <c r="C4" s="63" t="s">
        <v>198</v>
      </c>
      <c r="D4" s="63" t="s">
        <v>199</v>
      </c>
      <c r="E4" s="63" t="s">
        <v>200</v>
      </c>
      <c r="F4" s="64" t="s">
        <v>201</v>
      </c>
    </row>
    <row r="5" spans="1:9">
      <c r="A5" s="148"/>
      <c r="B5" s="65" t="s">
        <v>202</v>
      </c>
      <c r="C5" s="150" t="s">
        <v>203</v>
      </c>
      <c r="D5" s="150"/>
      <c r="E5" s="150"/>
      <c r="F5" s="66"/>
    </row>
    <row r="6" spans="1:9">
      <c r="A6" s="148"/>
      <c r="B6" s="67" t="s">
        <v>204</v>
      </c>
      <c r="C6" s="68" t="s">
        <v>205</v>
      </c>
      <c r="D6" s="68" t="s">
        <v>206</v>
      </c>
      <c r="E6" s="68" t="s">
        <v>206</v>
      </c>
      <c r="F6" s="66"/>
    </row>
    <row r="7" spans="1:9">
      <c r="A7" s="148"/>
      <c r="B7" s="67" t="s">
        <v>207</v>
      </c>
      <c r="C7" s="68" t="s">
        <v>208</v>
      </c>
      <c r="D7" s="68" t="s">
        <v>209</v>
      </c>
      <c r="E7" s="68" t="s">
        <v>209</v>
      </c>
      <c r="F7" s="66"/>
    </row>
    <row r="8" spans="1:9">
      <c r="A8" s="148"/>
      <c r="B8" s="67" t="s">
        <v>210</v>
      </c>
      <c r="C8" s="68" t="s">
        <v>211</v>
      </c>
      <c r="D8" s="68" t="s">
        <v>212</v>
      </c>
      <c r="E8" s="68" t="s">
        <v>212</v>
      </c>
      <c r="F8" s="66"/>
    </row>
    <row r="9" spans="1:9">
      <c r="A9" s="148"/>
      <c r="B9" s="65" t="s">
        <v>213</v>
      </c>
      <c r="C9" s="69" t="s">
        <v>214</v>
      </c>
      <c r="D9" s="69" t="s">
        <v>215</v>
      </c>
      <c r="E9" s="69" t="s">
        <v>215</v>
      </c>
      <c r="F9" s="70"/>
    </row>
    <row r="10" spans="1:9">
      <c r="A10" s="148"/>
      <c r="B10" s="65" t="s">
        <v>216</v>
      </c>
      <c r="C10" s="71" t="s">
        <v>214</v>
      </c>
      <c r="D10" s="71" t="s">
        <v>215</v>
      </c>
      <c r="E10" s="71" t="s">
        <v>215</v>
      </c>
      <c r="F10" s="66"/>
    </row>
    <row r="11" spans="1:9">
      <c r="A11" s="148"/>
      <c r="B11" s="67" t="s">
        <v>217</v>
      </c>
      <c r="C11" s="71" t="s">
        <v>214</v>
      </c>
      <c r="D11" s="71" t="s">
        <v>215</v>
      </c>
      <c r="E11" s="71" t="s">
        <v>215</v>
      </c>
      <c r="F11" s="66"/>
    </row>
    <row r="12" spans="1:9">
      <c r="A12" s="148"/>
      <c r="B12" s="72" t="s">
        <v>247</v>
      </c>
      <c r="C12" s="73" t="s">
        <v>218</v>
      </c>
      <c r="D12" s="73" t="s">
        <v>219</v>
      </c>
      <c r="E12" s="73" t="s">
        <v>219</v>
      </c>
      <c r="F12" s="74"/>
    </row>
    <row r="13" spans="1:9">
      <c r="A13" s="148"/>
      <c r="B13" s="65" t="s">
        <v>220</v>
      </c>
      <c r="C13" s="69" t="s">
        <v>214</v>
      </c>
      <c r="D13" s="69" t="s">
        <v>215</v>
      </c>
      <c r="E13" s="69" t="s">
        <v>215</v>
      </c>
      <c r="F13" s="70"/>
    </row>
    <row r="14" spans="1:9">
      <c r="A14" s="148"/>
      <c r="B14" s="65" t="s">
        <v>221</v>
      </c>
      <c r="C14" s="150" t="s">
        <v>203</v>
      </c>
      <c r="D14" s="150"/>
      <c r="E14" s="150"/>
      <c r="F14" s="66"/>
    </row>
    <row r="15" spans="1:9">
      <c r="A15" s="148"/>
      <c r="B15" s="65" t="s">
        <v>222</v>
      </c>
      <c r="C15" s="69" t="s">
        <v>223</v>
      </c>
      <c r="D15" s="69" t="s">
        <v>214</v>
      </c>
      <c r="E15" s="69" t="s">
        <v>214</v>
      </c>
      <c r="F15" s="70"/>
    </row>
    <row r="16" spans="1:9" ht="15" thickBot="1">
      <c r="A16" s="149"/>
      <c r="B16" s="75" t="s">
        <v>224</v>
      </c>
      <c r="C16" s="76" t="s">
        <v>223</v>
      </c>
      <c r="D16" s="76" t="s">
        <v>214</v>
      </c>
      <c r="E16" s="76" t="s">
        <v>214</v>
      </c>
      <c r="F16" s="77"/>
    </row>
    <row r="17" spans="1:6">
      <c r="A17" s="78" t="s">
        <v>225</v>
      </c>
      <c r="B17" s="79"/>
      <c r="C17" s="80"/>
      <c r="D17" s="80"/>
      <c r="E17" s="80"/>
      <c r="F17" s="81"/>
    </row>
    <row r="18" spans="1:6">
      <c r="B18" s="82"/>
      <c r="C18" s="83"/>
      <c r="D18" s="83"/>
      <c r="E18" s="83"/>
      <c r="F18" s="84"/>
    </row>
    <row r="20" spans="1:6" ht="15" thickBot="1"/>
    <row r="21" spans="1:6">
      <c r="A21" s="144" t="s">
        <v>226</v>
      </c>
      <c r="B21" s="62" t="s">
        <v>227</v>
      </c>
      <c r="C21" s="63" t="s">
        <v>198</v>
      </c>
      <c r="D21" s="63" t="s">
        <v>199</v>
      </c>
      <c r="E21" s="63" t="s">
        <v>200</v>
      </c>
      <c r="F21" s="64" t="s">
        <v>201</v>
      </c>
    </row>
    <row r="22" spans="1:6" ht="29">
      <c r="A22" s="145"/>
      <c r="B22" s="85" t="s">
        <v>248</v>
      </c>
      <c r="C22" s="88" t="s">
        <v>231</v>
      </c>
      <c r="D22" s="88" t="s">
        <v>232</v>
      </c>
      <c r="E22" s="88" t="s">
        <v>232</v>
      </c>
      <c r="F22" s="86" t="s">
        <v>228</v>
      </c>
    </row>
    <row r="23" spans="1:6" ht="29">
      <c r="A23" s="145"/>
      <c r="B23" s="108" t="s">
        <v>249</v>
      </c>
      <c r="C23" s="109">
        <v>0</v>
      </c>
      <c r="D23" s="109">
        <v>0</v>
      </c>
      <c r="E23" s="109">
        <v>0</v>
      </c>
      <c r="F23" s="86" t="s">
        <v>228</v>
      </c>
    </row>
    <row r="24" spans="1:6" ht="36.75" customHeight="1" thickBot="1">
      <c r="A24" s="146"/>
      <c r="B24" s="110" t="s">
        <v>229</v>
      </c>
      <c r="C24" s="111">
        <v>0</v>
      </c>
      <c r="D24" s="111">
        <v>0</v>
      </c>
      <c r="E24" s="111">
        <v>0</v>
      </c>
      <c r="F24" s="87" t="s">
        <v>230</v>
      </c>
    </row>
  </sheetData>
  <mergeCells count="4">
    <mergeCell ref="A21:A24"/>
    <mergeCell ref="A4:A16"/>
    <mergeCell ref="C5:E5"/>
    <mergeCell ref="C14:E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F4BC-DB4D-4085-BC3B-F1AB6B794C54}">
  <sheetPr>
    <tabColor rgb="FFFF3399"/>
  </sheetPr>
  <dimension ref="A1:J85"/>
  <sheetViews>
    <sheetView zoomScale="70" zoomScaleNormal="70" workbookViewId="0">
      <selection activeCell="Y25" sqref="Y25"/>
    </sheetView>
  </sheetViews>
  <sheetFormatPr defaultColWidth="8.81640625" defaultRowHeight="14"/>
  <cols>
    <col min="1" max="2" width="15.1796875" style="97" customWidth="1"/>
    <col min="3" max="3" width="25.54296875" style="97" customWidth="1"/>
    <col min="4" max="4" width="12.453125" style="97" customWidth="1"/>
    <col min="5" max="5" width="43.54296875" style="97" customWidth="1"/>
    <col min="6" max="8" width="15.1796875" style="97" customWidth="1"/>
    <col min="9" max="9" width="16.453125" style="97" customWidth="1"/>
    <col min="10" max="16384" width="8.81640625" style="97"/>
  </cols>
  <sheetData>
    <row r="1" spans="1:10" ht="14.5">
      <c r="A1" s="93"/>
      <c r="B1" s="94"/>
      <c r="C1" s="95" t="s">
        <v>127</v>
      </c>
      <c r="D1" s="95"/>
      <c r="E1" s="95"/>
      <c r="F1" s="95"/>
      <c r="G1" s="123" t="s">
        <v>263</v>
      </c>
      <c r="H1" s="96"/>
      <c r="I1" s="96"/>
      <c r="J1" s="96"/>
    </row>
    <row r="2" spans="1:10">
      <c r="A2" s="103" t="s">
        <v>128</v>
      </c>
      <c r="B2" s="103" t="s">
        <v>129</v>
      </c>
      <c r="C2" s="103" t="s">
        <v>130</v>
      </c>
      <c r="D2" s="103" t="s">
        <v>175</v>
      </c>
      <c r="E2" s="103" t="s">
        <v>131</v>
      </c>
      <c r="F2" s="103" t="s">
        <v>190</v>
      </c>
      <c r="G2" s="104" t="s">
        <v>193</v>
      </c>
      <c r="H2" s="103"/>
      <c r="I2" s="103"/>
      <c r="J2" s="124"/>
    </row>
    <row r="3" spans="1:10">
      <c r="A3" s="103"/>
      <c r="B3" s="103"/>
      <c r="C3" s="103"/>
      <c r="D3" s="103"/>
      <c r="E3" s="103"/>
      <c r="F3" s="103"/>
      <c r="G3" s="105" t="s">
        <v>176</v>
      </c>
      <c r="H3" s="105" t="s">
        <v>177</v>
      </c>
      <c r="I3" s="105" t="s">
        <v>178</v>
      </c>
      <c r="J3" s="125"/>
    </row>
    <row r="4" spans="1:10">
      <c r="A4" s="98" t="s">
        <v>134</v>
      </c>
      <c r="B4" s="98" t="s">
        <v>132</v>
      </c>
      <c r="C4" s="98" t="s">
        <v>264</v>
      </c>
      <c r="D4" s="98" t="s">
        <v>265</v>
      </c>
      <c r="E4" s="98" t="s">
        <v>133</v>
      </c>
      <c r="F4" s="99" t="str">
        <f>VLOOKUP(E4,[2]Lookup!F:G,2,0)</f>
        <v>CNSHA</v>
      </c>
      <c r="G4" s="100">
        <v>145</v>
      </c>
      <c r="H4" s="100">
        <v>270</v>
      </c>
      <c r="I4" s="100">
        <v>270</v>
      </c>
      <c r="J4" s="126"/>
    </row>
    <row r="5" spans="1:10">
      <c r="A5" s="98" t="s">
        <v>134</v>
      </c>
      <c r="B5" s="98" t="s">
        <v>135</v>
      </c>
      <c r="C5" s="98" t="s">
        <v>266</v>
      </c>
      <c r="D5" s="98" t="s">
        <v>267</v>
      </c>
      <c r="E5" s="98" t="s">
        <v>268</v>
      </c>
      <c r="F5" s="99" t="str">
        <f>VLOOKUP(E5,[2]Lookup!F:G,2,0)</f>
        <v>CNSHA</v>
      </c>
      <c r="G5" s="100">
        <v>175</v>
      </c>
      <c r="H5" s="100">
        <v>535</v>
      </c>
      <c r="I5" s="100">
        <v>535</v>
      </c>
      <c r="J5" s="126"/>
    </row>
    <row r="6" spans="1:10">
      <c r="A6" s="98" t="s">
        <v>269</v>
      </c>
      <c r="B6" s="98" t="s">
        <v>135</v>
      </c>
      <c r="C6" s="98" t="s">
        <v>270</v>
      </c>
      <c r="D6" s="98" t="s">
        <v>271</v>
      </c>
      <c r="E6" s="98" t="s">
        <v>133</v>
      </c>
      <c r="F6" s="98" t="str">
        <f>VLOOKUP(E6,[2]Lookup!F:G,2,0)</f>
        <v>CNSHA</v>
      </c>
      <c r="G6" s="100">
        <v>320</v>
      </c>
      <c r="H6" s="100">
        <v>345</v>
      </c>
      <c r="I6" s="100">
        <v>345</v>
      </c>
      <c r="J6" s="126"/>
    </row>
    <row r="7" spans="1:10" ht="14.5">
      <c r="A7" s="98" t="s">
        <v>136</v>
      </c>
      <c r="B7" s="98" t="s">
        <v>272</v>
      </c>
      <c r="C7" s="98" t="s">
        <v>273</v>
      </c>
      <c r="D7" s="98" t="s">
        <v>274</v>
      </c>
      <c r="E7" s="98" t="s">
        <v>275</v>
      </c>
      <c r="F7" s="99" t="str">
        <f>VLOOKUP(E7,[2]Lookup!F:G,2,0)</f>
        <v>CNDLC</v>
      </c>
      <c r="G7" s="100">
        <v>395</v>
      </c>
      <c r="H7" s="100">
        <v>520</v>
      </c>
      <c r="I7" s="100">
        <v>520</v>
      </c>
      <c r="J7" s="94"/>
    </row>
    <row r="8" spans="1:10">
      <c r="A8" s="98" t="s">
        <v>134</v>
      </c>
      <c r="B8" s="98" t="s">
        <v>276</v>
      </c>
      <c r="C8" s="98" t="s">
        <v>277</v>
      </c>
      <c r="D8" s="98" t="s">
        <v>278</v>
      </c>
      <c r="E8" s="98" t="s">
        <v>133</v>
      </c>
      <c r="F8" s="99" t="str">
        <f>VLOOKUP(E8,[2]Lookup!F:G,2,0)</f>
        <v>CNSHA</v>
      </c>
      <c r="G8" s="100">
        <v>335</v>
      </c>
      <c r="H8" s="100">
        <v>615</v>
      </c>
      <c r="I8" s="100">
        <v>615</v>
      </c>
      <c r="J8" s="126"/>
    </row>
    <row r="9" spans="1:10">
      <c r="A9" s="98" t="s">
        <v>134</v>
      </c>
      <c r="B9" s="98" t="s">
        <v>137</v>
      </c>
      <c r="C9" s="98" t="s">
        <v>279</v>
      </c>
      <c r="D9" s="98" t="s">
        <v>280</v>
      </c>
      <c r="E9" s="98" t="s">
        <v>268</v>
      </c>
      <c r="F9" s="99" t="str">
        <f>VLOOKUP(E9,[2]Lookup!F:G,2,0)</f>
        <v>CNSHA</v>
      </c>
      <c r="G9" s="100">
        <v>60</v>
      </c>
      <c r="H9" s="100">
        <v>245</v>
      </c>
      <c r="I9" s="100">
        <v>245</v>
      </c>
      <c r="J9" s="126"/>
    </row>
    <row r="10" spans="1:10">
      <c r="A10" s="98" t="s">
        <v>134</v>
      </c>
      <c r="B10" s="98" t="s">
        <v>137</v>
      </c>
      <c r="C10" s="98" t="s">
        <v>281</v>
      </c>
      <c r="D10" s="98" t="s">
        <v>282</v>
      </c>
      <c r="E10" s="98" t="s">
        <v>133</v>
      </c>
      <c r="F10" s="99" t="str">
        <f>VLOOKUP(E10,[2]Lookup!F:G,2,0)</f>
        <v>CNSHA</v>
      </c>
      <c r="G10" s="100">
        <v>215</v>
      </c>
      <c r="H10" s="100">
        <v>375</v>
      </c>
      <c r="I10" s="100">
        <v>375</v>
      </c>
      <c r="J10" s="126"/>
    </row>
    <row r="11" spans="1:10">
      <c r="A11" s="98" t="s">
        <v>269</v>
      </c>
      <c r="B11" s="98" t="s">
        <v>283</v>
      </c>
      <c r="C11" s="98" t="s">
        <v>284</v>
      </c>
      <c r="D11" s="98" t="s">
        <v>282</v>
      </c>
      <c r="E11" s="98" t="s">
        <v>268</v>
      </c>
      <c r="F11" s="99" t="str">
        <f>VLOOKUP(E11,[2]Lookup!F:G,2,0)</f>
        <v>CNSHA</v>
      </c>
      <c r="G11" s="100">
        <v>195</v>
      </c>
      <c r="H11" s="100">
        <v>210</v>
      </c>
      <c r="I11" s="100">
        <v>210</v>
      </c>
      <c r="J11" s="126"/>
    </row>
    <row r="12" spans="1:10">
      <c r="A12" s="119" t="s">
        <v>134</v>
      </c>
      <c r="B12" s="120" t="s">
        <v>132</v>
      </c>
      <c r="C12" s="121" t="s">
        <v>285</v>
      </c>
      <c r="D12" s="120" t="s">
        <v>286</v>
      </c>
      <c r="E12" s="122" t="s">
        <v>138</v>
      </c>
      <c r="F12" s="99" t="str">
        <f>VLOOKUP(E12,[2]Lookup!F:G,2,0)</f>
        <v>CNNGB</v>
      </c>
      <c r="G12" s="100">
        <v>100</v>
      </c>
      <c r="H12" s="100">
        <v>115</v>
      </c>
      <c r="I12" s="100">
        <v>115</v>
      </c>
      <c r="J12" s="126"/>
    </row>
    <row r="13" spans="1:10">
      <c r="A13" s="98" t="s">
        <v>269</v>
      </c>
      <c r="B13" s="98" t="s">
        <v>287</v>
      </c>
      <c r="C13" s="98" t="s">
        <v>288</v>
      </c>
      <c r="D13" s="98" t="s">
        <v>289</v>
      </c>
      <c r="E13" s="98" t="s">
        <v>133</v>
      </c>
      <c r="F13" s="99" t="str">
        <f>VLOOKUP(E13,[2]Lookup!F:G,2,0)</f>
        <v>CNSHA</v>
      </c>
      <c r="G13" s="100">
        <v>1210</v>
      </c>
      <c r="H13" s="100">
        <v>1695</v>
      </c>
      <c r="I13" s="100">
        <v>1695</v>
      </c>
      <c r="J13" s="126"/>
    </row>
    <row r="14" spans="1:10">
      <c r="A14" s="98" t="s">
        <v>136</v>
      </c>
      <c r="B14" s="98" t="s">
        <v>290</v>
      </c>
      <c r="C14" s="98" t="s">
        <v>290</v>
      </c>
      <c r="D14" s="98" t="s">
        <v>289</v>
      </c>
      <c r="E14" s="106" t="s">
        <v>291</v>
      </c>
      <c r="F14" s="99" t="str">
        <f>VLOOKUP(E14,[2]Lookup!F:G,2,0)</f>
        <v>CNYTN</v>
      </c>
      <c r="G14" s="100" t="s">
        <v>246</v>
      </c>
      <c r="H14" s="100">
        <v>1050</v>
      </c>
      <c r="I14" s="100">
        <v>1050</v>
      </c>
      <c r="J14" s="125"/>
    </row>
    <row r="15" spans="1:10" ht="14.5">
      <c r="A15" s="98" t="s">
        <v>134</v>
      </c>
      <c r="B15" s="98" t="s">
        <v>292</v>
      </c>
      <c r="C15" s="98" t="s">
        <v>293</v>
      </c>
      <c r="D15" s="98" t="s">
        <v>294</v>
      </c>
      <c r="E15" s="98" t="s">
        <v>133</v>
      </c>
      <c r="F15" s="99" t="str">
        <f>VLOOKUP(E15,[2]Lookup!F:G,2,0)</f>
        <v>CNSHA</v>
      </c>
      <c r="G15" s="100">
        <v>210</v>
      </c>
      <c r="H15" s="100">
        <v>975</v>
      </c>
      <c r="I15" s="100">
        <v>975</v>
      </c>
      <c r="J15" s="101" t="s">
        <v>188</v>
      </c>
    </row>
    <row r="16" spans="1:10" ht="14.5">
      <c r="A16" s="98" t="s">
        <v>136</v>
      </c>
      <c r="B16" s="98" t="s">
        <v>19</v>
      </c>
      <c r="C16" s="98" t="s">
        <v>19</v>
      </c>
      <c r="D16" s="98" t="s">
        <v>294</v>
      </c>
      <c r="E16" s="98" t="s">
        <v>138</v>
      </c>
      <c r="F16" s="99" t="str">
        <f>VLOOKUP(E16,[2]Lookup!F:G,2,0)</f>
        <v>CNNGB</v>
      </c>
      <c r="G16" s="100">
        <v>870</v>
      </c>
      <c r="H16" s="100">
        <v>1025</v>
      </c>
      <c r="I16" s="100">
        <v>1025</v>
      </c>
      <c r="J16" s="101" t="s">
        <v>188</v>
      </c>
    </row>
    <row r="17" spans="1:10" ht="14.5">
      <c r="A17" s="98" t="s">
        <v>136</v>
      </c>
      <c r="B17" s="98" t="s">
        <v>19</v>
      </c>
      <c r="C17" s="98" t="s">
        <v>19</v>
      </c>
      <c r="D17" s="98" t="s">
        <v>294</v>
      </c>
      <c r="E17" s="98" t="s">
        <v>187</v>
      </c>
      <c r="F17" s="99" t="str">
        <f>VLOOKUP(E17,[2]Lookup!F:G,2,0)</f>
        <v>CNYTN</v>
      </c>
      <c r="G17" s="100">
        <v>865</v>
      </c>
      <c r="H17" s="100">
        <v>910</v>
      </c>
      <c r="I17" s="100">
        <v>910</v>
      </c>
      <c r="J17" s="101" t="s">
        <v>188</v>
      </c>
    </row>
    <row r="18" spans="1:10" ht="45" customHeight="1">
      <c r="A18" s="98" t="s">
        <v>136</v>
      </c>
      <c r="B18" s="98" t="s">
        <v>19</v>
      </c>
      <c r="C18" s="98" t="s">
        <v>19</v>
      </c>
      <c r="D18" s="98" t="s">
        <v>294</v>
      </c>
      <c r="E18" s="106" t="s">
        <v>255</v>
      </c>
      <c r="F18" s="99" t="str">
        <f>VLOOKUP(LEFT(E18,7),[2]Lookup!F:G,2,0)</f>
        <v>CNQZH</v>
      </c>
      <c r="G18" s="100">
        <v>400</v>
      </c>
      <c r="H18" s="100">
        <v>495</v>
      </c>
      <c r="I18" s="100">
        <v>495</v>
      </c>
      <c r="J18" s="101" t="s">
        <v>188</v>
      </c>
    </row>
    <row r="19" spans="1:10" ht="44.15" customHeight="1">
      <c r="A19" s="98" t="s">
        <v>136</v>
      </c>
      <c r="B19" s="98" t="s">
        <v>19</v>
      </c>
      <c r="C19" s="98" t="s">
        <v>19</v>
      </c>
      <c r="D19" s="98" t="s">
        <v>294</v>
      </c>
      <c r="E19" s="106" t="s">
        <v>256</v>
      </c>
      <c r="F19" s="99" t="str">
        <f>VLOOKUP(LEFT(E19,7),[2]Lookup!F:G,2,0)</f>
        <v>CNQZH</v>
      </c>
      <c r="G19" s="151" t="s">
        <v>257</v>
      </c>
      <c r="H19" s="152"/>
      <c r="I19" s="153"/>
      <c r="J19" s="101" t="s">
        <v>188</v>
      </c>
    </row>
    <row r="20" spans="1:10">
      <c r="A20" s="98" t="s">
        <v>269</v>
      </c>
      <c r="B20" s="98" t="s">
        <v>135</v>
      </c>
      <c r="C20" s="98" t="s">
        <v>295</v>
      </c>
      <c r="D20" s="98" t="s">
        <v>296</v>
      </c>
      <c r="E20" s="98" t="s">
        <v>133</v>
      </c>
      <c r="F20" s="98" t="str">
        <f>VLOOKUP(E20,[2]Lookup!F:G,2,0)</f>
        <v>CNSHA</v>
      </c>
      <c r="G20" s="100">
        <v>320</v>
      </c>
      <c r="H20" s="100">
        <v>320</v>
      </c>
      <c r="I20" s="100">
        <v>320</v>
      </c>
      <c r="J20" s="126"/>
    </row>
    <row r="21" spans="1:10">
      <c r="A21" s="98" t="s">
        <v>134</v>
      </c>
      <c r="B21" s="98" t="s">
        <v>283</v>
      </c>
      <c r="C21" s="98" t="s">
        <v>297</v>
      </c>
      <c r="D21" s="98" t="s">
        <v>298</v>
      </c>
      <c r="E21" s="98" t="s">
        <v>268</v>
      </c>
      <c r="F21" s="99" t="str">
        <f>VLOOKUP(E21,[2]Lookup!F:G,2,0)</f>
        <v>CNSHA</v>
      </c>
      <c r="G21" s="100">
        <v>260</v>
      </c>
      <c r="H21" s="100">
        <v>420</v>
      </c>
      <c r="I21" s="100">
        <v>420</v>
      </c>
      <c r="J21" s="126"/>
    </row>
    <row r="22" spans="1:10">
      <c r="A22" s="98" t="s">
        <v>136</v>
      </c>
      <c r="B22" s="98" t="s">
        <v>137</v>
      </c>
      <c r="C22" s="98" t="s">
        <v>236</v>
      </c>
      <c r="D22" s="98" t="s">
        <v>237</v>
      </c>
      <c r="E22" s="98" t="s">
        <v>133</v>
      </c>
      <c r="F22" s="99" t="str">
        <f>VLOOKUP(E22,[2]Lookup!F:G,2,0)</f>
        <v>CNSHA</v>
      </c>
      <c r="G22" s="100">
        <v>225</v>
      </c>
      <c r="H22" s="100">
        <v>255</v>
      </c>
      <c r="I22" s="100">
        <v>260</v>
      </c>
      <c r="J22" s="126"/>
    </row>
    <row r="23" spans="1:10">
      <c r="A23" s="98" t="s">
        <v>134</v>
      </c>
      <c r="B23" s="98" t="s">
        <v>135</v>
      </c>
      <c r="C23" s="98" t="s">
        <v>299</v>
      </c>
      <c r="D23" s="98" t="s">
        <v>300</v>
      </c>
      <c r="E23" s="98" t="s">
        <v>133</v>
      </c>
      <c r="F23" s="99" t="str">
        <f>VLOOKUP(E23,[2]Lookup!F:G,2,0)</f>
        <v>CNSHA</v>
      </c>
      <c r="G23" s="100">
        <v>105</v>
      </c>
      <c r="H23" s="100">
        <v>500</v>
      </c>
      <c r="I23" s="100">
        <v>460</v>
      </c>
      <c r="J23" s="126"/>
    </row>
    <row r="24" spans="1:10">
      <c r="A24" s="98" t="s">
        <v>269</v>
      </c>
      <c r="B24" s="98" t="s">
        <v>135</v>
      </c>
      <c r="C24" s="98" t="s">
        <v>139</v>
      </c>
      <c r="D24" s="98" t="s">
        <v>300</v>
      </c>
      <c r="E24" s="98" t="s">
        <v>133</v>
      </c>
      <c r="F24" s="99" t="str">
        <f>VLOOKUP(E24,[2]Lookup!F:G,2,0)</f>
        <v>CNSHA</v>
      </c>
      <c r="G24" s="100">
        <v>335</v>
      </c>
      <c r="H24" s="100">
        <v>345</v>
      </c>
      <c r="I24" s="100">
        <v>345</v>
      </c>
      <c r="J24" s="126"/>
    </row>
    <row r="25" spans="1:10">
      <c r="A25" s="98" t="s">
        <v>134</v>
      </c>
      <c r="B25" s="98" t="s">
        <v>137</v>
      </c>
      <c r="C25" s="98" t="s">
        <v>301</v>
      </c>
      <c r="D25" s="98" t="s">
        <v>302</v>
      </c>
      <c r="E25" s="98" t="s">
        <v>133</v>
      </c>
      <c r="F25" s="99" t="str">
        <f>VLOOKUP(E25,[2]Lookup!F:G,2,0)</f>
        <v>CNSHA</v>
      </c>
      <c r="G25" s="100">
        <v>235</v>
      </c>
      <c r="H25" s="100">
        <v>365</v>
      </c>
      <c r="I25" s="100">
        <v>365</v>
      </c>
      <c r="J25" s="126"/>
    </row>
    <row r="26" spans="1:10">
      <c r="A26" s="98" t="s">
        <v>269</v>
      </c>
      <c r="B26" s="98" t="s">
        <v>283</v>
      </c>
      <c r="C26" s="98" t="s">
        <v>303</v>
      </c>
      <c r="D26" s="98" t="s">
        <v>302</v>
      </c>
      <c r="E26" s="98" t="s">
        <v>133</v>
      </c>
      <c r="F26" s="99" t="str">
        <f>VLOOKUP(E26,[2]Lookup!F:G,2,0)</f>
        <v>CNSHA</v>
      </c>
      <c r="G26" s="100">
        <v>375</v>
      </c>
      <c r="H26" s="100">
        <v>360</v>
      </c>
      <c r="I26" s="100">
        <v>360</v>
      </c>
      <c r="J26" s="126"/>
    </row>
    <row r="27" spans="1:10">
      <c r="A27" s="98" t="s">
        <v>136</v>
      </c>
      <c r="B27" s="98" t="s">
        <v>135</v>
      </c>
      <c r="C27" s="98" t="s">
        <v>238</v>
      </c>
      <c r="D27" s="98" t="s">
        <v>239</v>
      </c>
      <c r="E27" s="98" t="s">
        <v>133</v>
      </c>
      <c r="F27" s="99" t="str">
        <f>VLOOKUP(E27,[2]Lookup!F:G,2,0)</f>
        <v>CNSHA</v>
      </c>
      <c r="G27" s="100">
        <v>290</v>
      </c>
      <c r="H27" s="100">
        <v>315</v>
      </c>
      <c r="I27" s="100">
        <v>315</v>
      </c>
      <c r="J27" s="125"/>
    </row>
    <row r="28" spans="1:10">
      <c r="A28" s="98" t="s">
        <v>134</v>
      </c>
      <c r="B28" s="98" t="s">
        <v>304</v>
      </c>
      <c r="C28" s="98" t="s">
        <v>305</v>
      </c>
      <c r="D28" s="98" t="s">
        <v>306</v>
      </c>
      <c r="E28" s="98" t="s">
        <v>133</v>
      </c>
      <c r="F28" s="99" t="str">
        <f>VLOOKUP(E28,[2]Lookup!F:G,2,0)</f>
        <v>CNSHA</v>
      </c>
      <c r="G28" s="100">
        <v>185</v>
      </c>
      <c r="H28" s="100">
        <v>385</v>
      </c>
      <c r="I28" s="100">
        <v>385</v>
      </c>
      <c r="J28" s="126"/>
    </row>
    <row r="29" spans="1:10">
      <c r="A29" s="98" t="s">
        <v>134</v>
      </c>
      <c r="B29" s="98" t="s">
        <v>137</v>
      </c>
      <c r="C29" s="98" t="s">
        <v>307</v>
      </c>
      <c r="D29" s="98" t="s">
        <v>308</v>
      </c>
      <c r="E29" s="98" t="s">
        <v>133</v>
      </c>
      <c r="F29" s="99" t="str">
        <f>VLOOKUP(E29,[2]Lookup!F:G,2,0)</f>
        <v>CNSHA</v>
      </c>
      <c r="G29" s="100">
        <v>130</v>
      </c>
      <c r="H29" s="100">
        <v>255</v>
      </c>
      <c r="I29" s="100">
        <v>255</v>
      </c>
      <c r="J29" s="125"/>
    </row>
    <row r="30" spans="1:10">
      <c r="A30" s="98" t="s">
        <v>134</v>
      </c>
      <c r="B30" s="98" t="s">
        <v>137</v>
      </c>
      <c r="C30" s="107" t="s">
        <v>307</v>
      </c>
      <c r="D30" s="107" t="s">
        <v>308</v>
      </c>
      <c r="E30" s="98" t="s">
        <v>138</v>
      </c>
      <c r="F30" s="99" t="str">
        <f>VLOOKUP(E30,[2]Lookup!F:G,2,0)</f>
        <v>CNNGB</v>
      </c>
      <c r="G30" s="100">
        <v>160</v>
      </c>
      <c r="H30" s="100">
        <v>135</v>
      </c>
      <c r="I30" s="100">
        <v>135</v>
      </c>
      <c r="J30" s="126"/>
    </row>
    <row r="31" spans="1:10">
      <c r="A31" s="98" t="s">
        <v>309</v>
      </c>
      <c r="B31" s="98" t="s">
        <v>304</v>
      </c>
      <c r="C31" s="98" t="s">
        <v>310</v>
      </c>
      <c r="D31" s="98" t="s">
        <v>311</v>
      </c>
      <c r="E31" s="98" t="s">
        <v>133</v>
      </c>
      <c r="F31" s="99" t="str">
        <f>VLOOKUP(E31,[2]Lookup!F:G,2,0)</f>
        <v>CNSHA</v>
      </c>
      <c r="G31" s="100">
        <v>250</v>
      </c>
      <c r="H31" s="100">
        <v>675</v>
      </c>
      <c r="I31" s="100">
        <v>675</v>
      </c>
      <c r="J31" s="126"/>
    </row>
    <row r="32" spans="1:10">
      <c r="A32" s="98" t="s">
        <v>134</v>
      </c>
      <c r="B32" s="98" t="s">
        <v>312</v>
      </c>
      <c r="C32" s="98" t="s">
        <v>313</v>
      </c>
      <c r="D32" s="98" t="s">
        <v>314</v>
      </c>
      <c r="E32" s="98" t="s">
        <v>133</v>
      </c>
      <c r="F32" s="99" t="str">
        <f>VLOOKUP(E32,[2]Lookup!F:G,2,0)</f>
        <v>CNSHA</v>
      </c>
      <c r="G32" s="100">
        <v>140</v>
      </c>
      <c r="H32" s="100">
        <v>345</v>
      </c>
      <c r="I32" s="100">
        <v>345</v>
      </c>
      <c r="J32" s="125"/>
    </row>
    <row r="33" spans="1:10">
      <c r="A33" s="98" t="s">
        <v>134</v>
      </c>
      <c r="B33" s="98" t="s">
        <v>137</v>
      </c>
      <c r="C33" s="98" t="s">
        <v>315</v>
      </c>
      <c r="D33" s="98" t="s">
        <v>316</v>
      </c>
      <c r="E33" s="98" t="s">
        <v>133</v>
      </c>
      <c r="F33" s="99" t="str">
        <f>VLOOKUP(E33,[2]Lookup!F:G,2,0)</f>
        <v>CNSHA</v>
      </c>
      <c r="G33" s="100">
        <v>100</v>
      </c>
      <c r="H33" s="100">
        <v>200</v>
      </c>
      <c r="I33" s="100">
        <v>200</v>
      </c>
      <c r="J33" s="125"/>
    </row>
    <row r="34" spans="1:10" ht="14.5">
      <c r="A34" s="98" t="s">
        <v>134</v>
      </c>
      <c r="B34" s="98" t="s">
        <v>137</v>
      </c>
      <c r="C34" s="98" t="s">
        <v>16</v>
      </c>
      <c r="D34" s="98" t="s">
        <v>316</v>
      </c>
      <c r="E34" s="98" t="s">
        <v>138</v>
      </c>
      <c r="F34" s="99" t="str">
        <f>VLOOKUP(E34,[2]Lookup!F:G,2,0)</f>
        <v>CNNGB</v>
      </c>
      <c r="G34" s="100">
        <v>85</v>
      </c>
      <c r="H34" s="100">
        <v>255</v>
      </c>
      <c r="I34" s="100">
        <v>255</v>
      </c>
      <c r="J34" s="94"/>
    </row>
    <row r="35" spans="1:10">
      <c r="A35" s="98" t="s">
        <v>134</v>
      </c>
      <c r="B35" s="98" t="s">
        <v>137</v>
      </c>
      <c r="C35" s="98" t="s">
        <v>16</v>
      </c>
      <c r="D35" s="98" t="s">
        <v>316</v>
      </c>
      <c r="E35" s="98" t="s">
        <v>142</v>
      </c>
      <c r="F35" s="99" t="str">
        <f>VLOOKUP(E35,[2]Lookup!F:G,2,0)</f>
        <v>CNTAO</v>
      </c>
      <c r="G35" s="100">
        <v>15</v>
      </c>
      <c r="H35" s="100">
        <v>165</v>
      </c>
      <c r="I35" s="100">
        <v>165</v>
      </c>
      <c r="J35" s="126"/>
    </row>
    <row r="36" spans="1:10">
      <c r="A36" s="98" t="s">
        <v>134</v>
      </c>
      <c r="B36" s="98" t="s">
        <v>137</v>
      </c>
      <c r="C36" s="98" t="s">
        <v>315</v>
      </c>
      <c r="D36" s="98" t="s">
        <v>316</v>
      </c>
      <c r="E36" s="98" t="s">
        <v>240</v>
      </c>
      <c r="F36" s="99" t="str">
        <f>VLOOKUP(E36,[2]Lookup!F:G,2,0)</f>
        <v>KRPUS</v>
      </c>
      <c r="G36" s="100">
        <v>100</v>
      </c>
      <c r="H36" s="100">
        <v>200</v>
      </c>
      <c r="I36" s="100">
        <v>200</v>
      </c>
      <c r="J36" s="126"/>
    </row>
    <row r="37" spans="1:10">
      <c r="A37" s="98" t="s">
        <v>136</v>
      </c>
      <c r="B37" s="98" t="s">
        <v>135</v>
      </c>
      <c r="C37" s="98" t="s">
        <v>241</v>
      </c>
      <c r="D37" s="98" t="s">
        <v>242</v>
      </c>
      <c r="E37" s="98" t="s">
        <v>133</v>
      </c>
      <c r="F37" s="99" t="str">
        <f>VLOOKUP(E37,[2]Lookup!F:G,2,0)</f>
        <v>CNSHA</v>
      </c>
      <c r="G37" s="100">
        <v>390</v>
      </c>
      <c r="H37" s="100">
        <v>400</v>
      </c>
      <c r="I37" s="100">
        <v>400</v>
      </c>
      <c r="J37" s="126"/>
    </row>
    <row r="38" spans="1:10">
      <c r="A38" s="98" t="s">
        <v>134</v>
      </c>
      <c r="B38" s="98" t="s">
        <v>287</v>
      </c>
      <c r="C38" s="98" t="s">
        <v>317</v>
      </c>
      <c r="D38" s="98" t="s">
        <v>318</v>
      </c>
      <c r="E38" s="98" t="s">
        <v>133</v>
      </c>
      <c r="F38" s="99" t="str">
        <f>VLOOKUP(E38,[2]Lookup!F:G,2,0)</f>
        <v>CNSHA</v>
      </c>
      <c r="G38" s="100">
        <v>220</v>
      </c>
      <c r="H38" s="100">
        <v>870</v>
      </c>
      <c r="I38" s="100">
        <v>870</v>
      </c>
      <c r="J38" s="125"/>
    </row>
    <row r="39" spans="1:10">
      <c r="A39" s="98" t="s">
        <v>134</v>
      </c>
      <c r="B39" s="98" t="s">
        <v>135</v>
      </c>
      <c r="C39" s="98" t="s">
        <v>319</v>
      </c>
      <c r="D39" s="98" t="s">
        <v>320</v>
      </c>
      <c r="E39" s="98" t="s">
        <v>133</v>
      </c>
      <c r="F39" s="99" t="str">
        <f>VLOOKUP(E39,[2]Lookup!F:G,2,0)</f>
        <v>CNSHA</v>
      </c>
      <c r="G39" s="100">
        <v>240</v>
      </c>
      <c r="H39" s="100">
        <v>295</v>
      </c>
      <c r="I39" s="100">
        <v>295</v>
      </c>
      <c r="J39" s="125"/>
    </row>
    <row r="40" spans="1:10">
      <c r="A40" s="98" t="s">
        <v>134</v>
      </c>
      <c r="B40" s="98" t="s">
        <v>312</v>
      </c>
      <c r="C40" s="98" t="s">
        <v>321</v>
      </c>
      <c r="D40" s="98" t="s">
        <v>322</v>
      </c>
      <c r="E40" s="98" t="s">
        <v>133</v>
      </c>
      <c r="F40" s="99" t="str">
        <f>VLOOKUP(E40,[2]Lookup!F:G,2,0)</f>
        <v>CNSHA</v>
      </c>
      <c r="G40" s="100">
        <v>190</v>
      </c>
      <c r="H40" s="100">
        <v>320</v>
      </c>
      <c r="I40" s="100">
        <v>605</v>
      </c>
      <c r="J40" s="125"/>
    </row>
    <row r="41" spans="1:10">
      <c r="A41" s="98" t="s">
        <v>269</v>
      </c>
      <c r="B41" s="98" t="s">
        <v>141</v>
      </c>
      <c r="C41" s="98" t="s">
        <v>323</v>
      </c>
      <c r="D41" s="98" t="s">
        <v>322</v>
      </c>
      <c r="E41" s="98" t="s">
        <v>324</v>
      </c>
      <c r="F41" s="99" t="str">
        <f>VLOOKUP(E41,[2]Lookup!F:G,2,0)</f>
        <v>CNNGB</v>
      </c>
      <c r="G41" s="100">
        <v>595</v>
      </c>
      <c r="H41" s="100">
        <v>810</v>
      </c>
      <c r="I41" s="100">
        <v>810</v>
      </c>
      <c r="J41" s="125"/>
    </row>
    <row r="42" spans="1:10" ht="14.5">
      <c r="A42" s="98" t="s">
        <v>136</v>
      </c>
      <c r="B42" s="98" t="s">
        <v>140</v>
      </c>
      <c r="C42" s="98" t="s">
        <v>323</v>
      </c>
      <c r="D42" s="98" t="s">
        <v>191</v>
      </c>
      <c r="E42" s="98" t="s">
        <v>187</v>
      </c>
      <c r="F42" s="99" t="str">
        <f>VLOOKUP(E42,[2]Lookup!F:G,2,0)</f>
        <v>CNYTN</v>
      </c>
      <c r="G42" s="100">
        <v>650</v>
      </c>
      <c r="H42" s="100">
        <v>830</v>
      </c>
      <c r="I42" s="100">
        <v>830</v>
      </c>
      <c r="J42" s="127" t="s">
        <v>325</v>
      </c>
    </row>
    <row r="43" spans="1:10" ht="14.5">
      <c r="A43" s="98" t="s">
        <v>136</v>
      </c>
      <c r="B43" s="98" t="s">
        <v>140</v>
      </c>
      <c r="C43" s="98" t="s">
        <v>323</v>
      </c>
      <c r="D43" s="98" t="s">
        <v>191</v>
      </c>
      <c r="E43" s="98" t="s">
        <v>189</v>
      </c>
      <c r="F43" s="99" t="str">
        <f>VLOOKUP(E43,[2]Lookup!F:G,2,0)</f>
        <v>CNSHK</v>
      </c>
      <c r="G43" s="100">
        <v>650</v>
      </c>
      <c r="H43" s="100">
        <v>830</v>
      </c>
      <c r="I43" s="100">
        <v>830</v>
      </c>
      <c r="J43" s="127" t="s">
        <v>325</v>
      </c>
    </row>
    <row r="44" spans="1:10" ht="14.5">
      <c r="A44" s="98" t="s">
        <v>136</v>
      </c>
      <c r="B44" s="98" t="s">
        <v>140</v>
      </c>
      <c r="C44" s="98" t="s">
        <v>323</v>
      </c>
      <c r="D44" s="98" t="s">
        <v>191</v>
      </c>
      <c r="E44" s="98" t="s">
        <v>326</v>
      </c>
      <c r="F44" s="99" t="str">
        <f>VLOOKUP(E44,[2]Lookup!F:G,2,0)</f>
        <v>CNNSA</v>
      </c>
      <c r="G44" s="100">
        <v>625</v>
      </c>
      <c r="H44" s="100">
        <v>840</v>
      </c>
      <c r="I44" s="100">
        <v>840</v>
      </c>
      <c r="J44" s="127" t="s">
        <v>325</v>
      </c>
    </row>
    <row r="45" spans="1:10" ht="14.5">
      <c r="A45" s="98" t="s">
        <v>136</v>
      </c>
      <c r="B45" s="98" t="s">
        <v>140</v>
      </c>
      <c r="C45" s="98" t="s">
        <v>18</v>
      </c>
      <c r="D45" s="98" t="s">
        <v>191</v>
      </c>
      <c r="E45" s="98" t="s">
        <v>234</v>
      </c>
      <c r="F45" s="99" t="str">
        <f>VLOOKUP(E45,[2]Lookup!F:G,2,0)</f>
        <v>CNXMN</v>
      </c>
      <c r="G45" s="100">
        <v>485</v>
      </c>
      <c r="H45" s="100">
        <v>645</v>
      </c>
      <c r="I45" s="100">
        <v>645</v>
      </c>
      <c r="J45" s="127" t="s">
        <v>325</v>
      </c>
    </row>
    <row r="46" spans="1:10">
      <c r="A46" s="98" t="s">
        <v>134</v>
      </c>
      <c r="B46" s="98" t="s">
        <v>137</v>
      </c>
      <c r="C46" s="98" t="s">
        <v>327</v>
      </c>
      <c r="D46" s="98" t="s">
        <v>328</v>
      </c>
      <c r="E46" s="98" t="s">
        <v>133</v>
      </c>
      <c r="F46" s="99" t="str">
        <f>VLOOKUP(E46,[2]Lookup!F:G,2,0)</f>
        <v>CNSHA</v>
      </c>
      <c r="G46" s="100">
        <v>220</v>
      </c>
      <c r="H46" s="100">
        <v>400</v>
      </c>
      <c r="I46" s="100">
        <v>400</v>
      </c>
      <c r="J46" s="126"/>
    </row>
    <row r="47" spans="1:10" ht="14.5">
      <c r="A47" s="98" t="s">
        <v>134</v>
      </c>
      <c r="B47" s="98" t="s">
        <v>137</v>
      </c>
      <c r="C47" s="107" t="s">
        <v>327</v>
      </c>
      <c r="D47" s="107" t="s">
        <v>328</v>
      </c>
      <c r="E47" s="98" t="s">
        <v>138</v>
      </c>
      <c r="F47" s="99" t="str">
        <f>VLOOKUP(E47,[2]Lookup!F:G,2,0)</f>
        <v>CNNGB</v>
      </c>
      <c r="G47" s="100">
        <v>250</v>
      </c>
      <c r="H47" s="100">
        <v>280</v>
      </c>
      <c r="I47" s="100">
        <v>280</v>
      </c>
      <c r="J47" s="94"/>
    </row>
    <row r="48" spans="1:10">
      <c r="A48" s="98" t="s">
        <v>134</v>
      </c>
      <c r="B48" s="98" t="s">
        <v>137</v>
      </c>
      <c r="C48" s="98" t="s">
        <v>329</v>
      </c>
      <c r="D48" s="98" t="s">
        <v>330</v>
      </c>
      <c r="E48" s="98" t="s">
        <v>133</v>
      </c>
      <c r="F48" s="99" t="str">
        <f>VLOOKUP(E48,[2]Lookup!F:G,2,0)</f>
        <v>CNSHA</v>
      </c>
      <c r="G48" s="100">
        <v>155</v>
      </c>
      <c r="H48" s="100">
        <v>380</v>
      </c>
      <c r="I48" s="100">
        <v>380</v>
      </c>
      <c r="J48" s="126"/>
    </row>
    <row r="49" spans="1:10" ht="14.5">
      <c r="A49" s="98" t="s">
        <v>134</v>
      </c>
      <c r="B49" s="98" t="s">
        <v>137</v>
      </c>
      <c r="C49" s="107" t="s">
        <v>329</v>
      </c>
      <c r="D49" s="107" t="s">
        <v>330</v>
      </c>
      <c r="E49" s="98" t="s">
        <v>138</v>
      </c>
      <c r="F49" s="99" t="str">
        <f>VLOOKUP(E49,[2]Lookup!F:G,2,0)</f>
        <v>CNNGB</v>
      </c>
      <c r="G49" s="100">
        <v>185</v>
      </c>
      <c r="H49" s="100">
        <v>260</v>
      </c>
      <c r="I49" s="100">
        <v>260</v>
      </c>
      <c r="J49" s="94"/>
    </row>
    <row r="50" spans="1:10" ht="14.5">
      <c r="A50" s="98" t="s">
        <v>134</v>
      </c>
      <c r="B50" s="98" t="s">
        <v>143</v>
      </c>
      <c r="C50" s="98" t="s">
        <v>144</v>
      </c>
      <c r="D50" s="98" t="s">
        <v>331</v>
      </c>
      <c r="E50" s="98" t="s">
        <v>142</v>
      </c>
      <c r="F50" s="99" t="str">
        <f>VLOOKUP(E50,[2]Lookup!F:G,2,0)</f>
        <v>CNTAO</v>
      </c>
      <c r="G50" s="100">
        <v>50</v>
      </c>
      <c r="H50" s="100">
        <v>80</v>
      </c>
      <c r="I50" s="100">
        <v>80</v>
      </c>
      <c r="J50" s="94"/>
    </row>
    <row r="51" spans="1:10">
      <c r="A51" s="98" t="s">
        <v>134</v>
      </c>
      <c r="B51" s="98" t="s">
        <v>137</v>
      </c>
      <c r="C51" s="98" t="s">
        <v>332</v>
      </c>
      <c r="D51" s="98" t="s">
        <v>333</v>
      </c>
      <c r="E51" s="98" t="s">
        <v>133</v>
      </c>
      <c r="F51" s="98" t="str">
        <f>VLOOKUP(E51,[2]Lookup!F:G,2,0)</f>
        <v>CNSHA</v>
      </c>
      <c r="G51" s="100">
        <v>135</v>
      </c>
      <c r="H51" s="100">
        <v>235</v>
      </c>
      <c r="I51" s="100">
        <v>285</v>
      </c>
      <c r="J51" s="126"/>
    </row>
    <row r="52" spans="1:10">
      <c r="A52" s="98" t="s">
        <v>134</v>
      </c>
      <c r="B52" s="98" t="s">
        <v>143</v>
      </c>
      <c r="C52" s="98" t="s">
        <v>145</v>
      </c>
      <c r="D52" s="98" t="s">
        <v>334</v>
      </c>
      <c r="E52" s="98" t="s">
        <v>142</v>
      </c>
      <c r="F52" s="99" t="str">
        <f>VLOOKUP(E52,[2]Lookup!F:G,2,0)</f>
        <v>CNTAO</v>
      </c>
      <c r="G52" s="100">
        <v>10</v>
      </c>
      <c r="H52" s="100">
        <v>35</v>
      </c>
      <c r="I52" s="100">
        <v>35</v>
      </c>
      <c r="J52" s="125"/>
    </row>
    <row r="53" spans="1:10">
      <c r="A53" s="119" t="s">
        <v>134</v>
      </c>
      <c r="B53" s="120" t="s">
        <v>283</v>
      </c>
      <c r="C53" s="121" t="s">
        <v>335</v>
      </c>
      <c r="D53" s="122" t="s">
        <v>336</v>
      </c>
      <c r="E53" s="122" t="s">
        <v>268</v>
      </c>
      <c r="F53" s="99" t="str">
        <f>VLOOKUP(E53,[2]Lookup!F:G,2,0)</f>
        <v>CNSHA</v>
      </c>
      <c r="G53" s="100">
        <v>170</v>
      </c>
      <c r="H53" s="100">
        <v>415</v>
      </c>
      <c r="I53" s="100">
        <v>220</v>
      </c>
      <c r="J53" s="125"/>
    </row>
    <row r="54" spans="1:10" ht="14.5">
      <c r="A54" s="98" t="s">
        <v>134</v>
      </c>
      <c r="B54" s="98" t="s">
        <v>137</v>
      </c>
      <c r="C54" s="98" t="s">
        <v>337</v>
      </c>
      <c r="D54" s="98" t="s">
        <v>338</v>
      </c>
      <c r="E54" s="98" t="s">
        <v>133</v>
      </c>
      <c r="F54" s="99" t="str">
        <f>VLOOKUP(E54,[2]Lookup!F:G,2,0)</f>
        <v>CNSHA</v>
      </c>
      <c r="G54" s="100">
        <v>190</v>
      </c>
      <c r="H54" s="100">
        <v>125</v>
      </c>
      <c r="I54" s="100">
        <v>415</v>
      </c>
      <c r="J54" s="94"/>
    </row>
    <row r="55" spans="1:10">
      <c r="A55" s="98" t="s">
        <v>134</v>
      </c>
      <c r="B55" s="98" t="s">
        <v>137</v>
      </c>
      <c r="C55" s="107" t="s">
        <v>337</v>
      </c>
      <c r="D55" s="107" t="s">
        <v>338</v>
      </c>
      <c r="E55" s="98" t="s">
        <v>138</v>
      </c>
      <c r="F55" s="99" t="str">
        <f>VLOOKUP(E55,[2]Lookup!F:G,2,0)</f>
        <v>CNNGB</v>
      </c>
      <c r="G55" s="100">
        <v>160</v>
      </c>
      <c r="H55" s="100">
        <v>60</v>
      </c>
      <c r="I55" s="100">
        <v>215</v>
      </c>
      <c r="J55" s="128"/>
    </row>
    <row r="56" spans="1:10">
      <c r="A56" s="98" t="s">
        <v>134</v>
      </c>
      <c r="B56" s="98" t="s">
        <v>137</v>
      </c>
      <c r="C56" s="98" t="s">
        <v>339</v>
      </c>
      <c r="D56" s="98" t="s">
        <v>340</v>
      </c>
      <c r="E56" s="98" t="s">
        <v>268</v>
      </c>
      <c r="F56" s="99" t="str">
        <f>VLOOKUP(E56,[2]Lookup!F:G,2,0)</f>
        <v>CNSHA</v>
      </c>
      <c r="G56" s="100">
        <v>135</v>
      </c>
      <c r="H56" s="100">
        <v>380</v>
      </c>
      <c r="I56" s="100">
        <v>380</v>
      </c>
      <c r="J56" s="125"/>
    </row>
    <row r="57" spans="1:10">
      <c r="A57" s="98" t="s">
        <v>136</v>
      </c>
      <c r="B57" s="98" t="s">
        <v>341</v>
      </c>
      <c r="C57" s="98" t="s">
        <v>342</v>
      </c>
      <c r="D57" s="98" t="s">
        <v>343</v>
      </c>
      <c r="E57" s="98" t="s">
        <v>275</v>
      </c>
      <c r="F57" s="99" t="str">
        <f>VLOOKUP(E57,[2]Lookup!F:G,2,0)</f>
        <v>CNDLC</v>
      </c>
      <c r="G57" s="100">
        <v>445</v>
      </c>
      <c r="H57" s="100">
        <v>670</v>
      </c>
      <c r="I57" s="100">
        <v>670</v>
      </c>
      <c r="J57" s="126"/>
    </row>
    <row r="58" spans="1:10">
      <c r="A58" s="98" t="s">
        <v>134</v>
      </c>
      <c r="B58" s="98" t="s">
        <v>143</v>
      </c>
      <c r="C58" s="98" t="s">
        <v>146</v>
      </c>
      <c r="D58" s="98" t="s">
        <v>344</v>
      </c>
      <c r="E58" s="98" t="s">
        <v>142</v>
      </c>
      <c r="F58" s="99" t="str">
        <f>VLOOKUP(E58,[2]Lookup!F:G,2,0)</f>
        <v>CNTAO</v>
      </c>
      <c r="G58" s="100">
        <v>80</v>
      </c>
      <c r="H58" s="100">
        <v>220</v>
      </c>
      <c r="I58" s="100">
        <v>220</v>
      </c>
      <c r="J58" s="125"/>
    </row>
    <row r="59" spans="1:10">
      <c r="A59" s="98" t="s">
        <v>134</v>
      </c>
      <c r="B59" s="98" t="s">
        <v>132</v>
      </c>
      <c r="C59" s="98" t="s">
        <v>21</v>
      </c>
      <c r="D59" s="98" t="s">
        <v>345</v>
      </c>
      <c r="E59" s="98" t="s">
        <v>138</v>
      </c>
      <c r="F59" s="99" t="str">
        <f>VLOOKUP(E59,[2]Lookup!F:G,2,0)</f>
        <v>CNNGB</v>
      </c>
      <c r="G59" s="100">
        <v>105</v>
      </c>
      <c r="H59" s="100">
        <v>175</v>
      </c>
      <c r="I59" s="100">
        <v>315</v>
      </c>
      <c r="J59" s="125"/>
    </row>
    <row r="60" spans="1:10">
      <c r="A60" s="98" t="s">
        <v>134</v>
      </c>
      <c r="B60" s="98" t="s">
        <v>140</v>
      </c>
      <c r="C60" s="98" t="s">
        <v>346</v>
      </c>
      <c r="D60" s="98" t="s">
        <v>347</v>
      </c>
      <c r="E60" s="98" t="s">
        <v>133</v>
      </c>
      <c r="F60" s="99" t="str">
        <f>VLOOKUP(E60,[2]Lookup!F:G,2,0)</f>
        <v>CNSHA</v>
      </c>
      <c r="G60" s="100">
        <v>250</v>
      </c>
      <c r="H60" s="100">
        <v>190</v>
      </c>
      <c r="I60" s="100">
        <v>485</v>
      </c>
      <c r="J60" s="126"/>
    </row>
    <row r="61" spans="1:10">
      <c r="A61" s="98" t="s">
        <v>269</v>
      </c>
      <c r="B61" s="98" t="s">
        <v>140</v>
      </c>
      <c r="C61" s="98" t="s">
        <v>348</v>
      </c>
      <c r="D61" s="98" t="s">
        <v>347</v>
      </c>
      <c r="E61" s="98" t="s">
        <v>324</v>
      </c>
      <c r="F61" s="99" t="str">
        <f>VLOOKUP(E61,[2]Lookup!F:G,2,0)</f>
        <v>CNNGB</v>
      </c>
      <c r="G61" s="100">
        <v>510</v>
      </c>
      <c r="H61" s="100">
        <v>575</v>
      </c>
      <c r="I61" s="100">
        <v>575</v>
      </c>
      <c r="J61" s="126"/>
    </row>
    <row r="62" spans="1:10">
      <c r="A62" s="98" t="s">
        <v>136</v>
      </c>
      <c r="B62" s="98" t="s">
        <v>140</v>
      </c>
      <c r="C62" s="98" t="s">
        <v>348</v>
      </c>
      <c r="D62" s="98" t="s">
        <v>347</v>
      </c>
      <c r="E62" s="98" t="s">
        <v>349</v>
      </c>
      <c r="F62" s="99" t="str">
        <f>VLOOKUP(E62,[2]Lookup!F:G,2,0)</f>
        <v>CNXMN</v>
      </c>
      <c r="G62" s="100">
        <v>630</v>
      </c>
      <c r="H62" s="100">
        <v>710</v>
      </c>
      <c r="I62" s="100">
        <v>710</v>
      </c>
      <c r="J62" s="125"/>
    </row>
    <row r="63" spans="1:10">
      <c r="A63" s="98" t="s">
        <v>134</v>
      </c>
      <c r="B63" s="98" t="s">
        <v>135</v>
      </c>
      <c r="C63" s="98" t="s">
        <v>350</v>
      </c>
      <c r="D63" s="98" t="s">
        <v>351</v>
      </c>
      <c r="E63" s="98" t="s">
        <v>268</v>
      </c>
      <c r="F63" s="99" t="str">
        <f>VLOOKUP(E63,[2]Lookup!F:G,2,0)</f>
        <v>CNSHA</v>
      </c>
      <c r="G63" s="100">
        <v>240</v>
      </c>
      <c r="H63" s="100">
        <v>435</v>
      </c>
      <c r="I63" s="100">
        <v>435</v>
      </c>
      <c r="J63" s="126"/>
    </row>
    <row r="64" spans="1:10">
      <c r="A64" s="98" t="s">
        <v>269</v>
      </c>
      <c r="B64" s="98" t="s">
        <v>140</v>
      </c>
      <c r="C64" s="98" t="s">
        <v>352</v>
      </c>
      <c r="D64" s="98" t="s">
        <v>353</v>
      </c>
      <c r="E64" s="98" t="s">
        <v>324</v>
      </c>
      <c r="F64" s="99" t="str">
        <f>VLOOKUP(E64,[2]Lookup!F:G,2,0)</f>
        <v>CNNGB</v>
      </c>
      <c r="G64" s="100">
        <v>555</v>
      </c>
      <c r="H64" s="100">
        <v>770</v>
      </c>
      <c r="I64" s="100">
        <v>770</v>
      </c>
      <c r="J64" s="126"/>
    </row>
    <row r="65" spans="1:10">
      <c r="A65" s="98" t="s">
        <v>136</v>
      </c>
      <c r="B65" s="98" t="s">
        <v>283</v>
      </c>
      <c r="C65" s="98" t="s">
        <v>243</v>
      </c>
      <c r="D65" s="98" t="s">
        <v>354</v>
      </c>
      <c r="E65" s="98" t="s">
        <v>16</v>
      </c>
      <c r="F65" s="99" t="str">
        <f>VLOOKUP(E65,[2]Lookup!F:G,2,0)</f>
        <v>CNLYG</v>
      </c>
      <c r="G65" s="100">
        <v>125</v>
      </c>
      <c r="H65" s="100">
        <v>120</v>
      </c>
      <c r="I65" s="100">
        <v>120</v>
      </c>
      <c r="J65" s="126"/>
    </row>
    <row r="66" spans="1:10" ht="14.5">
      <c r="A66" s="98" t="s">
        <v>136</v>
      </c>
      <c r="B66" s="98" t="s">
        <v>137</v>
      </c>
      <c r="C66" s="98" t="s">
        <v>244</v>
      </c>
      <c r="D66" s="98" t="s">
        <v>245</v>
      </c>
      <c r="E66" s="98" t="s">
        <v>133</v>
      </c>
      <c r="F66" s="99" t="str">
        <f>VLOOKUP(E66,[2]Lookup!F:G,2,0)</f>
        <v>CNSHA</v>
      </c>
      <c r="G66" s="100">
        <v>295</v>
      </c>
      <c r="H66" s="100">
        <v>315</v>
      </c>
      <c r="I66" s="100">
        <v>315</v>
      </c>
      <c r="J66" s="94"/>
    </row>
    <row r="67" spans="1:10">
      <c r="A67" s="98" t="s">
        <v>134</v>
      </c>
      <c r="B67" s="98" t="s">
        <v>137</v>
      </c>
      <c r="C67" s="98" t="s">
        <v>355</v>
      </c>
      <c r="D67" s="98" t="s">
        <v>356</v>
      </c>
      <c r="E67" s="98" t="s">
        <v>268</v>
      </c>
      <c r="F67" s="99" t="str">
        <f>VLOOKUP(E67,[2]Lookup!F:G,2,0)</f>
        <v>CNSHA</v>
      </c>
      <c r="G67" s="100">
        <v>220</v>
      </c>
      <c r="H67" s="100">
        <v>390</v>
      </c>
      <c r="I67" s="100">
        <v>380</v>
      </c>
      <c r="J67" s="125"/>
    </row>
    <row r="68" spans="1:10">
      <c r="A68" s="98" t="s">
        <v>134</v>
      </c>
      <c r="B68" s="98" t="s">
        <v>143</v>
      </c>
      <c r="C68" s="98" t="s">
        <v>17</v>
      </c>
      <c r="D68" s="98" t="s">
        <v>357</v>
      </c>
      <c r="E68" s="98" t="s">
        <v>142</v>
      </c>
      <c r="F68" s="99" t="str">
        <f>VLOOKUP(E68,[2]Lookup!F:G,2,0)</f>
        <v>CNTAO</v>
      </c>
      <c r="G68" s="100">
        <v>140</v>
      </c>
      <c r="H68" s="100">
        <v>125</v>
      </c>
      <c r="I68" s="100">
        <v>125</v>
      </c>
      <c r="J68" s="126"/>
    </row>
    <row r="69" spans="1:10">
      <c r="A69" s="98" t="s">
        <v>134</v>
      </c>
      <c r="B69" s="98" t="s">
        <v>287</v>
      </c>
      <c r="C69" s="98" t="s">
        <v>358</v>
      </c>
      <c r="D69" s="98" t="s">
        <v>359</v>
      </c>
      <c r="E69" s="98" t="s">
        <v>133</v>
      </c>
      <c r="F69" s="99" t="str">
        <f>VLOOKUP(E69,[2]Lookup!F:G,2,0)</f>
        <v>CNSHA</v>
      </c>
      <c r="G69" s="100">
        <v>235</v>
      </c>
      <c r="H69" s="100">
        <v>850</v>
      </c>
      <c r="I69" s="100">
        <v>925</v>
      </c>
      <c r="J69" s="126"/>
    </row>
    <row r="70" spans="1:10">
      <c r="A70" s="98" t="s">
        <v>134</v>
      </c>
      <c r="B70" s="98" t="s">
        <v>304</v>
      </c>
      <c r="C70" s="98" t="s">
        <v>360</v>
      </c>
      <c r="D70" s="98" t="s">
        <v>361</v>
      </c>
      <c r="E70" s="98" t="s">
        <v>133</v>
      </c>
      <c r="F70" s="99" t="str">
        <f>VLOOKUP(E70,[2]Lookup!F:G,2,0)</f>
        <v>CNSHA</v>
      </c>
      <c r="G70" s="100">
        <v>410</v>
      </c>
      <c r="H70" s="100">
        <v>695</v>
      </c>
      <c r="I70" s="100">
        <v>695</v>
      </c>
      <c r="J70" s="126"/>
    </row>
    <row r="71" spans="1:10">
      <c r="A71" s="98" t="s">
        <v>136</v>
      </c>
      <c r="B71" s="98" t="s">
        <v>362</v>
      </c>
      <c r="C71" s="98" t="s">
        <v>363</v>
      </c>
      <c r="D71" s="98" t="s">
        <v>364</v>
      </c>
      <c r="E71" s="98" t="s">
        <v>365</v>
      </c>
      <c r="F71" s="99" t="str">
        <f>VLOOKUP(E71,[2]Lookup!F:G,2,0)</f>
        <v>CNTXG</v>
      </c>
      <c r="G71" s="100">
        <v>590</v>
      </c>
      <c r="H71" s="100">
        <v>745</v>
      </c>
      <c r="I71" s="100">
        <v>745</v>
      </c>
      <c r="J71" s="125"/>
    </row>
    <row r="72" spans="1:10">
      <c r="A72" s="98" t="s">
        <v>269</v>
      </c>
      <c r="B72" s="98" t="s">
        <v>366</v>
      </c>
      <c r="C72" s="98" t="s">
        <v>367</v>
      </c>
      <c r="D72" s="98" t="s">
        <v>368</v>
      </c>
      <c r="E72" s="98" t="s">
        <v>324</v>
      </c>
      <c r="F72" s="99" t="str">
        <f>VLOOKUP(E72,[2]Lookup!F:G,2,0)</f>
        <v>CNNGB</v>
      </c>
      <c r="G72" s="100">
        <v>305</v>
      </c>
      <c r="H72" s="100">
        <v>325</v>
      </c>
      <c r="I72" s="100">
        <v>325</v>
      </c>
      <c r="J72" s="125"/>
    </row>
    <row r="73" spans="1:10" ht="14.5">
      <c r="A73" s="98" t="s">
        <v>134</v>
      </c>
      <c r="B73" s="98" t="s">
        <v>276</v>
      </c>
      <c r="C73" s="98" t="s">
        <v>369</v>
      </c>
      <c r="D73" s="98" t="s">
        <v>192</v>
      </c>
      <c r="E73" s="98" t="s">
        <v>133</v>
      </c>
      <c r="F73" s="99" t="str">
        <f>VLOOKUP(E73,[2]Lookup!F:G,2,0)</f>
        <v>CNSHA</v>
      </c>
      <c r="G73" s="100">
        <v>230</v>
      </c>
      <c r="H73" s="100">
        <v>350</v>
      </c>
      <c r="I73" s="100">
        <v>530</v>
      </c>
      <c r="J73" s="94"/>
    </row>
    <row r="74" spans="1:10">
      <c r="A74" s="98" t="s">
        <v>134</v>
      </c>
      <c r="B74" s="98" t="s">
        <v>276</v>
      </c>
      <c r="C74" s="98" t="s">
        <v>369</v>
      </c>
      <c r="D74" s="98" t="s">
        <v>235</v>
      </c>
      <c r="E74" s="98" t="s">
        <v>133</v>
      </c>
      <c r="F74" s="99" t="str">
        <f>VLOOKUP(E74,[2]Lookup!F:G,2,0)</f>
        <v>CNSHA</v>
      </c>
      <c r="G74" s="100">
        <v>230</v>
      </c>
      <c r="H74" s="100">
        <v>350</v>
      </c>
      <c r="I74" s="100">
        <v>530</v>
      </c>
      <c r="J74" s="126"/>
    </row>
    <row r="75" spans="1:10">
      <c r="A75" s="98" t="s">
        <v>134</v>
      </c>
      <c r="B75" s="98" t="s">
        <v>137</v>
      </c>
      <c r="C75" s="98" t="s">
        <v>370</v>
      </c>
      <c r="D75" s="98" t="s">
        <v>371</v>
      </c>
      <c r="E75" s="98" t="s">
        <v>268</v>
      </c>
      <c r="F75" s="98" t="str">
        <f>VLOOKUP(E75,[2]Lookup!F:G,2,0)</f>
        <v>CNSHA</v>
      </c>
      <c r="G75" s="100">
        <v>185</v>
      </c>
      <c r="H75" s="100">
        <v>415</v>
      </c>
      <c r="I75" s="100">
        <v>415</v>
      </c>
      <c r="J75" s="125"/>
    </row>
    <row r="76" spans="1:10" ht="14.5">
      <c r="A76" s="98" t="s">
        <v>134</v>
      </c>
      <c r="B76" s="98" t="s">
        <v>137</v>
      </c>
      <c r="C76" s="107" t="s">
        <v>370</v>
      </c>
      <c r="D76" s="107" t="s">
        <v>371</v>
      </c>
      <c r="E76" s="98" t="s">
        <v>138</v>
      </c>
      <c r="F76" s="99" t="str">
        <f>VLOOKUP(E76,[2]Lookup!F:G,2,0)</f>
        <v>CNNGB</v>
      </c>
      <c r="G76" s="100">
        <v>215</v>
      </c>
      <c r="H76" s="100">
        <v>290</v>
      </c>
      <c r="I76" s="100">
        <v>290</v>
      </c>
      <c r="J76" s="94"/>
    </row>
    <row r="77" spans="1:10" ht="14.5">
      <c r="A77" s="98" t="s">
        <v>134</v>
      </c>
      <c r="B77" s="98" t="s">
        <v>132</v>
      </c>
      <c r="C77" s="98" t="s">
        <v>20</v>
      </c>
      <c r="D77" s="98" t="s">
        <v>372</v>
      </c>
      <c r="E77" s="98" t="s">
        <v>138</v>
      </c>
      <c r="F77" s="99" t="str">
        <f>VLOOKUP(E77,[2]Lookup!F:G,2,0)</f>
        <v>CNNGB</v>
      </c>
      <c r="G77" s="100">
        <v>105</v>
      </c>
      <c r="H77" s="100">
        <v>175</v>
      </c>
      <c r="I77" s="100">
        <v>175</v>
      </c>
      <c r="J77" s="94"/>
    </row>
    <row r="78" spans="1:10" ht="14.5">
      <c r="A78" s="98" t="s">
        <v>136</v>
      </c>
      <c r="B78" s="98" t="s">
        <v>143</v>
      </c>
      <c r="C78" s="98" t="s">
        <v>373</v>
      </c>
      <c r="D78" s="98" t="s">
        <v>374</v>
      </c>
      <c r="E78" s="98" t="s">
        <v>375</v>
      </c>
      <c r="F78" s="99" t="str">
        <f>VLOOKUP(E78,[2]Lookup!F:G,2,0)</f>
        <v>CNTAO</v>
      </c>
      <c r="G78" s="100">
        <v>575</v>
      </c>
      <c r="H78" s="100">
        <v>715</v>
      </c>
      <c r="I78" s="100">
        <v>715</v>
      </c>
      <c r="J78" s="94"/>
    </row>
    <row r="79" spans="1:10" ht="14.5">
      <c r="A79" s="98" t="s">
        <v>134</v>
      </c>
      <c r="B79" s="98" t="s">
        <v>137</v>
      </c>
      <c r="C79" s="98" t="s">
        <v>376</v>
      </c>
      <c r="D79" s="98" t="s">
        <v>377</v>
      </c>
      <c r="E79" s="98" t="s">
        <v>268</v>
      </c>
      <c r="F79" s="98" t="str">
        <f>VLOOKUP(E79,[2]Lookup!F:G,2,0)</f>
        <v>CNSHA</v>
      </c>
      <c r="G79" s="100">
        <v>135</v>
      </c>
      <c r="H79" s="100">
        <v>290</v>
      </c>
      <c r="I79" s="100">
        <v>290</v>
      </c>
      <c r="J79" s="94"/>
    </row>
    <row r="80" spans="1:10" ht="14.5">
      <c r="A80" s="98" t="s">
        <v>134</v>
      </c>
      <c r="B80" s="98" t="s">
        <v>137</v>
      </c>
      <c r="C80" s="107" t="s">
        <v>376</v>
      </c>
      <c r="D80" s="107" t="s">
        <v>377</v>
      </c>
      <c r="E80" s="98" t="s">
        <v>138</v>
      </c>
      <c r="F80" s="99" t="str">
        <f>VLOOKUP(E80,[2]Lookup!F:G,2,0)</f>
        <v>CNNGB</v>
      </c>
      <c r="G80" s="100">
        <v>160</v>
      </c>
      <c r="H80" s="100">
        <v>170</v>
      </c>
      <c r="I80" s="100">
        <v>170</v>
      </c>
      <c r="J80" s="94"/>
    </row>
    <row r="81" spans="1:10" ht="14.5">
      <c r="A81" s="94"/>
      <c r="B81" s="94"/>
      <c r="C81" s="94"/>
      <c r="D81" s="94"/>
      <c r="E81" s="94"/>
      <c r="F81" s="94"/>
      <c r="G81" s="94"/>
      <c r="H81" s="94"/>
      <c r="I81" s="94"/>
      <c r="J81" s="94"/>
    </row>
    <row r="82" spans="1:10" ht="14.5">
      <c r="A82" s="115" t="s">
        <v>378</v>
      </c>
      <c r="B82" s="116" t="s">
        <v>379</v>
      </c>
      <c r="C82" s="117"/>
      <c r="D82" s="112"/>
      <c r="E82" s="112"/>
      <c r="F82" s="94"/>
      <c r="G82" s="94"/>
      <c r="H82" s="94"/>
      <c r="I82" s="94"/>
      <c r="J82" s="94"/>
    </row>
    <row r="83" spans="1:10" ht="14.5">
      <c r="A83" s="118"/>
      <c r="B83" s="116" t="s">
        <v>380</v>
      </c>
      <c r="C83" s="117"/>
      <c r="D83" s="112"/>
      <c r="E83" s="112"/>
      <c r="F83" s="94"/>
      <c r="G83" s="94"/>
      <c r="H83" s="94"/>
      <c r="I83" s="94"/>
      <c r="J83" s="94"/>
    </row>
    <row r="84" spans="1:10" ht="14.5">
      <c r="A84" s="118"/>
      <c r="B84" s="116" t="s">
        <v>381</v>
      </c>
      <c r="C84" s="117"/>
      <c r="D84" s="112"/>
      <c r="E84" s="112"/>
      <c r="F84" s="94"/>
      <c r="G84" s="94"/>
      <c r="H84" s="94"/>
      <c r="I84" s="94"/>
      <c r="J84" s="94"/>
    </row>
    <row r="85" spans="1:10" ht="14.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0395-C8B6-459E-BF09-890F808CA0D3}">
  <dimension ref="A4:E12"/>
  <sheetViews>
    <sheetView showGridLines="0" workbookViewId="0">
      <selection activeCell="B9" sqref="B9"/>
    </sheetView>
  </sheetViews>
  <sheetFormatPr defaultColWidth="24.453125" defaultRowHeight="14.5"/>
  <cols>
    <col min="2" max="2" width="45.08984375" customWidth="1"/>
    <col min="3" max="3" width="38.81640625" customWidth="1"/>
  </cols>
  <sheetData>
    <row r="4" spans="1:5">
      <c r="A4" s="154"/>
      <c r="B4" s="154"/>
      <c r="C4" s="154"/>
      <c r="D4" s="154"/>
      <c r="E4" s="154"/>
    </row>
    <row r="5" spans="1:5" ht="15.5">
      <c r="A5" s="155" t="s">
        <v>383</v>
      </c>
      <c r="B5" s="155"/>
      <c r="C5" s="155"/>
      <c r="D5" s="154"/>
      <c r="E5" s="154"/>
    </row>
    <row r="6" spans="1:5" ht="46.5">
      <c r="A6" s="156" t="s">
        <v>73</v>
      </c>
      <c r="B6" s="156" t="s">
        <v>74</v>
      </c>
      <c r="C6" s="157" t="s">
        <v>384</v>
      </c>
      <c r="D6" s="154"/>
      <c r="E6" s="154"/>
    </row>
    <row r="7" spans="1:5" ht="15.5">
      <c r="A7" s="158" t="s">
        <v>184</v>
      </c>
      <c r="B7" s="159" t="s">
        <v>385</v>
      </c>
      <c r="C7" s="160" t="s">
        <v>386</v>
      </c>
      <c r="D7" s="154"/>
      <c r="E7" s="154"/>
    </row>
    <row r="8" spans="1:5">
      <c r="A8" s="154"/>
      <c r="B8" s="154"/>
      <c r="C8" s="154"/>
      <c r="D8" s="154"/>
      <c r="E8" s="154"/>
    </row>
    <row r="9" spans="1:5">
      <c r="A9" s="154"/>
      <c r="B9" s="154"/>
      <c r="C9" s="154"/>
      <c r="D9" s="154"/>
      <c r="E9" s="154"/>
    </row>
    <row r="10" spans="1:5">
      <c r="A10" s="154"/>
      <c r="B10" s="154"/>
      <c r="C10" s="154"/>
      <c r="D10" s="154"/>
      <c r="E10" s="154"/>
    </row>
    <row r="11" spans="1:5">
      <c r="A11" s="154"/>
      <c r="B11" s="154"/>
      <c r="C11" s="154"/>
      <c r="D11" s="154"/>
      <c r="E11" s="154"/>
    </row>
    <row r="12" spans="1:5">
      <c r="A12" s="154"/>
      <c r="B12" s="154"/>
      <c r="C12" s="154"/>
      <c r="D12" s="154"/>
      <c r="E12" s="154"/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CSE</vt:lpstr>
      <vt:lpstr>DG surcharges</vt:lpstr>
      <vt:lpstr>Yangtze ARB Add-on</vt:lpstr>
      <vt:lpstr>Free Time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Yip</dc:creator>
  <cp:lastModifiedBy>Jane Yap</cp:lastModifiedBy>
  <cp:lastPrinted>2024-08-08T09:51:15Z</cp:lastPrinted>
  <dcterms:created xsi:type="dcterms:W3CDTF">2019-09-17T08:31:21Z</dcterms:created>
  <dcterms:modified xsi:type="dcterms:W3CDTF">2026-08-12T02:18:30Z</dcterms:modified>
</cp:coreProperties>
</file>