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ne.yap\Desktop\"/>
    </mc:Choice>
  </mc:AlternateContent>
  <xr:revisionPtr revIDLastSave="0" documentId="8_{3EAD9D12-5574-40A4-9225-7AAFF627FA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SE" sheetId="7" r:id="rId1"/>
    <sheet name="NOR(PA)" sheetId="3" r:id="rId2"/>
    <sheet name="CSE (MAOVLD)" sheetId="8" r:id="rId3"/>
    <sheet name="NOR (MAOVLD)" sheetId="4" r:id="rId4"/>
    <sheet name="In guage guideline" sheetId="9" r:id="rId5"/>
    <sheet name="DG surcharges" sheetId="2" r:id="rId6"/>
    <sheet name="Yangtze ARB Add-on" sheetId="10" r:id="rId7"/>
    <sheet name="Free Time " sheetId="11" r:id="rId8"/>
  </sheets>
  <externalReferences>
    <externalReference r:id="rId9"/>
    <externalReference r:id="rId10"/>
  </externalReferences>
  <definedNames>
    <definedName name="FAK">#REF!</definedName>
    <definedName name="PODNOR">'[1]R5 NOR'!#REF!</definedName>
    <definedName name="POLNOR">'[1]R5 NOR'!#REF!</definedName>
    <definedName name="RatesNOR">'[1]R5 NOR'!#REF!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0" i="10" l="1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A99" i="9"/>
  <c r="A37" i="4"/>
  <c r="A92" i="8"/>
  <c r="D4" i="9"/>
  <c r="C4" i="9"/>
  <c r="D4" i="4"/>
  <c r="C4" i="4"/>
  <c r="D4" i="8"/>
  <c r="C4" i="8"/>
  <c r="D4" i="3"/>
  <c r="C4" i="3"/>
</calcChain>
</file>

<file path=xl/sharedStrings.xml><?xml version="1.0" encoding="utf-8"?>
<sst xmlns="http://schemas.openxmlformats.org/spreadsheetml/2006/main" count="1332" uniqueCount="489">
  <si>
    <t xml:space="preserve">ONE ASIA-CARIBBEAN RATE GUIDELINE </t>
  </si>
  <si>
    <t>From</t>
  </si>
  <si>
    <t>To</t>
  </si>
  <si>
    <t xml:space="preserve">Validity period </t>
  </si>
  <si>
    <t>SERVICE SCOPE = CSE</t>
  </si>
  <si>
    <t>Manzanillo, PA</t>
  </si>
  <si>
    <t>Colon Free Zone
 (Door via Manzanillo, PA)</t>
  </si>
  <si>
    <t>Port of Spain</t>
  </si>
  <si>
    <t>PAMIT</t>
  </si>
  <si>
    <t>PACFZ</t>
  </si>
  <si>
    <t>PLACE OF ORIGIN (POR)</t>
  </si>
  <si>
    <t>POR CODE</t>
  </si>
  <si>
    <t>D2</t>
  </si>
  <si>
    <t>D4</t>
  </si>
  <si>
    <t>D5</t>
  </si>
  <si>
    <t>Taichung</t>
  </si>
  <si>
    <t>TWTXG</t>
  </si>
  <si>
    <t>Dalian</t>
  </si>
  <si>
    <t>CNDLC</t>
  </si>
  <si>
    <t>Xingang</t>
  </si>
  <si>
    <t>CNTXG</t>
  </si>
  <si>
    <t>Lianyungang</t>
  </si>
  <si>
    <t>Yantai</t>
  </si>
  <si>
    <t>Nanchang</t>
  </si>
  <si>
    <t>Chongqing</t>
  </si>
  <si>
    <t>Zhapu</t>
  </si>
  <si>
    <t>Wenzhou</t>
  </si>
  <si>
    <t>Huangpu</t>
  </si>
  <si>
    <t>CNHUA</t>
  </si>
  <si>
    <t>Qinzhou</t>
  </si>
  <si>
    <t>CNQZH</t>
  </si>
  <si>
    <t>Haiphong</t>
  </si>
  <si>
    <t>VNHPH</t>
  </si>
  <si>
    <t>Port Kelang</t>
  </si>
  <si>
    <t>MYPKG</t>
  </si>
  <si>
    <t>Penang</t>
  </si>
  <si>
    <t>MYPEN</t>
  </si>
  <si>
    <t>Jakarta</t>
  </si>
  <si>
    <t>IDJKT</t>
  </si>
  <si>
    <t>Surabaya</t>
  </si>
  <si>
    <t>IDSUB</t>
  </si>
  <si>
    <t>Semarang</t>
  </si>
  <si>
    <t>IDSRG</t>
  </si>
  <si>
    <t>Belawan</t>
  </si>
  <si>
    <t>IDBLW</t>
  </si>
  <si>
    <t>Palembang</t>
  </si>
  <si>
    <t>IDPLM</t>
  </si>
  <si>
    <t>Panjang</t>
  </si>
  <si>
    <t>IDPNJ</t>
  </si>
  <si>
    <t>Laem Chabang</t>
  </si>
  <si>
    <t>THLCH</t>
  </si>
  <si>
    <t>Bangkok</t>
  </si>
  <si>
    <t>THBKK</t>
  </si>
  <si>
    <t>Lat Krabang</t>
  </si>
  <si>
    <t>THLKR</t>
  </si>
  <si>
    <t>Songkhla</t>
  </si>
  <si>
    <t>THSGZ</t>
  </si>
  <si>
    <t>Manila</t>
  </si>
  <si>
    <t>PHMNL</t>
  </si>
  <si>
    <t>Cebu</t>
  </si>
  <si>
    <t>PHCEB</t>
  </si>
  <si>
    <t>Yangon</t>
  </si>
  <si>
    <t>MMRGN</t>
  </si>
  <si>
    <t>Phnom Penh</t>
  </si>
  <si>
    <t>KHPNH</t>
  </si>
  <si>
    <t>Sihanoukville</t>
  </si>
  <si>
    <t>KHKOS</t>
  </si>
  <si>
    <t>Karachi</t>
  </si>
  <si>
    <t>PKKHI</t>
  </si>
  <si>
    <t>Colombo*</t>
  </si>
  <si>
    <t>LKCMB</t>
  </si>
  <si>
    <t>Chittagong*</t>
  </si>
  <si>
    <t>BDCGP</t>
  </si>
  <si>
    <t>Jebel Ali*</t>
  </si>
  <si>
    <t>AEJEA</t>
  </si>
  <si>
    <t>Jeddah*</t>
  </si>
  <si>
    <t>SAJED</t>
  </si>
  <si>
    <t>- Above rate offer is applicable for non-DG commodity only.</t>
  </si>
  <si>
    <t xml:space="preserve">IMO Surcharges </t>
  </si>
  <si>
    <t>Tariff Surcharge
(Surcharge code: HAZ)</t>
  </si>
  <si>
    <t>IMO Class</t>
  </si>
  <si>
    <t>D20</t>
  </si>
  <si>
    <t>D40</t>
  </si>
  <si>
    <t>40HC</t>
  </si>
  <si>
    <t>Remarks</t>
  </si>
  <si>
    <t>CLASS 1</t>
  </si>
  <si>
    <t>pls check with us case by case</t>
  </si>
  <si>
    <t>CLASS 3</t>
  </si>
  <si>
    <t>USD 100</t>
  </si>
  <si>
    <t>USD 200</t>
  </si>
  <si>
    <t>CLASS 4</t>
  </si>
  <si>
    <t>USD 400</t>
  </si>
  <si>
    <t>CLASS 6.1/6.2</t>
  </si>
  <si>
    <t>CLASS 7</t>
  </si>
  <si>
    <t>CLASS 8</t>
  </si>
  <si>
    <t>CLASS 9</t>
  </si>
  <si>
    <t xml:space="preserve">** All HAZ shpt is subject to DG desk approval &amp; vessel operator's acceptance. </t>
  </si>
  <si>
    <t>PSA Class</t>
  </si>
  <si>
    <t>no extra t/s charge is needed.</t>
  </si>
  <si>
    <t>PSA T/S charge
(for any shpt tranship via Singapore)
(Surcharge code: PSA)</t>
  </si>
  <si>
    <r>
      <t xml:space="preserve">applicable on top of above tariff HAZ surcharge in case of </t>
    </r>
    <r>
      <rPr>
        <u/>
        <sz val="11"/>
        <color rgb="FFCC0099"/>
        <rFont val="Calibri"/>
        <family val="2"/>
        <scheme val="minor"/>
      </rPr>
      <t>transshipment via Singapore</t>
    </r>
  </si>
  <si>
    <t xml:space="preserve"> Dangerous Goods (DG) - Class 3 (Storable in PSA)</t>
  </si>
  <si>
    <t>POD</t>
  </si>
  <si>
    <t>Free line detention combine (port storage and demurrage under cnee own negotiation with terminal)</t>
  </si>
  <si>
    <t>Colon Free Zone</t>
  </si>
  <si>
    <t>Cartagena</t>
  </si>
  <si>
    <t>Caucedo</t>
  </si>
  <si>
    <t>Kingston</t>
  </si>
  <si>
    <t>Puerto Cortes</t>
  </si>
  <si>
    <t>Vila do Conde</t>
  </si>
  <si>
    <t>Manaus</t>
  </si>
  <si>
    <t xml:space="preserve"> </t>
  </si>
  <si>
    <t>Moin</t>
  </si>
  <si>
    <t xml:space="preserve"> Puerto Cortes</t>
  </si>
  <si>
    <t xml:space="preserve">Manaus </t>
  </si>
  <si>
    <t xml:space="preserve"> Vila do Conde</t>
  </si>
  <si>
    <t xml:space="preserve">Fuzhou </t>
  </si>
  <si>
    <t xml:space="preserve"> Fuqing</t>
  </si>
  <si>
    <t xml:space="preserve">Ho Chi Minh </t>
  </si>
  <si>
    <t xml:space="preserve">VNSGN </t>
  </si>
  <si>
    <t xml:space="preserve"> BIEN HOA </t>
  </si>
  <si>
    <t xml:space="preserve"> DI AN </t>
  </si>
  <si>
    <t xml:space="preserve"> CAI MEP</t>
  </si>
  <si>
    <t xml:space="preserve"> VNCMP</t>
  </si>
  <si>
    <t xml:space="preserve">Danang  </t>
  </si>
  <si>
    <t xml:space="preserve"> Quinhon</t>
  </si>
  <si>
    <t xml:space="preserve">Pasir Gudang </t>
  </si>
  <si>
    <t xml:space="preserve"> Tanjung Pelepas</t>
  </si>
  <si>
    <t xml:space="preserve"> General Santos</t>
  </si>
  <si>
    <t xml:space="preserve">Davao </t>
  </si>
  <si>
    <t xml:space="preserve">Sydney </t>
  </si>
  <si>
    <t xml:space="preserve"> Melbourn</t>
  </si>
  <si>
    <t xml:space="preserve"> Fremantle </t>
  </si>
  <si>
    <t xml:space="preserve"> Brisbane </t>
  </si>
  <si>
    <t>Adelaide</t>
  </si>
  <si>
    <t>Auckland</t>
  </si>
  <si>
    <t xml:space="preserve"> Tauranga </t>
  </si>
  <si>
    <t xml:space="preserve"> Lyttelton </t>
  </si>
  <si>
    <t xml:space="preserve"> Napier</t>
  </si>
  <si>
    <t xml:space="preserve">Nhava Sheva </t>
  </si>
  <si>
    <t xml:space="preserve"> Pipavav </t>
  </si>
  <si>
    <t xml:space="preserve"> Mundra</t>
  </si>
  <si>
    <t xml:space="preserve">Chennai </t>
  </si>
  <si>
    <t xml:space="preserve"> Kattupalli</t>
  </si>
  <si>
    <t xml:space="preserve"> Visakhapatnam</t>
  </si>
  <si>
    <t xml:space="preserve">Calcutta </t>
  </si>
  <si>
    <t>Haldia</t>
  </si>
  <si>
    <t xml:space="preserve">Tuticorin </t>
  </si>
  <si>
    <t xml:space="preserve"> Cochin</t>
  </si>
  <si>
    <t>INCOK</t>
  </si>
  <si>
    <t>Colon Free Zone (Door via Manzanillo, PA)</t>
  </si>
  <si>
    <t>BRMAO</t>
  </si>
  <si>
    <t>BRVLD</t>
  </si>
  <si>
    <t>R5 NOR</t>
  </si>
  <si>
    <t xml:space="preserve"> VNBHA</t>
  </si>
  <si>
    <t xml:space="preserve"> DI AN</t>
  </si>
  <si>
    <t>VNDIA</t>
  </si>
  <si>
    <t>NZNPE</t>
  </si>
  <si>
    <t>Free days for FAK DRY cargo( applicable for NOR cargo )</t>
  </si>
  <si>
    <t xml:space="preserve">  </t>
  </si>
  <si>
    <r>
      <t xml:space="preserve">Sulphur Fuel surcharge (LSF) of US$3/TEU for </t>
    </r>
    <r>
      <rPr>
        <b/>
        <u/>
        <sz val="11"/>
        <color rgb="FF000000"/>
        <rFont val="Calibri"/>
        <family val="2"/>
        <scheme val="minor"/>
      </rPr>
      <t xml:space="preserve">all Korea export and import cargoes </t>
    </r>
    <r>
      <rPr>
        <b/>
        <sz val="11"/>
        <color rgb="FF000000"/>
        <rFont val="Calibri"/>
        <family val="2"/>
        <scheme val="minor"/>
      </rPr>
      <t xml:space="preserve">as from November 1st 2020 (based on freight application date at origin side).    </t>
    </r>
  </si>
  <si>
    <t xml:space="preserve">Caucedo
 </t>
  </si>
  <si>
    <t>DOCAU</t>
  </si>
  <si>
    <t>FAR EAST BASE PORT</t>
  </si>
  <si>
    <t>FEBP</t>
  </si>
  <si>
    <t>PEARL RIVER DELTA</t>
  </si>
  <si>
    <t>WPRD</t>
  </si>
  <si>
    <t>WPRD = current PRD ports : Zhongshan/Zhuhai/Jiangmen/Nansha/Foshan/Sanshan/Rongqi/Beijiao/Xiaolan/Zhanjiang/Shantou/Gaolan/Leliu/Gaoming/Sanshui/Zhoaqing/Jiujiang,guangdong</t>
  </si>
  <si>
    <t>COSPC</t>
  </si>
  <si>
    <t>COCNR</t>
  </si>
  <si>
    <t xml:space="preserve">Cartagena(CONTECAR) </t>
  </si>
  <si>
    <t>Hazira</t>
  </si>
  <si>
    <t>INHZA</t>
  </si>
  <si>
    <t>Heavy Weight surcharge (HEA):
Nil for cargo weight upto 17.99 tons. USD200 per 20ft for cargo weight over 18 tons</t>
  </si>
  <si>
    <t>Hamad</t>
  </si>
  <si>
    <t>QAHMD</t>
  </si>
  <si>
    <t>Sohar</t>
  </si>
  <si>
    <t>OMSOH</t>
  </si>
  <si>
    <t>Kuwait</t>
  </si>
  <si>
    <t>KWSWK</t>
  </si>
  <si>
    <t>Jordan</t>
  </si>
  <si>
    <t>JOAQJ</t>
  </si>
  <si>
    <t>Bahrain</t>
  </si>
  <si>
    <t>BHBAH</t>
  </si>
  <si>
    <t>Effective Date:</t>
  </si>
  <si>
    <t>Mode</t>
  </si>
  <si>
    <t>Province</t>
  </si>
  <si>
    <t>Origin</t>
  </si>
  <si>
    <t>Via</t>
  </si>
  <si>
    <t>Zhejiang</t>
  </si>
  <si>
    <t>Shanghai</t>
  </si>
  <si>
    <t>Barge</t>
  </si>
  <si>
    <t>Anhui</t>
  </si>
  <si>
    <t>Rail</t>
  </si>
  <si>
    <t>Jiangsu</t>
  </si>
  <si>
    <t>Ningbo</t>
  </si>
  <si>
    <t>Hefei</t>
  </si>
  <si>
    <t>Hubei</t>
  </si>
  <si>
    <t>Jiangxi</t>
  </si>
  <si>
    <t>Qingdao</t>
  </si>
  <si>
    <t>Shandong</t>
  </si>
  <si>
    <t>Rizhao</t>
  </si>
  <si>
    <t>Shidao</t>
  </si>
  <si>
    <t>Weihai</t>
  </si>
  <si>
    <t xml:space="preserve"> Kingston</t>
  </si>
  <si>
    <t xml:space="preserve"> Barranquilla </t>
  </si>
  <si>
    <t xml:space="preserve"> Cartagena(SPRC) </t>
  </si>
  <si>
    <t>CRMOB</t>
  </si>
  <si>
    <t>HNPCR</t>
  </si>
  <si>
    <t>TTPOS</t>
  </si>
  <si>
    <t>JMKIN</t>
  </si>
  <si>
    <t>COBAQ</t>
  </si>
  <si>
    <t>CNFOC</t>
  </si>
  <si>
    <t>CNFUG</t>
  </si>
  <si>
    <t>VNSGN</t>
  </si>
  <si>
    <t>VNBHA</t>
  </si>
  <si>
    <t>VNCMP</t>
  </si>
  <si>
    <t>VNDAD</t>
  </si>
  <si>
    <t>VNUIH</t>
  </si>
  <si>
    <t>MYPGU</t>
  </si>
  <si>
    <t>MYTPP</t>
  </si>
  <si>
    <t>PHGES</t>
  </si>
  <si>
    <t>PHDVO</t>
  </si>
  <si>
    <t>AUSYD</t>
  </si>
  <si>
    <t>AUMEL</t>
  </si>
  <si>
    <t>AUFRE</t>
  </si>
  <si>
    <t>AUBNE</t>
  </si>
  <si>
    <t>AUADL</t>
  </si>
  <si>
    <t>NZAKL</t>
  </si>
  <si>
    <t>NZTRG</t>
  </si>
  <si>
    <t>NZLYT</t>
  </si>
  <si>
    <t>INNSA</t>
  </si>
  <si>
    <t>INPAV</t>
  </si>
  <si>
    <t>INMUN</t>
  </si>
  <si>
    <t>INMAA</t>
  </si>
  <si>
    <t>INKTP</t>
  </si>
  <si>
    <t>INVTZ</t>
  </si>
  <si>
    <t>INCCU</t>
  </si>
  <si>
    <t>INHAL</t>
  </si>
  <si>
    <t>INTUT</t>
  </si>
  <si>
    <t>Origin Code</t>
  </si>
  <si>
    <t>20GP</t>
  </si>
  <si>
    <t>40GP</t>
  </si>
  <si>
    <t>40HQ</t>
  </si>
  <si>
    <t>20'OT/FR (IG)</t>
  </si>
  <si>
    <t>40'OT/FR (IG)</t>
  </si>
  <si>
    <t>'Heavy Weight surcharge (HEA):Nil for cargo weight upto 17.99 tons. USD200 per 20ft for cargo weight over 18 tons</t>
  </si>
  <si>
    <t>Heavy Weight surcharge (HEA):</t>
  </si>
  <si>
    <t>Nil for cargo weight upto 17.99 tons. USD200 per 20ft for cargo weight over 18 tons</t>
  </si>
  <si>
    <t xml:space="preserve">rate structure : </t>
  </si>
  <si>
    <t>** Subject to NON DG shipment **</t>
  </si>
  <si>
    <t xml:space="preserve">** Subject to space &amp; equipment availability ** </t>
  </si>
  <si>
    <t>** Subject to Marine Ops Approval **</t>
  </si>
  <si>
    <t>** Subject to Dims/ Weight of Cargo as presented **</t>
  </si>
  <si>
    <t>** Subject to proper* load/block/brace to OT/FR at origin by shipper **</t>
  </si>
  <si>
    <t>** Free time as per standard tariff **</t>
  </si>
  <si>
    <t>** Both side end walls of Flat rack container must be in standing position **</t>
  </si>
  <si>
    <t>** Subject to dunnage/lashing/chocking arrangement is fulfil the safety shipment**</t>
  </si>
  <si>
    <t>Georgetown</t>
  </si>
  <si>
    <t>GYGEO</t>
  </si>
  <si>
    <t>Yantian</t>
  </si>
  <si>
    <t>San Juan</t>
  </si>
  <si>
    <t>PRSJU</t>
  </si>
  <si>
    <t>SAN JUAN</t>
  </si>
  <si>
    <t xml:space="preserve">CLASS 2.1 </t>
  </si>
  <si>
    <t>CLASS 2.2</t>
  </si>
  <si>
    <t>USD 450</t>
  </si>
  <si>
    <t>USD 800</t>
  </si>
  <si>
    <t>USD 300</t>
  </si>
  <si>
    <t>USD 600</t>
  </si>
  <si>
    <t>USD 700</t>
  </si>
  <si>
    <t>USD 1400</t>
  </si>
  <si>
    <t>IMPORTANT</t>
  </si>
  <si>
    <t>Other class 2</t>
  </si>
  <si>
    <t>Class 5</t>
  </si>
  <si>
    <t>USD 500</t>
  </si>
  <si>
    <t>USD 1000</t>
  </si>
  <si>
    <t>Port Au Prince</t>
  </si>
  <si>
    <t>HTPAP</t>
  </si>
  <si>
    <t>SANTO TOMAS DE CASTILLA</t>
  </si>
  <si>
    <t xml:space="preserve">PUERTO BARRIOS </t>
  </si>
  <si>
    <t xml:space="preserve"> GTSTC</t>
  </si>
  <si>
    <t xml:space="preserve"> GTPBR </t>
  </si>
  <si>
    <t>BRIDGETOWN</t>
  </si>
  <si>
    <t>BBBGI</t>
  </si>
  <si>
    <t>SRPBM</t>
  </si>
  <si>
    <t>*** The number of D2 containers must be an even number, odd number of D2 containers are prohibited.</t>
  </si>
  <si>
    <t>Point Lisas</t>
  </si>
  <si>
    <t>Barcadera</t>
  </si>
  <si>
    <t>Willemstad</t>
  </si>
  <si>
    <t>Point Liasa</t>
  </si>
  <si>
    <t xml:space="preserve">AWORJ </t>
  </si>
  <si>
    <t>CWWIL</t>
  </si>
  <si>
    <t>TTPTS</t>
  </si>
  <si>
    <t>Shekou</t>
  </si>
  <si>
    <t>Via Code</t>
  </si>
  <si>
    <t>CNKHN</t>
  </si>
  <si>
    <t>CNCLJ</t>
  </si>
  <si>
    <t>POR Add-on</t>
  </si>
  <si>
    <t>KRPUS</t>
  </si>
  <si>
    <t>USD 538</t>
  </si>
  <si>
    <t>USD 753</t>
  </si>
  <si>
    <r>
      <t xml:space="preserve">FEBP = current base port : </t>
    </r>
    <r>
      <rPr>
        <b/>
        <strike/>
        <sz val="14"/>
        <color rgb="FFFF0000"/>
        <rFont val="Calibri"/>
        <family val="2"/>
      </rPr>
      <t>Pusan</t>
    </r>
    <r>
      <rPr>
        <b/>
        <sz val="14"/>
        <color rgb="FF000000"/>
        <rFont val="Calibri"/>
        <family val="2"/>
      </rPr>
      <t xml:space="preserve">/Shanghai/Ningbo/Qingdao/Xiamen/Yantian/Shekou /Hong Kong/Keelung/Kaohsiung/Taoyuan/Singapore </t>
    </r>
  </si>
  <si>
    <t>Korea</t>
  </si>
  <si>
    <t xml:space="preserve">we offer COCNR only </t>
  </si>
  <si>
    <t>Rio Haina</t>
  </si>
  <si>
    <t>DOHAI</t>
  </si>
  <si>
    <t xml:space="preserve"> SANTO TOMAS DE CASTILLA
 </t>
  </si>
  <si>
    <t>not offer GTPBR till further notice</t>
  </si>
  <si>
    <t>Xiamen</t>
  </si>
  <si>
    <t>CNYUY</t>
  </si>
  <si>
    <t>Note:    </t>
  </si>
  <si>
    <t>2. Haiti is one of the country under "Need Due Diligence list ", due diligence procedures is required .  Haiti's Booking checking procedure would be the SAME AS the one placed in Nicaragua.</t>
  </si>
  <si>
    <r>
      <t xml:space="preserve">1. San Juan shipment is governed by FMC. </t>
    </r>
    <r>
      <rPr>
        <b/>
        <sz val="14"/>
        <color theme="1"/>
        <rFont val="Calibri Light"/>
        <family val="2"/>
        <scheme val="major"/>
      </rPr>
      <t>Service contract filing should be done BEFORE cargo gated in</t>
    </r>
    <r>
      <rPr>
        <sz val="14"/>
        <color theme="1"/>
        <rFont val="Calibri Light"/>
        <family val="2"/>
        <scheme val="major"/>
      </rPr>
      <t>. No backdate filing is allowed as per new FMC rule or tariff will be charged without exemption. For the ctrn already gate-in without proper filing, ONE will charge TRI tariff rate instead</t>
    </r>
  </si>
  <si>
    <t>Hai'An</t>
  </si>
  <si>
    <t>CNHAI</t>
  </si>
  <si>
    <t>Huainan</t>
  </si>
  <si>
    <t>CNHIA</t>
  </si>
  <si>
    <t>Pusan</t>
  </si>
  <si>
    <t>Lu'An</t>
  </si>
  <si>
    <t>CNLUN</t>
  </si>
  <si>
    <t>Xuzhou</t>
  </si>
  <si>
    <t>Yancheng</t>
  </si>
  <si>
    <t>CNYNC</t>
  </si>
  <si>
    <t>Paramaribo</t>
  </si>
  <si>
    <t>tempoarily suspend to TTPTS</t>
  </si>
  <si>
    <t>Nil</t>
  </si>
  <si>
    <t>Class 5 .1</t>
  </si>
  <si>
    <t xml:space="preserve"> Dangerous Goods (DG) - Class 1D , 2 &amp; 2B (Non-Storable in PSA) </t>
  </si>
  <si>
    <t xml:space="preserve"> Dangerous Goods (DG) - Class 1S, 2S, 2A, 2F  (Storable in PSA)</t>
  </si>
  <si>
    <t>SANTA MARTA</t>
  </si>
  <si>
    <t>COSMR</t>
  </si>
  <si>
    <t>ONE Bunker Surcharge (OBS): usd 119/238/238/238 per D2/D4/D5/R5 NOR during Q2 2026 (Apr-Jun)</t>
  </si>
  <si>
    <t>Kuala Tanjung</t>
  </si>
  <si>
    <t>IDKTJ</t>
  </si>
  <si>
    <t>KOREA</t>
  </si>
  <si>
    <t xml:space="preserve">Qinzhou
(Commodity: for Non-DG cargo only. Except DG, Live Reefer, New Energy Vehicle) </t>
  </si>
  <si>
    <t>Qinzhou
(Commodity: For DG, Live Reefer, New Energy Vehicle)</t>
  </si>
  <si>
    <t>check with SLS for details</t>
  </si>
  <si>
    <r>
      <rPr>
        <b/>
        <sz val="14"/>
        <rFont val="Calibri"/>
        <family val="2"/>
        <scheme val="minor"/>
      </rPr>
      <t>Rates are incl.  PSS/OBS/EFS /MBS</t>
    </r>
    <r>
      <rPr>
        <b/>
        <sz val="14"/>
        <color rgb="FFCC0099"/>
        <rFont val="Calibri"/>
        <family val="2"/>
        <scheme val="minor"/>
      </rPr>
      <t xml:space="preserve"> only,  </t>
    </r>
    <r>
      <rPr>
        <b/>
        <sz val="14"/>
        <rFont val="Calibri"/>
        <family val="2"/>
        <scheme val="minor"/>
      </rPr>
      <t>subject to</t>
    </r>
    <r>
      <rPr>
        <b/>
        <sz val="14"/>
        <color rgb="FFCC0099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CSS/THL/THD/Tariff Surcharges both ends/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PCT/HEA</t>
    </r>
    <r>
      <rPr>
        <b/>
        <sz val="14"/>
        <color rgb="FFCC0099"/>
        <rFont val="Calibri"/>
        <family val="2"/>
        <scheme val="minor"/>
      </rPr>
      <t xml:space="preserve">/ADD/CCC/EVC/ISL/AMS &amp; GAT(for CR destination)/IFD 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</si>
  <si>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Chittagong: Rates are incl. </t>
    </r>
    <r>
      <rPr>
        <b/>
        <sz val="14"/>
        <color rgb="FFCC0099"/>
        <rFont val="Calibri"/>
        <family val="2"/>
        <scheme val="minor"/>
      </rPr>
      <t xml:space="preserve">THL/PSS/OBS/EFS/MBS  </t>
    </r>
    <r>
      <rPr>
        <b/>
        <sz val="14"/>
        <rFont val="Calibri"/>
        <family val="2"/>
        <scheme val="minor"/>
      </rPr>
      <t xml:space="preserve"> subject to CSS/THD/Tariff Surcharges both ends/PCT/HEA/ CCC/EVC/ISL /AMS(for CR destination)/IFD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</si>
  <si>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Colombo: Rates are incl.</t>
    </r>
    <r>
      <rPr>
        <b/>
        <sz val="14"/>
        <color rgb="FFCC0099"/>
        <rFont val="Calibri"/>
        <family val="2"/>
        <scheme val="minor"/>
      </rPr>
      <t xml:space="preserve">THL/CSS/SLF </t>
    </r>
    <r>
      <rPr>
        <b/>
        <sz val="14"/>
        <rFont val="Calibri"/>
        <family val="2"/>
        <scheme val="minor"/>
      </rPr>
      <t xml:space="preserve">/PSS/OBS/EFS/MBS    subject to THD/destination tariff surcharges/ PCT /HEA/CCC/EVC/ISL/AMS(for CR destination) /IFD 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</si>
  <si>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area): Rates are incl. </t>
    </r>
    <r>
      <rPr>
        <b/>
        <sz val="14"/>
        <color rgb="FFCC0099"/>
        <rFont val="Calibri"/>
        <family val="2"/>
        <scheme val="minor"/>
      </rPr>
      <t xml:space="preserve">  PSS/OBS/EFS/MBS   </t>
    </r>
    <r>
      <rPr>
        <b/>
        <sz val="14"/>
        <rFont val="Calibri"/>
        <family val="2"/>
        <scheme val="minor"/>
      </rPr>
      <t xml:space="preserve"> subject to </t>
    </r>
    <r>
      <rPr>
        <b/>
        <sz val="14"/>
        <color rgb="FFCC0099"/>
        <rFont val="Calibri"/>
        <family val="2"/>
        <scheme val="minor"/>
      </rPr>
      <t>WRC</t>
    </r>
    <r>
      <rPr>
        <b/>
        <sz val="14"/>
        <rFont val="Calibri"/>
        <family val="2"/>
        <scheme val="minor"/>
      </rPr>
      <t>/CSS/THL/THD/Tariff Surcharges both ends/PCT /HEA/CCC/EVC/ISL/AMS(for CR destination)  /IFD</t>
    </r>
  </si>
  <si>
    <r>
      <rPr>
        <b/>
        <sz val="14"/>
        <rFont val="Calibri"/>
        <family val="2"/>
        <scheme val="minor"/>
      </rPr>
      <t>Rates are incl.  PSS</t>
    </r>
    <r>
      <rPr>
        <b/>
        <sz val="14"/>
        <color rgb="FFCC0099"/>
        <rFont val="Calibri"/>
        <family val="2"/>
        <scheme val="minor"/>
      </rPr>
      <t xml:space="preserve"> /OBS/EFS/MBS    </t>
    </r>
    <r>
      <rPr>
        <b/>
        <sz val="14"/>
        <rFont val="Calibri"/>
        <family val="2"/>
        <scheme val="minor"/>
      </rPr>
      <t>subject to</t>
    </r>
    <r>
      <rPr>
        <b/>
        <sz val="14"/>
        <color rgb="FFCC0099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CSS/THL/THD/Tariff Surcharges both ends/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PCT /HEA</t>
    </r>
    <r>
      <rPr>
        <b/>
        <sz val="14"/>
        <color rgb="FFCC0099"/>
        <rFont val="Calibri"/>
        <family val="2"/>
        <scheme val="minor"/>
      </rPr>
      <t>/ADD /IFD</t>
    </r>
  </si>
  <si>
    <t xml:space="preserve">Rates are incl.  PSS/OBS/EFS/MBS    subject to CSS/THL/THD/Tariff Surcharges both ends/ PCT  /HEA /CCC </t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</si>
  <si>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Chittagong: Rates are incl.</t>
    </r>
    <r>
      <rPr>
        <b/>
        <sz val="14"/>
        <color rgb="FFCC0099"/>
        <rFont val="Calibri"/>
        <family val="2"/>
        <scheme val="minor"/>
      </rPr>
      <t xml:space="preserve">  THL/PSS</t>
    </r>
    <r>
      <rPr>
        <b/>
        <sz val="14"/>
        <rFont val="Calibri"/>
        <family val="2"/>
        <scheme val="minor"/>
      </rPr>
      <t xml:space="preserve"> </t>
    </r>
    <r>
      <rPr>
        <b/>
        <sz val="14"/>
        <color rgb="FFCC0099"/>
        <rFont val="Calibri"/>
        <family val="2"/>
        <scheme val="minor"/>
      </rPr>
      <t xml:space="preserve">/OBS/EFS /MBS   </t>
    </r>
    <r>
      <rPr>
        <b/>
        <sz val="14"/>
        <rFont val="Calibri"/>
        <family val="2"/>
        <scheme val="minor"/>
      </rPr>
      <t xml:space="preserve">subject to  CSS/THD/Tariff Surcharges both ends/PCT </t>
    </r>
    <r>
      <rPr>
        <b/>
        <sz val="14"/>
        <color rgb="FFFF0000"/>
        <rFont val="Calibri"/>
        <family val="2"/>
        <scheme val="minor"/>
      </rPr>
      <t xml:space="preserve">/HEA/CCC 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</si>
  <si>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Colombo: Rates are incl.</t>
    </r>
    <r>
      <rPr>
        <b/>
        <sz val="14"/>
        <color rgb="FFCC0099"/>
        <rFont val="Calibri"/>
        <family val="2"/>
        <scheme val="minor"/>
      </rPr>
      <t xml:space="preserve">THL/CSS/SLF/PSS/OBS /EFS/MBS    </t>
    </r>
    <r>
      <rPr>
        <b/>
        <sz val="14"/>
        <rFont val="Calibri"/>
        <family val="2"/>
        <scheme val="minor"/>
      </rPr>
      <t xml:space="preserve">, subject to 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 xml:space="preserve">THD/destination tariff surcharges/ PCT  </t>
    </r>
    <r>
      <rPr>
        <b/>
        <sz val="14"/>
        <color rgb="FFFF0000"/>
        <rFont val="Calibri"/>
        <family val="2"/>
        <scheme val="minor"/>
      </rPr>
      <t>/HEA</t>
    </r>
    <r>
      <rPr>
        <b/>
        <sz val="14"/>
        <rFont val="Calibri"/>
        <family val="2"/>
        <scheme val="minor"/>
      </rPr>
      <t xml:space="preserve">/CCC 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</si>
  <si>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area): Rates are incl. </t>
    </r>
    <r>
      <rPr>
        <b/>
        <sz val="14"/>
        <color rgb="FFCC0099"/>
        <rFont val="Calibri"/>
        <family val="2"/>
        <scheme val="minor"/>
      </rPr>
      <t xml:space="preserve">PSS/OBS /EFS/MBS   </t>
    </r>
    <r>
      <rPr>
        <b/>
        <sz val="14"/>
        <rFont val="Calibri"/>
        <family val="2"/>
        <scheme val="minor"/>
      </rPr>
      <t xml:space="preserve">subject to </t>
    </r>
    <r>
      <rPr>
        <b/>
        <sz val="14"/>
        <color rgb="FFCC0099"/>
        <rFont val="Calibri"/>
        <family val="2"/>
        <scheme val="minor"/>
      </rPr>
      <t>WRC</t>
    </r>
    <r>
      <rPr>
        <b/>
        <sz val="14"/>
        <rFont val="Calibri"/>
        <family val="2"/>
        <scheme val="minor"/>
      </rPr>
      <t xml:space="preserve">/CSS/THL/THD/Tariff Surcharges both ends/PCT </t>
    </r>
    <r>
      <rPr>
        <b/>
        <sz val="14"/>
        <color rgb="FFFF0000"/>
        <rFont val="Calibri"/>
        <family val="2"/>
        <scheme val="minor"/>
      </rPr>
      <t>/ HEA</t>
    </r>
    <r>
      <rPr>
        <b/>
        <sz val="14"/>
        <rFont val="Calibri"/>
        <family val="2"/>
        <scheme val="minor"/>
      </rPr>
      <t xml:space="preserve">/CCC  </t>
    </r>
  </si>
  <si>
    <t xml:space="preserve">Rates are incl.  PSS/OBS/EFS/MBS    subject to CSS/THL/THD/Tariff Surcharges both ends/ PCT  /HEA /CCC  </t>
  </si>
  <si>
    <t>Rates are incl.  PSS/OBS/EFS/MBS    subject to  ADD/CCC/CSS/THL/THD/Tariff Surcharges both ends/ PCT  /HEA /AMS &amp; GAT(for CR destination)/IFD</t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</si>
  <si>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Chittagong: Rates are incl. </t>
    </r>
    <r>
      <rPr>
        <b/>
        <sz val="14"/>
        <color rgb="FFCC0099"/>
        <rFont val="Calibri"/>
        <family val="2"/>
        <scheme val="minor"/>
      </rPr>
      <t xml:space="preserve">THL/PSS/OBS/EFS/MBS    </t>
    </r>
    <r>
      <rPr>
        <b/>
        <sz val="14"/>
        <rFont val="Calibri"/>
        <family val="2"/>
        <scheme val="minor"/>
      </rPr>
      <t xml:space="preserve"> subject to ADD/ CSS/THD/Tariff Surcharges both ends/PCT/HEA/CCC /AMS(for CR destination)/IFD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</si>
  <si>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Colombo: Rates are incl.</t>
    </r>
    <r>
      <rPr>
        <b/>
        <sz val="14"/>
        <color rgb="FFCC0099"/>
        <rFont val="Calibri"/>
        <family val="2"/>
        <scheme val="minor"/>
      </rPr>
      <t>THL/CSS/SLF /PSS/OBS/EFS/MBS   s</t>
    </r>
    <r>
      <rPr>
        <b/>
        <sz val="14"/>
        <rFont val="Calibri"/>
        <family val="2"/>
        <scheme val="minor"/>
      </rPr>
      <t>ubject to ADD/THD/destination tariff surcharges/ PCT /HEA/CCC/AMS(for CR destination)/IFD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</si>
  <si>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area): Rates are incl. </t>
    </r>
    <r>
      <rPr>
        <b/>
        <sz val="14"/>
        <color rgb="FFCC0099"/>
        <rFont val="Calibri"/>
        <family val="2"/>
        <scheme val="minor"/>
      </rPr>
      <t xml:space="preserve">  PSS/OBS/EFS/MBS   </t>
    </r>
    <r>
      <rPr>
        <b/>
        <sz val="14"/>
        <rFont val="Calibri"/>
        <family val="2"/>
        <scheme val="minor"/>
      </rPr>
      <t xml:space="preserve"> subject to ADD/</t>
    </r>
    <r>
      <rPr>
        <b/>
        <sz val="14"/>
        <color rgb="FFCC0099"/>
        <rFont val="Calibri"/>
        <family val="2"/>
        <scheme val="minor"/>
      </rPr>
      <t>WRC</t>
    </r>
    <r>
      <rPr>
        <b/>
        <sz val="14"/>
        <rFont val="Calibri"/>
        <family val="2"/>
        <scheme val="minor"/>
      </rPr>
      <t>/CSS/THL/THD/Tariff Surcharges both ends/PCT /HEA/CCC /AMS(for CR destination)/IFD</t>
    </r>
  </si>
  <si>
    <t>ONE Bunker Surcharge (OBS): usd 320/640/640/640 per D2/D4/D5/R5 NOR during Q3 2026 (Jul-Sep)</t>
  </si>
  <si>
    <t>From Jul 1 - Sept 31, 2026</t>
  </si>
  <si>
    <t>Anji</t>
    <phoneticPr fontId="11" type="noConversion"/>
  </si>
  <si>
    <t>CNANJ</t>
    <phoneticPr fontId="7" type="noConversion"/>
  </si>
  <si>
    <t>Anqing</t>
    <phoneticPr fontId="11" type="noConversion"/>
  </si>
  <si>
    <t>CNAQG</t>
    <phoneticPr fontId="7" type="noConversion"/>
  </si>
  <si>
    <t>Shanghai</t>
    <phoneticPr fontId="7" type="noConversion"/>
  </si>
  <si>
    <t>Rail</t>
    <phoneticPr fontId="7" type="noConversion"/>
  </si>
  <si>
    <t>Bengbu</t>
    <phoneticPr fontId="7" type="noConversion"/>
  </si>
  <si>
    <t>CNBFU</t>
    <phoneticPr fontId="7" type="noConversion"/>
  </si>
  <si>
    <t>Jilin</t>
    <phoneticPr fontId="7" type="noConversion"/>
  </si>
  <si>
    <t>Changchun</t>
    <phoneticPr fontId="7" type="noConversion"/>
  </si>
  <si>
    <t>CNCGQ</t>
    <phoneticPr fontId="7" type="noConversion"/>
  </si>
  <si>
    <t>Dalian</t>
    <phoneticPr fontId="7" type="noConversion"/>
  </si>
  <si>
    <t>Hunan</t>
    <phoneticPr fontId="7" type="noConversion"/>
  </si>
  <si>
    <t>Changsha</t>
    <phoneticPr fontId="11" type="noConversion"/>
  </si>
  <si>
    <t>CNCSX</t>
    <phoneticPr fontId="7" type="noConversion"/>
  </si>
  <si>
    <t>Changshu</t>
    <phoneticPr fontId="11" type="noConversion"/>
  </si>
  <si>
    <t>CNCGU</t>
    <phoneticPr fontId="7" type="noConversion"/>
  </si>
  <si>
    <t>Changzhou</t>
    <phoneticPr fontId="11" type="noConversion"/>
  </si>
  <si>
    <t>CNCZX</t>
    <phoneticPr fontId="7" type="noConversion"/>
  </si>
  <si>
    <t>Jiangsu</t>
    <phoneticPr fontId="7" type="noConversion"/>
  </si>
  <si>
    <t>Changzhou</t>
    <phoneticPr fontId="7" type="noConversion"/>
  </si>
  <si>
    <t>Changxing</t>
    <phoneticPr fontId="7" type="noConversion"/>
  </si>
  <si>
    <t>CNCH1</t>
    <phoneticPr fontId="7" type="noConversion"/>
  </si>
  <si>
    <t>Sichuan</t>
    <phoneticPr fontId="7" type="noConversion"/>
  </si>
  <si>
    <t>Chengdu</t>
    <phoneticPr fontId="11" type="noConversion"/>
  </si>
  <si>
    <t>CNCTU</t>
    <phoneticPr fontId="7" type="noConversion"/>
  </si>
  <si>
    <t>Chengdu</t>
    <phoneticPr fontId="7" type="noConversion"/>
  </si>
  <si>
    <t>Yantian</t>
    <phoneticPr fontId="7" type="noConversion"/>
  </si>
  <si>
    <t>Chongqing</t>
    <phoneticPr fontId="7" type="noConversion"/>
  </si>
  <si>
    <t>Chongqing</t>
    <phoneticPr fontId="11" type="noConversion"/>
  </si>
  <si>
    <t>CNCKG</t>
    <phoneticPr fontId="7" type="noConversion"/>
  </si>
  <si>
    <t>Chuzhou</t>
    <phoneticPr fontId="7" type="noConversion"/>
  </si>
  <si>
    <t>CNCZH</t>
    <phoneticPr fontId="7" type="noConversion"/>
  </si>
  <si>
    <t xml:space="preserve">Dafeng </t>
    <phoneticPr fontId="11" type="noConversion"/>
  </si>
  <si>
    <t>CNDFG</t>
    <phoneticPr fontId="7" type="noConversion"/>
  </si>
  <si>
    <t>Hefei</t>
    <phoneticPr fontId="11" type="noConversion"/>
  </si>
  <si>
    <t>CNHFE</t>
    <phoneticPr fontId="7" type="noConversion"/>
  </si>
  <si>
    <t>Huaian</t>
    <phoneticPr fontId="11" type="noConversion"/>
  </si>
  <si>
    <t>CNHUN</t>
    <phoneticPr fontId="7" type="noConversion"/>
  </si>
  <si>
    <t>Huaian</t>
    <phoneticPr fontId="7" type="noConversion"/>
  </si>
  <si>
    <t>Hubei</t>
    <phoneticPr fontId="7" type="noConversion"/>
  </si>
  <si>
    <t>Huangshi</t>
    <phoneticPr fontId="11" type="noConversion"/>
  </si>
  <si>
    <t>CNHSI</t>
    <phoneticPr fontId="7" type="noConversion"/>
  </si>
  <si>
    <t>Jiangyin</t>
    <phoneticPr fontId="11" type="noConversion"/>
  </si>
  <si>
    <t>CNJIA</t>
    <phoneticPr fontId="7" type="noConversion"/>
  </si>
  <si>
    <t>Barge</t>
    <phoneticPr fontId="7" type="noConversion"/>
  </si>
  <si>
    <t>Jingzhou</t>
    <phoneticPr fontId="11" type="noConversion"/>
  </si>
  <si>
    <t>CNJGZ</t>
    <phoneticPr fontId="7" type="noConversion"/>
  </si>
  <si>
    <t>Jiangxi</t>
    <phoneticPr fontId="7" type="noConversion"/>
  </si>
  <si>
    <t>Jiujiang</t>
    <phoneticPr fontId="11" type="noConversion"/>
  </si>
  <si>
    <t>CNJIU</t>
    <phoneticPr fontId="7" type="noConversion"/>
  </si>
  <si>
    <t>Lianyungang</t>
    <phoneticPr fontId="11" type="noConversion"/>
  </si>
  <si>
    <t>CNLYG</t>
    <phoneticPr fontId="7" type="noConversion"/>
  </si>
  <si>
    <t>Luzhou</t>
    <phoneticPr fontId="11" type="noConversion"/>
  </si>
  <si>
    <t>CNLZU</t>
    <phoneticPr fontId="7" type="noConversion"/>
  </si>
  <si>
    <t>Ma'anshan</t>
    <phoneticPr fontId="11" type="noConversion"/>
  </si>
  <si>
    <t>CNMAA</t>
    <phoneticPr fontId="7" type="noConversion"/>
  </si>
  <si>
    <t>Nanchang</t>
    <phoneticPr fontId="11" type="noConversion"/>
  </si>
  <si>
    <t>CNKHN</t>
    <phoneticPr fontId="7" type="noConversion"/>
  </si>
  <si>
    <t>Nanchang</t>
    <phoneticPr fontId="7" type="noConversion"/>
  </si>
  <si>
    <t>Ningbo</t>
    <phoneticPr fontId="7" type="noConversion"/>
  </si>
  <si>
    <t>Not Applicable for  New Energy Vehicle</t>
  </si>
  <si>
    <t>Nansha</t>
    <phoneticPr fontId="7" type="noConversion"/>
  </si>
  <si>
    <t>Nanjing</t>
    <phoneticPr fontId="11" type="noConversion"/>
  </si>
  <si>
    <t>CNNKG</t>
    <phoneticPr fontId="7" type="noConversion"/>
  </si>
  <si>
    <t>Nantong</t>
    <phoneticPr fontId="11" type="noConversion"/>
  </si>
  <si>
    <t>CNNTG</t>
    <phoneticPr fontId="7" type="noConversion"/>
  </si>
  <si>
    <t>CNRZH</t>
    <phoneticPr fontId="7" type="noConversion"/>
  </si>
  <si>
    <t>Rugao</t>
    <phoneticPr fontId="11" type="noConversion"/>
  </si>
  <si>
    <t>CNRUG</t>
    <phoneticPr fontId="7" type="noConversion"/>
  </si>
  <si>
    <t>CNSHD</t>
    <phoneticPr fontId="7" type="noConversion"/>
  </si>
  <si>
    <t>Suzhou</t>
    <phoneticPr fontId="7" type="noConversion"/>
  </si>
  <si>
    <t>CNSZH</t>
    <phoneticPr fontId="7" type="noConversion"/>
  </si>
  <si>
    <t>Taicang</t>
    <phoneticPr fontId="11" type="noConversion"/>
  </si>
  <si>
    <t>CNTAG</t>
    <phoneticPr fontId="7" type="noConversion"/>
  </si>
  <si>
    <t>Taizhou</t>
    <phoneticPr fontId="11" type="noConversion"/>
  </si>
  <si>
    <t>CNTZO</t>
    <phoneticPr fontId="7" type="noConversion"/>
  </si>
  <si>
    <t>Inner Mongolia</t>
    <phoneticPr fontId="7" type="noConversion"/>
  </si>
  <si>
    <t>Tongliao</t>
    <phoneticPr fontId="7" type="noConversion"/>
  </si>
  <si>
    <t>CNTNL</t>
    <phoneticPr fontId="7" type="noConversion"/>
  </si>
  <si>
    <t>CNWEI</t>
    <phoneticPr fontId="7" type="noConversion"/>
  </si>
  <si>
    <t>CNWNZ</t>
    <phoneticPr fontId="7" type="noConversion"/>
  </si>
  <si>
    <t>Wuhan</t>
    <phoneticPr fontId="11" type="noConversion"/>
  </si>
  <si>
    <t>CNWUH</t>
    <phoneticPr fontId="7" type="noConversion"/>
  </si>
  <si>
    <t>Wuhan</t>
    <phoneticPr fontId="7" type="noConversion"/>
  </si>
  <si>
    <t>Xiamen</t>
    <phoneticPr fontId="7" type="noConversion"/>
  </si>
  <si>
    <t>Wuhu</t>
    <phoneticPr fontId="11" type="noConversion"/>
  </si>
  <si>
    <t>CNWHI</t>
    <phoneticPr fontId="7" type="noConversion"/>
  </si>
  <si>
    <t>Xiangyang</t>
    <phoneticPr fontId="7" type="noConversion"/>
  </si>
  <si>
    <t>CNXAN</t>
    <phoneticPr fontId="7" type="noConversion"/>
  </si>
  <si>
    <t>CNXUZ</t>
    <phoneticPr fontId="7" type="noConversion"/>
  </si>
  <si>
    <t>Yangzhou</t>
    <phoneticPr fontId="11" type="noConversion"/>
  </si>
  <si>
    <t>CNYZH</t>
    <phoneticPr fontId="7" type="noConversion"/>
  </si>
  <si>
    <t>CNYNT</t>
    <phoneticPr fontId="7" type="noConversion"/>
  </si>
  <si>
    <t>Yibin</t>
    <phoneticPr fontId="11" type="noConversion"/>
  </si>
  <si>
    <t>CNYBN</t>
    <phoneticPr fontId="7" type="noConversion"/>
  </si>
  <si>
    <t>Yichang</t>
    <phoneticPr fontId="11" type="noConversion"/>
  </si>
  <si>
    <t>CNYIC</t>
    <phoneticPr fontId="7" type="noConversion"/>
  </si>
  <si>
    <t>Ningxia</t>
    <phoneticPr fontId="7" type="noConversion"/>
  </si>
  <si>
    <t>Yinchuan</t>
    <phoneticPr fontId="7" type="noConversion"/>
  </si>
  <si>
    <t>CNYIH</t>
    <phoneticPr fontId="7" type="noConversion"/>
  </si>
  <si>
    <t>Tianjin</t>
    <phoneticPr fontId="7" type="noConversion"/>
  </si>
  <si>
    <t>Zhejiang</t>
    <phoneticPr fontId="7" type="noConversion"/>
  </si>
  <si>
    <t>Yiwu</t>
    <phoneticPr fontId="7" type="noConversion"/>
  </si>
  <si>
    <t>CNYIU</t>
    <phoneticPr fontId="7" type="noConversion"/>
  </si>
  <si>
    <t>Yueyang</t>
    <phoneticPr fontId="11" type="noConversion"/>
  </si>
  <si>
    <t>Zhangjiagang</t>
    <phoneticPr fontId="11" type="noConversion"/>
  </si>
  <si>
    <t>CNZJG</t>
    <phoneticPr fontId="7" type="noConversion"/>
  </si>
  <si>
    <t>CNZAP</t>
    <phoneticPr fontId="7" type="noConversion"/>
  </si>
  <si>
    <t>Zhengzhou</t>
    <phoneticPr fontId="7" type="noConversion"/>
  </si>
  <si>
    <t>CNCGO</t>
    <phoneticPr fontId="7" type="noConversion"/>
  </si>
  <si>
    <t>Qingdao</t>
    <phoneticPr fontId="7" type="noConversion"/>
  </si>
  <si>
    <t>Zhenjiang</t>
    <phoneticPr fontId="11" type="noConversion"/>
  </si>
  <si>
    <t>CNZHE</t>
    <phoneticPr fontId="7" type="noConversion"/>
  </si>
  <si>
    <t>Remarks:</t>
    <phoneticPr fontId="7" type="noConversion"/>
  </si>
  <si>
    <t>For Nanjing Shipments, if the gross weight (cargo weight + tare weight) is over 30.5 tons, please add USD65/95 (20'/40') on top of our add-on to cover heavy surcharge in Nanjing terminal</t>
    <phoneticPr fontId="7" type="noConversion"/>
  </si>
  <si>
    <t>For shipments T/S via Ningbo, if the gross weight (cargo weight + tare weight) is over 32.5 tons, please add USD35/52 (20'/40') on top of our add-on to cover heavy surcharge</t>
    <phoneticPr fontId="7" type="noConversion"/>
  </si>
  <si>
    <t>For shipments T/S via SHA, if the gross weight (cargo weight + tare weight) is over 30.5 tons T/S, OWT surcharge will be auto-rated. (CNY 650/900 for 20'/40')</t>
    <phoneticPr fontId="7" type="noConversion"/>
  </si>
  <si>
    <t>PCT amount will be increased eff from 10 AUG 2026 . USD 100/TEU</t>
  </si>
  <si>
    <t>PCT amount increased eff from 10 AUG 2026 . USD 100/TEU</t>
  </si>
  <si>
    <t>PCT amount   increased eff from 10 AUG 2026 . USD 100/TEU</t>
  </si>
  <si>
    <t>Free days for FAK DRY cargo( applicable for FAK Dry / DG   cargo )</t>
  </si>
  <si>
    <t>      Expire </t>
  </si>
  <si>
    <t>18 days Dry / 12 days DG</t>
  </si>
  <si>
    <t>1 July 2026 to 30 Sept 2026</t>
  </si>
  <si>
    <t>Barranquilla  </t>
  </si>
  <si>
    <t>12 days Dry / 12 days DG</t>
  </si>
  <si>
    <t>Moin </t>
  </si>
  <si>
    <t>15 days Dry / 15 days DG</t>
  </si>
  <si>
    <t>Puerto Barrios</t>
  </si>
  <si>
    <t>Puerto Cabello</t>
  </si>
  <si>
    <t>14 days Dry Only</t>
  </si>
  <si>
    <t>La Guaira</t>
  </si>
  <si>
    <t>15 days Dry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</si>
</sst>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&quot;$&quot;#,##0"/>
    <numFmt numFmtId="165" formatCode="[$-13C09]d\ mmm\ yyyy"/>
    <numFmt numFmtId="166" formatCode="0_ ;[Red]\-0\ "/>
    <numFmt numFmtId="167" formatCode="_ * #,##0.00_ ;_ * \-#,##0.00_ ;_ * &quot;-&quot;??_ ;_ @_ "/>
    <numFmt numFmtId="168" formatCode="[$-409]dd\-mmm\-yy;@"/>
  </numFmts>
  <fonts count="8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BD0F7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CC0099"/>
      <name val="Calibri"/>
      <family val="2"/>
      <scheme val="minor"/>
    </font>
    <font>
      <sz val="14"/>
      <name val="SWISS"/>
      <family val="1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9"/>
      <name val="Calibri"/>
      <family val="2"/>
      <scheme val="minor"/>
    </font>
    <font>
      <u/>
      <sz val="11"/>
      <color rgb="FFCC0099"/>
      <name val="Calibri"/>
      <family val="2"/>
      <scheme val="minor"/>
    </font>
    <font>
      <b/>
      <sz val="14"/>
      <color rgb="FFCC009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6"/>
      <color rgb="FFFF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8"/>
      <color rgb="FFCC0099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20"/>
      <color theme="1"/>
      <name val="Calibri"/>
      <family val="2"/>
      <scheme val="minor"/>
    </font>
    <font>
      <b/>
      <sz val="22"/>
      <color rgb="FFCC0099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rgb="FF44546A"/>
      <name val="Calibri"/>
      <family val="2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Tahoma"/>
      <family val="2"/>
    </font>
    <font>
      <sz val="11"/>
      <color theme="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8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70C0"/>
      <name val="Calibri"/>
      <family val="2"/>
    </font>
    <font>
      <b/>
      <sz val="12"/>
      <color rgb="FF0070C0"/>
      <name val="Calibri"/>
      <family val="2"/>
    </font>
    <font>
      <b/>
      <u/>
      <sz val="11"/>
      <color rgb="FF0070C0"/>
      <name val="Calibri"/>
      <family val="2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222222"/>
      <name val="Arial"/>
      <family val="2"/>
    </font>
    <font>
      <sz val="11"/>
      <color rgb="FF000000"/>
      <name val="Arial"/>
      <family val="2"/>
    </font>
    <font>
      <sz val="11"/>
      <name val="SimSun"/>
    </font>
    <font>
      <b/>
      <strike/>
      <sz val="14"/>
      <color rgb="FFFF0000"/>
      <name val="Calibri"/>
      <family val="2"/>
    </font>
    <font>
      <sz val="11"/>
      <color rgb="FF000000"/>
      <name val="Calibri"/>
      <family val="2"/>
    </font>
    <font>
      <sz val="11"/>
      <color rgb="FF222222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4"/>
      <color rgb="FF222222"/>
      <name val="Calibri Light"/>
      <family val="2"/>
      <scheme val="maj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3"/>
      <name val="Arial"/>
      <family val="2"/>
    </font>
    <font>
      <sz val="11"/>
      <color theme="3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SimSun"/>
    </font>
    <font>
      <b/>
      <sz val="10"/>
      <color theme="1"/>
      <name val="Arial"/>
      <family val="2"/>
    </font>
    <font>
      <sz val="10"/>
      <color rgb="FF222222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009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CC00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CFF"/>
        <bgColor rgb="FFFFCCFF"/>
      </patternFill>
    </fill>
    <fill>
      <patternFill patternType="solid">
        <fgColor rgb="FFBDD6EE"/>
        <bgColor rgb="FFBDD6EE"/>
      </patternFill>
    </fill>
    <fill>
      <patternFill patternType="solid">
        <fgColor rgb="FFBD0096"/>
        <bgColor rgb="FFBD0096"/>
      </patternFill>
    </fill>
    <fill>
      <patternFill patternType="solid">
        <fgColor rgb="FFA8D08D"/>
        <bgColor rgb="FFA8D08D"/>
      </patternFill>
    </fill>
    <fill>
      <patternFill patternType="solid">
        <fgColor theme="7" tint="0.79998168889431442"/>
        <bgColor rgb="FFFEF2CB"/>
      </patternFill>
    </fill>
    <fill>
      <patternFill patternType="solid">
        <fgColor rgb="FF548135"/>
        <bgColor rgb="FF548135"/>
      </patternFill>
    </fill>
    <fill>
      <patternFill patternType="solid">
        <fgColor theme="5"/>
        <bgColor theme="5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EF2C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rgb="FFBD0096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theme="5"/>
      </patternFill>
    </fill>
    <fill>
      <patternFill patternType="solid">
        <fgColor theme="6" tint="0.79998168889431442"/>
        <bgColor rgb="FFFEF2CB"/>
      </patternFill>
    </fill>
    <fill>
      <patternFill patternType="solid">
        <fgColor theme="9" tint="0.59999389629810485"/>
        <bgColor rgb="FFFBE4D5"/>
      </patternFill>
    </fill>
    <fill>
      <patternFill patternType="solid">
        <fgColor theme="9" tint="0.59999389629810485"/>
        <bgColor theme="1"/>
      </patternFill>
    </fill>
    <fill>
      <patternFill patternType="solid">
        <fgColor theme="0"/>
        <bgColor theme="1"/>
      </patternFill>
    </fill>
    <fill>
      <patternFill patternType="solid">
        <fgColor theme="4" tint="0.59999389629810485"/>
        <bgColor rgb="FFBDD6EE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0"/>
        <bgColor rgb="FFC5E0B3"/>
      </patternFill>
    </fill>
    <fill>
      <patternFill patternType="solid">
        <fgColor theme="0"/>
        <bgColor rgb="FFBD0096"/>
      </patternFill>
    </fill>
    <fill>
      <patternFill patternType="solid">
        <fgColor rgb="FFFFFF00"/>
        <bgColor rgb="FFBD0096"/>
      </patternFill>
    </fill>
    <fill>
      <patternFill patternType="solid">
        <fgColor rgb="FF7030A0"/>
        <bgColor rgb="FFBD0096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rgb="FFBDD6EE"/>
      </patternFill>
    </fill>
    <fill>
      <patternFill patternType="solid">
        <fgColor rgb="FFFFC000"/>
        <bgColor rgb="FF54813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BD0096"/>
      </patternFill>
    </fill>
    <fill>
      <patternFill patternType="solid">
        <fgColor theme="0"/>
        <bgColor theme="5"/>
      </patternFill>
    </fill>
    <fill>
      <patternFill patternType="solid">
        <fgColor theme="8" tint="0.79998168889431442"/>
        <bgColor rgb="FFBD0096"/>
      </patternFill>
    </fill>
    <fill>
      <patternFill patternType="solid">
        <fgColor theme="1"/>
        <bgColor rgb="FFFEF2CB"/>
      </patternFill>
    </fill>
    <fill>
      <patternFill patternType="solid">
        <fgColor theme="1"/>
        <bgColor theme="0"/>
      </patternFill>
    </fill>
    <fill>
      <patternFill patternType="solid">
        <fgColor theme="1"/>
        <bgColor theme="1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rgb="FFFEF2CB"/>
      </patternFill>
    </fill>
    <fill>
      <patternFill patternType="solid">
        <fgColor theme="4" tint="0.59999389629810485"/>
        <bgColor rgb="FFFBE4D5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72">
    <xf numFmtId="0" fontId="0" fillId="0" borderId="0"/>
    <xf numFmtId="0" fontId="12" fillId="8" borderId="0"/>
    <xf numFmtId="0" fontId="15" fillId="0" borderId="0"/>
    <xf numFmtId="0" fontId="15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23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2" fillId="0" borderId="0"/>
    <xf numFmtId="0" fontId="48" fillId="0" borderId="0"/>
    <xf numFmtId="0" fontId="1" fillId="0" borderId="0">
      <alignment vertical="center"/>
    </xf>
    <xf numFmtId="0" fontId="15" fillId="0" borderId="0"/>
    <xf numFmtId="0" fontId="15" fillId="0" borderId="0"/>
    <xf numFmtId="0" fontId="1" fillId="0" borderId="0"/>
    <xf numFmtId="0" fontId="1" fillId="0" borderId="0"/>
    <xf numFmtId="0" fontId="49" fillId="0" borderId="0"/>
    <xf numFmtId="0" fontId="50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5" fillId="0" borderId="0"/>
    <xf numFmtId="0" fontId="22" fillId="0" borderId="0"/>
    <xf numFmtId="0" fontId="22" fillId="0" borderId="0"/>
    <xf numFmtId="0" fontId="69" fillId="0" borderId="0"/>
  </cellStyleXfs>
  <cellXfs count="374">
    <xf numFmtId="0" fontId="0" fillId="0" borderId="0" xfId="0"/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6" fillId="9" borderId="10" xfId="2" applyFont="1" applyFill="1" applyBorder="1" applyAlignment="1">
      <alignment wrapText="1"/>
    </xf>
    <xf numFmtId="0" fontId="16" fillId="9" borderId="10" xfId="2" applyFont="1" applyFill="1" applyBorder="1" applyAlignment="1">
      <alignment horizontal="center" wrapText="1"/>
    </xf>
    <xf numFmtId="0" fontId="16" fillId="9" borderId="11" xfId="2" applyFont="1" applyFill="1" applyBorder="1" applyAlignment="1">
      <alignment horizontal="center" wrapText="1"/>
    </xf>
    <xf numFmtId="0" fontId="9" fillId="6" borderId="13" xfId="3" applyFont="1" applyFill="1" applyBorder="1" applyAlignment="1">
      <alignment horizontal="center"/>
    </xf>
    <xf numFmtId="0" fontId="9" fillId="6" borderId="15" xfId="3" applyFont="1" applyFill="1" applyBorder="1" applyAlignment="1">
      <alignment horizontal="left"/>
    </xf>
    <xf numFmtId="0" fontId="0" fillId="0" borderId="17" xfId="0" applyBorder="1"/>
    <xf numFmtId="0" fontId="9" fillId="0" borderId="17" xfId="3" applyFont="1" applyBorder="1" applyAlignment="1">
      <alignment horizontal="left"/>
    </xf>
    <xf numFmtId="0" fontId="1" fillId="0" borderId="17" xfId="4" applyBorder="1" applyAlignment="1">
      <alignment horizontal="center"/>
    </xf>
    <xf numFmtId="0" fontId="9" fillId="0" borderId="17" xfId="3" applyFont="1" applyBorder="1" applyAlignment="1">
      <alignment horizontal="center"/>
    </xf>
    <xf numFmtId="0" fontId="9" fillId="0" borderId="0" xfId="3" applyFont="1" applyAlignment="1">
      <alignment horizontal="left"/>
    </xf>
    <xf numFmtId="0" fontId="1" fillId="0" borderId="0" xfId="4" applyAlignment="1">
      <alignment horizontal="center"/>
    </xf>
    <xf numFmtId="0" fontId="9" fillId="0" borderId="0" xfId="3" applyFont="1" applyAlignment="1">
      <alignment horizontal="center"/>
    </xf>
    <xf numFmtId="0" fontId="11" fillId="6" borderId="13" xfId="4" applyFont="1" applyFill="1" applyBorder="1" applyAlignment="1">
      <alignment horizontal="left" vertical="center" wrapText="1"/>
    </xf>
    <xf numFmtId="2" fontId="11" fillId="6" borderId="16" xfId="4" applyNumberFormat="1" applyFont="1" applyFill="1" applyBorder="1" applyAlignment="1">
      <alignment horizontal="left" vertical="center" wrapText="1"/>
    </xf>
    <xf numFmtId="0" fontId="7" fillId="10" borderId="0" xfId="0" applyFont="1" applyFill="1" applyAlignment="1">
      <alignment horizontal="center"/>
    </xf>
    <xf numFmtId="0" fontId="7" fillId="10" borderId="0" xfId="0" applyFont="1" applyFill="1"/>
    <xf numFmtId="0" fontId="18" fillId="10" borderId="0" xfId="0" quotePrefix="1" applyFont="1" applyFill="1" applyAlignment="1">
      <alignment horizontal="left" vertical="center"/>
    </xf>
    <xf numFmtId="1" fontId="9" fillId="6" borderId="1" xfId="0" applyNumberFormat="1" applyFont="1" applyFill="1" applyBorder="1" applyAlignment="1">
      <alignment horizontal="center" vertical="center"/>
    </xf>
    <xf numFmtId="0" fontId="27" fillId="7" borderId="0" xfId="0" applyFont="1" applyFill="1" applyAlignment="1">
      <alignment horizontal="left"/>
    </xf>
    <xf numFmtId="0" fontId="27" fillId="7" borderId="0" xfId="0" applyFont="1" applyFill="1" applyAlignment="1">
      <alignment horizontal="center"/>
    </xf>
    <xf numFmtId="0" fontId="10" fillId="0" borderId="0" xfId="0" applyFont="1"/>
    <xf numFmtId="0" fontId="0" fillId="6" borderId="0" xfId="0" applyFill="1"/>
    <xf numFmtId="0" fontId="2" fillId="3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64" fontId="28" fillId="6" borderId="2" xfId="0" applyNumberFormat="1" applyFont="1" applyFill="1" applyBorder="1" applyAlignment="1">
      <alignment horizontal="center" vertical="center"/>
    </xf>
    <xf numFmtId="164" fontId="28" fillId="11" borderId="2" xfId="0" applyNumberFormat="1" applyFont="1" applyFill="1" applyBorder="1" applyAlignment="1">
      <alignment horizontal="center" vertical="center"/>
    </xf>
    <xf numFmtId="0" fontId="29" fillId="0" borderId="0" xfId="0" quotePrefix="1" applyFont="1" applyAlignment="1">
      <alignment horizontal="left" vertical="center"/>
    </xf>
    <xf numFmtId="0" fontId="19" fillId="10" borderId="0" xfId="0" quotePrefix="1" applyFont="1" applyFill="1"/>
    <xf numFmtId="0" fontId="30" fillId="10" borderId="0" xfId="0" applyFont="1" applyFill="1" applyAlignment="1">
      <alignment horizontal="center"/>
    </xf>
    <xf numFmtId="0" fontId="30" fillId="10" borderId="0" xfId="0" applyFont="1" applyFill="1"/>
    <xf numFmtId="0" fontId="21" fillId="10" borderId="0" xfId="0" applyFont="1" applyFill="1"/>
    <xf numFmtId="0" fontId="31" fillId="0" borderId="0" xfId="0" applyFont="1"/>
    <xf numFmtId="0" fontId="32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10" fillId="2" borderId="0" xfId="0" applyFont="1" applyFill="1"/>
    <xf numFmtId="0" fontId="10" fillId="0" borderId="0" xfId="0" applyFont="1" applyAlignment="1">
      <alignment horizontal="center" vertical="center"/>
    </xf>
    <xf numFmtId="0" fontId="29" fillId="0" borderId="0" xfId="0" applyFont="1"/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/>
    </xf>
    <xf numFmtId="0" fontId="34" fillId="0" borderId="0" xfId="0" applyFont="1"/>
    <xf numFmtId="1" fontId="10" fillId="0" borderId="0" xfId="0" applyNumberFormat="1" applyFont="1" applyAlignment="1">
      <alignment horizontal="center" vertical="center"/>
    </xf>
    <xf numFmtId="0" fontId="31" fillId="7" borderId="0" xfId="0" applyFont="1" applyFill="1" applyAlignment="1">
      <alignment horizontal="center"/>
    </xf>
    <xf numFmtId="1" fontId="29" fillId="7" borderId="0" xfId="0" applyNumberFormat="1" applyFont="1" applyFill="1" applyAlignment="1">
      <alignment horizontal="center" vertical="center"/>
    </xf>
    <xf numFmtId="0" fontId="36" fillId="13" borderId="0" xfId="0" applyFont="1" applyFill="1" applyAlignment="1">
      <alignment vertical="center"/>
    </xf>
    <xf numFmtId="0" fontId="31" fillId="13" borderId="0" xfId="0" applyFont="1" applyFill="1" applyAlignment="1">
      <alignment horizontal="center"/>
    </xf>
    <xf numFmtId="1" fontId="29" fillId="13" borderId="0" xfId="0" applyNumberFormat="1" applyFont="1" applyFill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9" fillId="16" borderId="3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37" fillId="7" borderId="0" xfId="0" applyFont="1" applyFill="1" applyAlignment="1">
      <alignment vertical="center"/>
    </xf>
    <xf numFmtId="0" fontId="21" fillId="7" borderId="0" xfId="0" applyFont="1" applyFill="1" applyAlignment="1">
      <alignment horizontal="center"/>
    </xf>
    <xf numFmtId="1" fontId="19" fillId="7" borderId="0" xfId="0" applyNumberFormat="1" applyFont="1" applyFill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37" fillId="13" borderId="0" xfId="0" applyFont="1" applyFill="1" applyAlignment="1">
      <alignment vertical="center"/>
    </xf>
    <xf numFmtId="0" fontId="21" fillId="13" borderId="0" xfId="0" applyFont="1" applyFill="1" applyAlignment="1">
      <alignment horizontal="center"/>
    </xf>
    <xf numFmtId="1" fontId="19" fillId="13" borderId="0" xfId="0" applyNumberFormat="1" applyFont="1" applyFill="1" applyAlignment="1">
      <alignment horizontal="center" vertical="center"/>
    </xf>
    <xf numFmtId="1" fontId="9" fillId="7" borderId="0" xfId="0" applyNumberFormat="1" applyFont="1" applyFill="1" applyAlignment="1">
      <alignment horizontal="center" vertical="center"/>
    </xf>
    <xf numFmtId="164" fontId="28" fillId="14" borderId="2" xfId="0" applyNumberFormat="1" applyFont="1" applyFill="1" applyBorder="1" applyAlignment="1">
      <alignment horizontal="center" vertical="center"/>
    </xf>
    <xf numFmtId="1" fontId="41" fillId="18" borderId="1" xfId="0" applyNumberFormat="1" applyFont="1" applyFill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 vertical="center"/>
    </xf>
    <xf numFmtId="0" fontId="39" fillId="7" borderId="0" xfId="0" applyFont="1" applyFill="1"/>
    <xf numFmtId="0" fontId="33" fillId="7" borderId="0" xfId="0" applyFont="1" applyFill="1"/>
    <xf numFmtId="0" fontId="0" fillId="7" borderId="0" xfId="0" applyFill="1"/>
    <xf numFmtId="0" fontId="38" fillId="7" borderId="0" xfId="0" applyFont="1" applyFill="1"/>
    <xf numFmtId="165" fontId="40" fillId="20" borderId="3" xfId="0" applyNumberFormat="1" applyFont="1" applyFill="1" applyBorder="1" applyAlignment="1">
      <alignment horizontal="center"/>
    </xf>
    <xf numFmtId="165" fontId="40" fillId="20" borderId="1" xfId="0" applyNumberFormat="1" applyFont="1" applyFill="1" applyBorder="1" applyAlignment="1">
      <alignment horizontal="center"/>
    </xf>
    <xf numFmtId="1" fontId="42" fillId="21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42" fillId="19" borderId="3" xfId="0" applyFont="1" applyFill="1" applyBorder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46" fillId="10" borderId="0" xfId="0" quotePrefix="1" applyFont="1" applyFill="1" applyAlignment="1">
      <alignment horizontal="left" vertical="center"/>
    </xf>
    <xf numFmtId="0" fontId="0" fillId="10" borderId="0" xfId="0" applyFill="1" applyAlignment="1">
      <alignment horizontal="center"/>
    </xf>
    <xf numFmtId="0" fontId="0" fillId="10" borderId="0" xfId="0" applyFill="1"/>
    <xf numFmtId="0" fontId="10" fillId="10" borderId="0" xfId="0" applyFont="1" applyFill="1"/>
    <xf numFmtId="0" fontId="5" fillId="10" borderId="0" xfId="0" applyFont="1" applyFill="1"/>
    <xf numFmtId="0" fontId="22" fillId="0" borderId="0" xfId="0" applyFont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8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/>
    </xf>
    <xf numFmtId="0" fontId="47" fillId="22" borderId="1" xfId="0" applyFont="1" applyFill="1" applyBorder="1" applyAlignment="1">
      <alignment horizontal="center"/>
    </xf>
    <xf numFmtId="0" fontId="40" fillId="18" borderId="1" xfId="0" applyFont="1" applyFill="1" applyBorder="1" applyAlignment="1">
      <alignment horizontal="center" vertical="center"/>
    </xf>
    <xf numFmtId="0" fontId="40" fillId="18" borderId="3" xfId="0" applyFont="1" applyFill="1" applyBorder="1" applyAlignment="1">
      <alignment horizontal="center"/>
    </xf>
    <xf numFmtId="0" fontId="42" fillId="19" borderId="1" xfId="0" applyFont="1" applyFill="1" applyBorder="1" applyAlignment="1">
      <alignment horizontal="center" vertical="center"/>
    </xf>
    <xf numFmtId="0" fontId="42" fillId="19" borderId="1" xfId="0" applyFont="1" applyFill="1" applyBorder="1" applyAlignment="1">
      <alignment horizontal="center"/>
    </xf>
    <xf numFmtId="0" fontId="42" fillId="27" borderId="1" xfId="0" applyFont="1" applyFill="1" applyBorder="1" applyAlignment="1">
      <alignment horizontal="center" vertical="center"/>
    </xf>
    <xf numFmtId="0" fontId="42" fillId="27" borderId="1" xfId="0" applyFont="1" applyFill="1" applyBorder="1" applyAlignment="1">
      <alignment horizontal="center"/>
    </xf>
    <xf numFmtId="0" fontId="40" fillId="21" borderId="1" xfId="0" applyFont="1" applyFill="1" applyBorder="1" applyAlignment="1">
      <alignment horizontal="center" vertical="center"/>
    </xf>
    <xf numFmtId="0" fontId="40" fillId="21" borderId="24" xfId="0" applyFont="1" applyFill="1" applyBorder="1" applyAlignment="1">
      <alignment horizontal="center" wrapText="1"/>
    </xf>
    <xf numFmtId="0" fontId="42" fillId="0" borderId="1" xfId="0" applyFont="1" applyBorder="1" applyAlignment="1">
      <alignment horizontal="center" vertical="center"/>
    </xf>
    <xf numFmtId="0" fontId="42" fillId="19" borderId="1" xfId="0" applyFont="1" applyFill="1" applyBorder="1" applyAlignment="1">
      <alignment horizontal="center" wrapText="1"/>
    </xf>
    <xf numFmtId="0" fontId="42" fillId="28" borderId="1" xfId="0" applyFont="1" applyFill="1" applyBorder="1" applyAlignment="1">
      <alignment horizontal="center" vertical="center"/>
    </xf>
    <xf numFmtId="0" fontId="42" fillId="28" borderId="4" xfId="0" applyFont="1" applyFill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2" fillId="2" borderId="1" xfId="0" applyFont="1" applyFill="1" applyBorder="1" applyAlignment="1">
      <alignment horizontal="center"/>
    </xf>
    <xf numFmtId="0" fontId="42" fillId="0" borderId="3" xfId="0" applyFont="1" applyBorder="1" applyAlignment="1">
      <alignment horizontal="center"/>
    </xf>
    <xf numFmtId="1" fontId="40" fillId="17" borderId="1" xfId="24" applyNumberFormat="1" applyFont="1" applyFill="1" applyBorder="1" applyAlignment="1">
      <alignment horizontal="center" vertical="center"/>
    </xf>
    <xf numFmtId="1" fontId="42" fillId="0" borderId="1" xfId="24" applyNumberFormat="1" applyFont="1" applyBorder="1" applyAlignment="1">
      <alignment horizontal="center" vertical="center"/>
    </xf>
    <xf numFmtId="1" fontId="40" fillId="27" borderId="1" xfId="24" applyNumberFormat="1" applyFont="1" applyFill="1" applyBorder="1" applyAlignment="1">
      <alignment horizontal="center" vertical="center"/>
    </xf>
    <xf numFmtId="1" fontId="42" fillId="29" borderId="1" xfId="24" applyNumberFormat="1" applyFont="1" applyFill="1" applyBorder="1" applyAlignment="1">
      <alignment horizontal="center" vertical="center"/>
    </xf>
    <xf numFmtId="1" fontId="40" fillId="30" borderId="1" xfId="24" applyNumberFormat="1" applyFont="1" applyFill="1" applyBorder="1" applyAlignment="1">
      <alignment horizontal="center" vertical="center"/>
    </xf>
    <xf numFmtId="0" fontId="40" fillId="18" borderId="3" xfId="0" applyFont="1" applyFill="1" applyBorder="1" applyAlignment="1">
      <alignment horizontal="center" vertical="center"/>
    </xf>
    <xf numFmtId="0" fontId="53" fillId="7" borderId="0" xfId="0" applyFont="1" applyFill="1" applyAlignment="1">
      <alignment horizontal="center"/>
    </xf>
    <xf numFmtId="1" fontId="54" fillId="7" borderId="0" xfId="0" applyNumberFormat="1" applyFont="1" applyFill="1" applyAlignment="1">
      <alignment horizontal="center" vertical="center"/>
    </xf>
    <xf numFmtId="0" fontId="27" fillId="7" borderId="0" xfId="0" applyFont="1" applyFill="1"/>
    <xf numFmtId="0" fontId="27" fillId="0" borderId="0" xfId="0" applyFont="1"/>
    <xf numFmtId="0" fontId="27" fillId="0" borderId="0" xfId="0" applyFont="1" applyAlignment="1">
      <alignment horizontal="center"/>
    </xf>
    <xf numFmtId="0" fontId="52" fillId="13" borderId="0" xfId="0" applyFont="1" applyFill="1" applyAlignment="1">
      <alignment vertical="center"/>
    </xf>
    <xf numFmtId="0" fontId="53" fillId="13" borderId="0" xfId="0" applyFont="1" applyFill="1" applyAlignment="1">
      <alignment horizontal="center"/>
    </xf>
    <xf numFmtId="1" fontId="54" fillId="13" borderId="0" xfId="0" applyNumberFormat="1" applyFont="1" applyFill="1" applyAlignment="1">
      <alignment horizontal="center" vertical="center"/>
    </xf>
    <xf numFmtId="0" fontId="27" fillId="13" borderId="0" xfId="0" applyFont="1" applyFill="1" applyAlignment="1">
      <alignment horizontal="center"/>
    </xf>
    <xf numFmtId="0" fontId="55" fillId="0" borderId="0" xfId="1" quotePrefix="1" applyFont="1" applyFill="1" applyAlignment="1">
      <alignment vertical="top"/>
    </xf>
    <xf numFmtId="0" fontId="56" fillId="0" borderId="0" xfId="0" quotePrefix="1" applyFont="1" applyAlignment="1">
      <alignment horizontal="left" vertical="center"/>
    </xf>
    <xf numFmtId="0" fontId="57" fillId="7" borderId="0" xfId="0" applyFont="1" applyFill="1" applyAlignment="1">
      <alignment horizontal="left"/>
    </xf>
    <xf numFmtId="0" fontId="57" fillId="7" borderId="0" xfId="0" applyFont="1" applyFill="1" applyAlignment="1">
      <alignment horizontal="center"/>
    </xf>
    <xf numFmtId="0" fontId="58" fillId="0" borderId="0" xfId="0" applyFont="1"/>
    <xf numFmtId="0" fontId="59" fillId="0" borderId="0" xfId="0" applyFont="1"/>
    <xf numFmtId="0" fontId="26" fillId="0" borderId="0" xfId="0" quotePrefix="1" applyFont="1" applyAlignment="1">
      <alignment horizontal="left" vertical="center"/>
    </xf>
    <xf numFmtId="0" fontId="38" fillId="0" borderId="0" xfId="0" quotePrefix="1" applyFont="1"/>
    <xf numFmtId="0" fontId="38" fillId="0" borderId="0" xfId="0" applyFont="1"/>
    <xf numFmtId="0" fontId="31" fillId="15" borderId="0" xfId="0" applyFont="1" applyFill="1"/>
    <xf numFmtId="0" fontId="60" fillId="0" borderId="0" xfId="0" applyFont="1" applyAlignment="1">
      <alignment vertical="center"/>
    </xf>
    <xf numFmtId="0" fontId="7" fillId="0" borderId="0" xfId="61" applyFont="1" applyAlignment="1">
      <alignment horizontal="center"/>
    </xf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19" fillId="14" borderId="0" xfId="0" quotePrefix="1" applyFont="1" applyFill="1"/>
    <xf numFmtId="0" fontId="30" fillId="14" borderId="0" xfId="0" applyFont="1" applyFill="1" applyAlignment="1">
      <alignment horizontal="center"/>
    </xf>
    <xf numFmtId="0" fontId="30" fillId="14" borderId="0" xfId="0" applyFont="1" applyFill="1"/>
    <xf numFmtId="0" fontId="21" fillId="14" borderId="0" xfId="0" applyFont="1" applyFill="1"/>
    <xf numFmtId="0" fontId="0" fillId="14" borderId="0" xfId="0" applyFill="1"/>
    <xf numFmtId="0" fontId="31" fillId="14" borderId="0" xfId="0" applyFont="1" applyFill="1"/>
    <xf numFmtId="0" fontId="31" fillId="10" borderId="0" xfId="0" applyFont="1" applyFill="1"/>
    <xf numFmtId="0" fontId="39" fillId="35" borderId="0" xfId="0" applyFont="1" applyFill="1"/>
    <xf numFmtId="0" fontId="33" fillId="35" borderId="0" xfId="0" applyFont="1" applyFill="1"/>
    <xf numFmtId="0" fontId="0" fillId="35" borderId="0" xfId="0" applyFill="1"/>
    <xf numFmtId="0" fontId="38" fillId="35" borderId="0" xfId="0" applyFont="1" applyFill="1"/>
    <xf numFmtId="0" fontId="4" fillId="0" borderId="13" xfId="3" applyFont="1" applyBorder="1" applyAlignment="1">
      <alignment horizontal="center"/>
    </xf>
    <xf numFmtId="0" fontId="9" fillId="6" borderId="13" xfId="3" applyFont="1" applyFill="1" applyBorder="1" applyAlignment="1">
      <alignment horizontal="center" wrapText="1"/>
    </xf>
    <xf numFmtId="0" fontId="1" fillId="0" borderId="15" xfId="4" applyBorder="1" applyAlignment="1">
      <alignment horizontal="center"/>
    </xf>
    <xf numFmtId="0" fontId="4" fillId="0" borderId="16" xfId="3" applyFont="1" applyBorder="1" applyAlignment="1">
      <alignment horizontal="center"/>
    </xf>
    <xf numFmtId="0" fontId="3" fillId="0" borderId="0" xfId="0" applyFont="1"/>
    <xf numFmtId="0" fontId="64" fillId="0" borderId="0" xfId="0" applyFont="1" applyAlignment="1">
      <alignment horizontal="center"/>
    </xf>
    <xf numFmtId="0" fontId="7" fillId="36" borderId="0" xfId="0" applyFont="1" applyFill="1"/>
    <xf numFmtId="0" fontId="7" fillId="37" borderId="1" xfId="0" applyFont="1" applyFill="1" applyBorder="1" applyAlignment="1">
      <alignment horizontal="center"/>
    </xf>
    <xf numFmtId="1" fontId="40" fillId="17" borderId="1" xfId="0" applyNumberFormat="1" applyFont="1" applyFill="1" applyBorder="1" applyAlignment="1">
      <alignment horizontal="center" vertical="center"/>
    </xf>
    <xf numFmtId="1" fontId="40" fillId="40" borderId="1" xfId="0" applyNumberFormat="1" applyFont="1" applyFill="1" applyBorder="1" applyAlignment="1">
      <alignment horizontal="center" vertical="center"/>
    </xf>
    <xf numFmtId="1" fontId="40" fillId="41" borderId="1" xfId="0" applyNumberFormat="1" applyFont="1" applyFill="1" applyBorder="1" applyAlignment="1">
      <alignment horizontal="center" vertical="center"/>
    </xf>
    <xf numFmtId="1" fontId="41" fillId="42" borderId="1" xfId="0" applyNumberFormat="1" applyFont="1" applyFill="1" applyBorder="1" applyAlignment="1">
      <alignment horizontal="center" vertical="center"/>
    </xf>
    <xf numFmtId="1" fontId="41" fillId="43" borderId="1" xfId="0" applyNumberFormat="1" applyFont="1" applyFill="1" applyBorder="1" applyAlignment="1">
      <alignment horizontal="center" vertical="center"/>
    </xf>
    <xf numFmtId="1" fontId="45" fillId="19" borderId="1" xfId="0" applyNumberFormat="1" applyFont="1" applyFill="1" applyBorder="1" applyAlignment="1">
      <alignment horizontal="center" vertical="center"/>
    </xf>
    <xf numFmtId="1" fontId="42" fillId="19" borderId="1" xfId="0" applyNumberFormat="1" applyFont="1" applyFill="1" applyBorder="1" applyAlignment="1">
      <alignment horizontal="center" vertical="center"/>
    </xf>
    <xf numFmtId="1" fontId="24" fillId="11" borderId="1" xfId="0" applyNumberFormat="1" applyFont="1" applyFill="1" applyBorder="1" applyAlignment="1">
      <alignment horizontal="center" vertical="center"/>
    </xf>
    <xf numFmtId="1" fontId="24" fillId="43" borderId="1" xfId="0" applyNumberFormat="1" applyFont="1" applyFill="1" applyBorder="1" applyAlignment="1">
      <alignment horizontal="center" vertical="center"/>
    </xf>
    <xf numFmtId="1" fontId="42" fillId="44" borderId="1" xfId="0" applyNumberFormat="1" applyFont="1" applyFill="1" applyBorder="1" applyAlignment="1">
      <alignment horizontal="center" vertical="center"/>
    </xf>
    <xf numFmtId="1" fontId="42" fillId="45" borderId="1" xfId="0" applyNumberFormat="1" applyFont="1" applyFill="1" applyBorder="1" applyAlignment="1">
      <alignment horizontal="center" vertical="center"/>
    </xf>
    <xf numFmtId="1" fontId="45" fillId="46" borderId="1" xfId="0" applyNumberFormat="1" applyFont="1" applyFill="1" applyBorder="1" applyAlignment="1">
      <alignment horizontal="center" vertical="center"/>
    </xf>
    <xf numFmtId="0" fontId="42" fillId="47" borderId="1" xfId="0" applyFont="1" applyFill="1" applyBorder="1" applyAlignment="1">
      <alignment horizontal="center" vertical="center"/>
    </xf>
    <xf numFmtId="0" fontId="42" fillId="47" borderId="1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 vertical="center"/>
    </xf>
    <xf numFmtId="1" fontId="41" fillId="44" borderId="1" xfId="0" applyNumberFormat="1" applyFont="1" applyFill="1" applyBorder="1" applyAlignment="1">
      <alignment horizontal="center" vertical="center"/>
    </xf>
    <xf numFmtId="1" fontId="42" fillId="6" borderId="1" xfId="0" applyNumberFormat="1" applyFont="1" applyFill="1" applyBorder="1" applyAlignment="1">
      <alignment horizontal="center" vertical="center"/>
    </xf>
    <xf numFmtId="1" fontId="42" fillId="52" borderId="1" xfId="0" applyNumberFormat="1" applyFont="1" applyFill="1" applyBorder="1" applyAlignment="1">
      <alignment horizontal="center" vertical="center"/>
    </xf>
    <xf numFmtId="1" fontId="9" fillId="7" borderId="1" xfId="0" applyNumberFormat="1" applyFont="1" applyFill="1" applyBorder="1" applyAlignment="1">
      <alignment horizontal="center" vertical="center"/>
    </xf>
    <xf numFmtId="1" fontId="41" fillId="55" borderId="1" xfId="0" applyNumberFormat="1" applyFont="1" applyFill="1" applyBorder="1" applyAlignment="1">
      <alignment horizontal="center" vertical="center"/>
    </xf>
    <xf numFmtId="1" fontId="40" fillId="30" borderId="1" xfId="0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vertical="center"/>
    </xf>
    <xf numFmtId="0" fontId="8" fillId="7" borderId="29" xfId="6" applyFont="1" applyFill="1" applyBorder="1" applyAlignment="1">
      <alignment horizontal="center" vertical="center"/>
    </xf>
    <xf numFmtId="1" fontId="42" fillId="56" borderId="1" xfId="0" applyNumberFormat="1" applyFont="1" applyFill="1" applyBorder="1" applyAlignment="1">
      <alignment horizontal="center" vertical="center"/>
    </xf>
    <xf numFmtId="0" fontId="65" fillId="0" borderId="0" xfId="0" applyFont="1"/>
    <xf numFmtId="0" fontId="47" fillId="57" borderId="1" xfId="0" applyFont="1" applyFill="1" applyBorder="1" applyAlignment="1">
      <alignment horizontal="center"/>
    </xf>
    <xf numFmtId="0" fontId="63" fillId="0" borderId="23" xfId="0" applyFont="1" applyBorder="1"/>
    <xf numFmtId="0" fontId="8" fillId="12" borderId="29" xfId="0" applyFont="1" applyFill="1" applyBorder="1" applyAlignment="1">
      <alignment horizontal="center" vertical="center"/>
    </xf>
    <xf numFmtId="164" fontId="28" fillId="11" borderId="2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" fontId="25" fillId="44" borderId="1" xfId="0" applyNumberFormat="1" applyFont="1" applyFill="1" applyBorder="1" applyAlignment="1">
      <alignment horizontal="center" vertical="center"/>
    </xf>
    <xf numFmtId="1" fontId="40" fillId="60" borderId="1" xfId="0" applyNumberFormat="1" applyFont="1" applyFill="1" applyBorder="1" applyAlignment="1">
      <alignment horizontal="center" vertical="center"/>
    </xf>
    <xf numFmtId="1" fontId="42" fillId="61" borderId="1" xfId="0" applyNumberFormat="1" applyFont="1" applyFill="1" applyBorder="1" applyAlignment="1">
      <alignment horizontal="center" vertical="center"/>
    </xf>
    <xf numFmtId="0" fontId="0" fillId="31" borderId="0" xfId="0" applyFill="1"/>
    <xf numFmtId="0" fontId="71" fillId="31" borderId="0" xfId="0" applyFont="1" applyFill="1"/>
    <xf numFmtId="0" fontId="72" fillId="31" borderId="0" xfId="0" applyFont="1" applyFill="1"/>
    <xf numFmtId="0" fontId="73" fillId="31" borderId="0" xfId="0" applyFont="1" applyFill="1"/>
    <xf numFmtId="0" fontId="10" fillId="0" borderId="2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67" fillId="0" borderId="0" xfId="0" applyFont="1" applyAlignment="1">
      <alignment vertical="center"/>
    </xf>
    <xf numFmtId="0" fontId="66" fillId="0" borderId="0" xfId="0" applyFont="1"/>
    <xf numFmtId="0" fontId="74" fillId="6" borderId="29" xfId="0" applyFont="1" applyFill="1" applyBorder="1" applyAlignment="1">
      <alignment horizontal="center" vertical="center"/>
    </xf>
    <xf numFmtId="0" fontId="75" fillId="6" borderId="29" xfId="0" applyFont="1" applyFill="1" applyBorder="1" applyAlignment="1">
      <alignment horizontal="center" vertical="center"/>
    </xf>
    <xf numFmtId="166" fontId="75" fillId="6" borderId="29" xfId="0" applyNumberFormat="1" applyFont="1" applyFill="1" applyBorder="1" applyAlignment="1">
      <alignment horizontal="center" vertical="center"/>
    </xf>
    <xf numFmtId="0" fontId="70" fillId="7" borderId="0" xfId="0" applyFont="1" applyFill="1"/>
    <xf numFmtId="1" fontId="25" fillId="62" borderId="1" xfId="0" applyNumberFormat="1" applyFont="1" applyFill="1" applyBorder="1" applyAlignment="1">
      <alignment horizontal="center" vertical="center"/>
    </xf>
    <xf numFmtId="1" fontId="24" fillId="62" borderId="1" xfId="0" applyNumberFormat="1" applyFont="1" applyFill="1" applyBorder="1" applyAlignment="1">
      <alignment horizontal="center" vertical="center"/>
    </xf>
    <xf numFmtId="0" fontId="10" fillId="56" borderId="1" xfId="0" applyFont="1" applyFill="1" applyBorder="1" applyAlignment="1">
      <alignment horizontal="center"/>
    </xf>
    <xf numFmtId="0" fontId="75" fillId="0" borderId="29" xfId="0" applyFont="1" applyBorder="1" applyAlignment="1">
      <alignment vertical="center"/>
    </xf>
    <xf numFmtId="166" fontId="75" fillId="0" borderId="29" xfId="0" applyNumberFormat="1" applyFont="1" applyBorder="1" applyAlignment="1">
      <alignment vertical="center"/>
    </xf>
    <xf numFmtId="166" fontId="75" fillId="0" borderId="29" xfId="0" applyNumberFormat="1" applyFont="1" applyBorder="1" applyAlignment="1">
      <alignment horizontal="center" vertical="center"/>
    </xf>
    <xf numFmtId="0" fontId="74" fillId="6" borderId="29" xfId="0" applyFont="1" applyFill="1" applyBorder="1" applyAlignment="1">
      <alignment horizontal="center" vertical="center" wrapText="1"/>
    </xf>
    <xf numFmtId="166" fontId="74" fillId="6" borderId="29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/>
    </xf>
    <xf numFmtId="0" fontId="9" fillId="5" borderId="29" xfId="0" applyFont="1" applyFill="1" applyBorder="1" applyAlignment="1">
      <alignment horizontal="center" vertical="center"/>
    </xf>
    <xf numFmtId="0" fontId="9" fillId="6" borderId="29" xfId="3" applyFont="1" applyFill="1" applyBorder="1" applyAlignment="1">
      <alignment horizontal="left"/>
    </xf>
    <xf numFmtId="0" fontId="4" fillId="6" borderId="29" xfId="3" applyFont="1" applyFill="1" applyBorder="1" applyAlignment="1">
      <alignment horizontal="left"/>
    </xf>
    <xf numFmtId="0" fontId="1" fillId="6" borderId="29" xfId="3" applyFont="1" applyFill="1" applyBorder="1" applyAlignment="1">
      <alignment horizontal="center"/>
    </xf>
    <xf numFmtId="0" fontId="1" fillId="0" borderId="29" xfId="4" applyBorder="1" applyAlignment="1">
      <alignment horizontal="center"/>
    </xf>
    <xf numFmtId="0" fontId="1" fillId="6" borderId="29" xfId="4" applyFill="1" applyBorder="1" applyAlignment="1">
      <alignment horizontal="center"/>
    </xf>
    <xf numFmtId="0" fontId="8" fillId="6" borderId="29" xfId="3" applyFont="1" applyFill="1" applyBorder="1" applyAlignment="1">
      <alignment horizontal="left"/>
    </xf>
    <xf numFmtId="0" fontId="3" fillId="6" borderId="29" xfId="4" applyFont="1" applyFill="1" applyBorder="1" applyAlignment="1">
      <alignment horizontal="center"/>
    </xf>
    <xf numFmtId="0" fontId="4" fillId="0" borderId="29" xfId="0" applyFont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9" fillId="6" borderId="0" xfId="0" applyFont="1" applyFill="1"/>
    <xf numFmtId="0" fontId="54" fillId="6" borderId="0" xfId="0" applyFont="1" applyFill="1"/>
    <xf numFmtId="0" fontId="10" fillId="6" borderId="0" xfId="0" applyFont="1" applyFill="1"/>
    <xf numFmtId="0" fontId="33" fillId="6" borderId="0" xfId="0" applyFont="1" applyFill="1"/>
    <xf numFmtId="0" fontId="38" fillId="6" borderId="0" xfId="0" applyFont="1" applyFill="1"/>
    <xf numFmtId="0" fontId="19" fillId="6" borderId="0" xfId="0" quotePrefix="1" applyFont="1" applyFill="1"/>
    <xf numFmtId="0" fontId="76" fillId="0" borderId="0" xfId="0" applyFont="1"/>
    <xf numFmtId="0" fontId="39" fillId="63" borderId="0" xfId="0" applyFont="1" applyFill="1"/>
    <xf numFmtId="0" fontId="33" fillId="63" borderId="0" xfId="0" applyFont="1" applyFill="1"/>
    <xf numFmtId="0" fontId="0" fillId="63" borderId="0" xfId="0" applyFill="1"/>
    <xf numFmtId="0" fontId="38" fillId="63" borderId="0" xfId="0" applyFont="1" applyFill="1"/>
    <xf numFmtId="0" fontId="77" fillId="0" borderId="0" xfId="0" applyFont="1" applyAlignment="1">
      <alignment vertical="center"/>
    </xf>
    <xf numFmtId="0" fontId="77" fillId="0" borderId="0" xfId="0" applyFont="1" applyAlignment="1">
      <alignment horizontal="left" vertical="center"/>
    </xf>
    <xf numFmtId="0" fontId="78" fillId="6" borderId="0" xfId="0" applyFont="1" applyFill="1" applyAlignment="1">
      <alignment vertical="center"/>
    </xf>
    <xf numFmtId="0" fontId="78" fillId="0" borderId="0" xfId="0" applyFont="1" applyAlignment="1">
      <alignment vertical="center"/>
    </xf>
    <xf numFmtId="0" fontId="19" fillId="64" borderId="0" xfId="0" quotePrefix="1" applyFont="1" applyFill="1"/>
    <xf numFmtId="0" fontId="30" fillId="64" borderId="0" xfId="0" applyFont="1" applyFill="1" applyAlignment="1">
      <alignment horizontal="center"/>
    </xf>
    <xf numFmtId="0" fontId="30" fillId="64" borderId="0" xfId="0" applyFont="1" applyFill="1"/>
    <xf numFmtId="0" fontId="21" fillId="64" borderId="0" xfId="0" applyFont="1" applyFill="1"/>
    <xf numFmtId="0" fontId="31" fillId="64" borderId="0" xfId="0" applyFont="1" applyFill="1"/>
    <xf numFmtId="0" fontId="74" fillId="0" borderId="32" xfId="0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0" fontId="74" fillId="6" borderId="1" xfId="0" applyFont="1" applyFill="1" applyBorder="1" applyAlignment="1">
      <alignment horizontal="center" vertical="center"/>
    </xf>
    <xf numFmtId="0" fontId="74" fillId="0" borderId="4" xfId="0" applyFont="1" applyBorder="1" applyAlignment="1">
      <alignment horizontal="center" vertical="center"/>
    </xf>
    <xf numFmtId="1" fontId="40" fillId="65" borderId="1" xfId="0" applyNumberFormat="1" applyFont="1" applyFill="1" applyBorder="1" applyAlignment="1">
      <alignment horizontal="center" vertical="center"/>
    </xf>
    <xf numFmtId="1" fontId="41" fillId="66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166" fontId="75" fillId="0" borderId="0" xfId="0" applyNumberFormat="1" applyFont="1" applyAlignment="1">
      <alignment horizontal="center" vertical="center"/>
    </xf>
    <xf numFmtId="166" fontId="79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0" fontId="20" fillId="0" borderId="0" xfId="0" applyFont="1"/>
    <xf numFmtId="0" fontId="55" fillId="0" borderId="0" xfId="0" applyFont="1"/>
    <xf numFmtId="0" fontId="41" fillId="59" borderId="4" xfId="0" applyFont="1" applyFill="1" applyBorder="1" applyAlignment="1">
      <alignment horizontal="center" vertical="center"/>
    </xf>
    <xf numFmtId="0" fontId="45" fillId="31" borderId="24" xfId="0" applyFont="1" applyFill="1" applyBorder="1"/>
    <xf numFmtId="0" fontId="45" fillId="31" borderId="3" xfId="0" applyFont="1" applyFill="1" applyBorder="1"/>
    <xf numFmtId="0" fontId="7" fillId="0" borderId="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43" fillId="23" borderId="26" xfId="0" applyFont="1" applyFill="1" applyBorder="1" applyAlignment="1">
      <alignment horizontal="center" vertical="center" wrapText="1"/>
    </xf>
    <xf numFmtId="0" fontId="43" fillId="23" borderId="25" xfId="0" applyFont="1" applyFill="1" applyBorder="1" applyAlignment="1">
      <alignment horizontal="center" vertical="center" wrapText="1"/>
    </xf>
    <xf numFmtId="0" fontId="43" fillId="23" borderId="27" xfId="0" applyFont="1" applyFill="1" applyBorder="1" applyAlignment="1">
      <alignment horizontal="center" vertical="center" wrapText="1"/>
    </xf>
    <xf numFmtId="0" fontId="30" fillId="0" borderId="23" xfId="0" applyFont="1" applyBorder="1" applyAlignment="1">
      <alignment horizontal="center"/>
    </xf>
    <xf numFmtId="0" fontId="47" fillId="38" borderId="4" xfId="0" applyFont="1" applyFill="1" applyBorder="1" applyAlignment="1">
      <alignment horizontal="center" vertical="center"/>
    </xf>
    <xf numFmtId="0" fontId="24" fillId="39" borderId="24" xfId="0" applyFont="1" applyFill="1" applyBorder="1"/>
    <xf numFmtId="0" fontId="24" fillId="39" borderId="3" xfId="0" applyFont="1" applyFill="1" applyBorder="1"/>
    <xf numFmtId="0" fontId="43" fillId="32" borderId="4" xfId="0" applyFont="1" applyFill="1" applyBorder="1" applyAlignment="1">
      <alignment horizontal="center" vertical="center" wrapText="1"/>
    </xf>
    <xf numFmtId="0" fontId="24" fillId="4" borderId="24" xfId="0" applyFont="1" applyFill="1" applyBorder="1"/>
    <xf numFmtId="0" fontId="24" fillId="4" borderId="3" xfId="0" applyFont="1" applyFill="1" applyBorder="1"/>
    <xf numFmtId="0" fontId="2" fillId="9" borderId="22" xfId="0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41" fillId="24" borderId="4" xfId="0" applyFont="1" applyFill="1" applyBorder="1" applyAlignment="1">
      <alignment horizontal="center" vertical="center" wrapText="1"/>
    </xf>
    <xf numFmtId="0" fontId="45" fillId="4" borderId="24" xfId="0" applyFont="1" applyFill="1" applyBorder="1"/>
    <xf numFmtId="0" fontId="45" fillId="4" borderId="3" xfId="0" applyFont="1" applyFill="1" applyBorder="1"/>
    <xf numFmtId="0" fontId="40" fillId="21" borderId="26" xfId="0" applyFont="1" applyFill="1" applyBorder="1" applyAlignment="1">
      <alignment horizontal="center" vertical="center" wrapText="1"/>
    </xf>
    <xf numFmtId="0" fontId="40" fillId="21" borderId="25" xfId="0" applyFont="1" applyFill="1" applyBorder="1" applyAlignment="1">
      <alignment horizontal="center" vertical="center" wrapText="1"/>
    </xf>
    <xf numFmtId="0" fontId="40" fillId="21" borderId="27" xfId="0" applyFont="1" applyFill="1" applyBorder="1" applyAlignment="1">
      <alignment horizontal="center" vertical="center" wrapText="1"/>
    </xf>
    <xf numFmtId="0" fontId="47" fillId="25" borderId="4" xfId="0" applyFont="1" applyFill="1" applyBorder="1" applyAlignment="1">
      <alignment horizontal="center" vertical="center" wrapText="1"/>
    </xf>
    <xf numFmtId="0" fontId="24" fillId="0" borderId="24" xfId="0" applyFont="1" applyBorder="1"/>
    <xf numFmtId="0" fontId="24" fillId="0" borderId="3" xfId="0" applyFont="1" applyBorder="1"/>
    <xf numFmtId="0" fontId="40" fillId="26" borderId="4" xfId="0" applyFont="1" applyFill="1" applyBorder="1" applyAlignment="1">
      <alignment horizontal="center" vertical="center"/>
    </xf>
    <xf numFmtId="0" fontId="43" fillId="18" borderId="4" xfId="0" applyFont="1" applyFill="1" applyBorder="1" applyAlignment="1">
      <alignment horizontal="center" vertical="center"/>
    </xf>
    <xf numFmtId="0" fontId="40" fillId="26" borderId="4" xfId="0" applyFont="1" applyFill="1" applyBorder="1" applyAlignment="1">
      <alignment horizontal="center" vertical="center" wrapText="1"/>
    </xf>
    <xf numFmtId="0" fontId="47" fillId="22" borderId="5" xfId="0" applyFont="1" applyFill="1" applyBorder="1" applyAlignment="1">
      <alignment horizontal="center" vertical="center"/>
    </xf>
    <xf numFmtId="0" fontId="24" fillId="0" borderId="6" xfId="0" applyFont="1" applyBorder="1"/>
    <xf numFmtId="0" fontId="47" fillId="22" borderId="4" xfId="0" applyFont="1" applyFill="1" applyBorder="1" applyAlignment="1">
      <alignment horizontal="center" vertical="center" wrapText="1"/>
    </xf>
    <xf numFmtId="0" fontId="51" fillId="0" borderId="24" xfId="0" applyFont="1" applyBorder="1"/>
    <xf numFmtId="0" fontId="51" fillId="0" borderId="3" xfId="0" applyFont="1" applyBorder="1"/>
    <xf numFmtId="0" fontId="43" fillId="23" borderId="5" xfId="0" applyFont="1" applyFill="1" applyBorder="1" applyAlignment="1">
      <alignment horizontal="center" vertical="center" wrapText="1"/>
    </xf>
    <xf numFmtId="0" fontId="24" fillId="0" borderId="7" xfId="0" applyFont="1" applyBorder="1"/>
    <xf numFmtId="0" fontId="41" fillId="24" borderId="5" xfId="0" applyFont="1" applyFill="1" applyBorder="1" applyAlignment="1">
      <alignment horizontal="center" vertical="center" wrapText="1"/>
    </xf>
    <xf numFmtId="0" fontId="45" fillId="4" borderId="6" xfId="0" applyFont="1" applyFill="1" applyBorder="1"/>
    <xf numFmtId="0" fontId="45" fillId="4" borderId="7" xfId="0" applyFont="1" applyFill="1" applyBorder="1"/>
    <xf numFmtId="0" fontId="47" fillId="22" borderId="5" xfId="0" applyFont="1" applyFill="1" applyBorder="1" applyAlignment="1">
      <alignment horizontal="center" vertical="center" wrapText="1"/>
    </xf>
    <xf numFmtId="0" fontId="51" fillId="0" borderId="6" xfId="0" applyFont="1" applyBorder="1"/>
    <xf numFmtId="0" fontId="51" fillId="0" borderId="7" xfId="0" applyFont="1" applyBorder="1"/>
    <xf numFmtId="0" fontId="44" fillId="0" borderId="0" xfId="0" quotePrefix="1" applyFont="1" applyAlignment="1">
      <alignment horizontal="left" vertical="center" wrapText="1"/>
    </xf>
    <xf numFmtId="0" fontId="40" fillId="21" borderId="4" xfId="0" applyFont="1" applyFill="1" applyBorder="1" applyAlignment="1">
      <alignment horizontal="center" vertical="center" wrapText="1"/>
    </xf>
    <xf numFmtId="0" fontId="40" fillId="21" borderId="24" xfId="0" applyFont="1" applyFill="1" applyBorder="1" applyAlignment="1">
      <alignment horizontal="center" vertical="center" wrapText="1"/>
    </xf>
    <xf numFmtId="0" fontId="40" fillId="21" borderId="3" xfId="0" applyFont="1" applyFill="1" applyBorder="1" applyAlignment="1">
      <alignment horizontal="center" vertical="center" wrapText="1"/>
    </xf>
    <xf numFmtId="0" fontId="47" fillId="22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center" vertical="center" wrapText="1"/>
    </xf>
    <xf numFmtId="0" fontId="43" fillId="23" borderId="24" xfId="0" applyFont="1" applyFill="1" applyBorder="1" applyAlignment="1">
      <alignment horizontal="center" vertical="center" wrapText="1"/>
    </xf>
    <xf numFmtId="0" fontId="43" fillId="23" borderId="3" xfId="0" applyFont="1" applyFill="1" applyBorder="1" applyAlignment="1">
      <alignment horizontal="center" vertical="center" wrapText="1"/>
    </xf>
    <xf numFmtId="0" fontId="41" fillId="49" borderId="4" xfId="0" applyFont="1" applyFill="1" applyBorder="1" applyAlignment="1">
      <alignment horizontal="center" vertical="center"/>
    </xf>
    <xf numFmtId="0" fontId="45" fillId="7" borderId="24" xfId="0" applyFont="1" applyFill="1" applyBorder="1"/>
    <xf numFmtId="0" fontId="45" fillId="7" borderId="3" xfId="0" applyFont="1" applyFill="1" applyBorder="1"/>
    <xf numFmtId="0" fontId="47" fillId="50" borderId="5" xfId="0" applyFont="1" applyFill="1" applyBorder="1" applyAlignment="1">
      <alignment horizontal="center" vertical="center"/>
    </xf>
    <xf numFmtId="0" fontId="24" fillId="51" borderId="6" xfId="0" applyFont="1" applyFill="1" applyBorder="1"/>
    <xf numFmtId="0" fontId="41" fillId="49" borderId="5" xfId="0" applyFont="1" applyFill="1" applyBorder="1" applyAlignment="1">
      <alignment horizontal="center" vertical="center"/>
    </xf>
    <xf numFmtId="0" fontId="45" fillId="7" borderId="6" xfId="0" applyFont="1" applyFill="1" applyBorder="1"/>
    <xf numFmtId="0" fontId="47" fillId="38" borderId="5" xfId="0" applyFont="1" applyFill="1" applyBorder="1" applyAlignment="1">
      <alignment horizontal="center" vertical="center"/>
    </xf>
    <xf numFmtId="0" fontId="24" fillId="39" borderId="6" xfId="0" applyFont="1" applyFill="1" applyBorder="1"/>
    <xf numFmtId="0" fontId="43" fillId="18" borderId="4" xfId="0" applyFont="1" applyFill="1" applyBorder="1" applyAlignment="1">
      <alignment horizontal="center" vertical="center" wrapText="1"/>
    </xf>
    <xf numFmtId="0" fontId="47" fillId="50" borderId="4" xfId="0" applyFont="1" applyFill="1" applyBorder="1" applyAlignment="1">
      <alignment horizontal="center" vertical="center"/>
    </xf>
    <xf numFmtId="0" fontId="24" fillId="51" borderId="24" xfId="0" applyFont="1" applyFill="1" applyBorder="1"/>
    <xf numFmtId="0" fontId="24" fillId="51" borderId="3" xfId="0" applyFont="1" applyFill="1" applyBorder="1"/>
    <xf numFmtId="0" fontId="41" fillId="48" borderId="4" xfId="0" applyFont="1" applyFill="1" applyBorder="1" applyAlignment="1">
      <alignment horizontal="center" vertical="center"/>
    </xf>
    <xf numFmtId="0" fontId="45" fillId="6" borderId="24" xfId="0" applyFont="1" applyFill="1" applyBorder="1"/>
    <xf numFmtId="0" fontId="45" fillId="6" borderId="3" xfId="0" applyFont="1" applyFill="1" applyBorder="1"/>
    <xf numFmtId="0" fontId="7" fillId="0" borderId="22" xfId="0" applyFont="1" applyBorder="1" applyAlignment="1">
      <alignment horizontal="center"/>
    </xf>
    <xf numFmtId="0" fontId="63" fillId="0" borderId="6" xfId="0" applyFont="1" applyBorder="1" applyAlignment="1">
      <alignment horizontal="center"/>
    </xf>
    <xf numFmtId="0" fontId="47" fillId="53" borderId="4" xfId="0" applyFont="1" applyFill="1" applyBorder="1" applyAlignment="1">
      <alignment horizontal="center" vertical="center" wrapText="1"/>
    </xf>
    <xf numFmtId="0" fontId="24" fillId="54" borderId="3" xfId="0" applyFont="1" applyFill="1" applyBorder="1"/>
    <xf numFmtId="0" fontId="41" fillId="18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41" fillId="18" borderId="4" xfId="0" applyFont="1" applyFill="1" applyBorder="1" applyAlignment="1">
      <alignment horizontal="center" vertical="center" wrapText="1"/>
    </xf>
    <xf numFmtId="0" fontId="40" fillId="58" borderId="4" xfId="0" applyFont="1" applyFill="1" applyBorder="1" applyAlignment="1">
      <alignment horizontal="center" vertical="center"/>
    </xf>
    <xf numFmtId="0" fontId="24" fillId="6" borderId="3" xfId="0" applyFont="1" applyFill="1" applyBorder="1"/>
    <xf numFmtId="0" fontId="43" fillId="33" borderId="4" xfId="0" applyFont="1" applyFill="1" applyBorder="1" applyAlignment="1">
      <alignment horizontal="center" vertical="center"/>
    </xf>
    <xf numFmtId="0" fontId="24" fillId="34" borderId="3" xfId="0" applyFont="1" applyFill="1" applyBorder="1"/>
    <xf numFmtId="0" fontId="43" fillId="33" borderId="4" xfId="0" applyFont="1" applyFill="1" applyBorder="1" applyAlignment="1">
      <alignment horizontal="center" vertical="center" wrapText="1"/>
    </xf>
    <xf numFmtId="0" fontId="40" fillId="58" borderId="4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10" fillId="6" borderId="29" xfId="3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166" fontId="75" fillId="6" borderId="22" xfId="0" applyNumberFormat="1" applyFont="1" applyFill="1" applyBorder="1" applyAlignment="1">
      <alignment horizontal="center" vertical="center"/>
    </xf>
    <xf numFmtId="166" fontId="75" fillId="6" borderId="21" xfId="0" applyNumberFormat="1" applyFont="1" applyFill="1" applyBorder="1" applyAlignment="1">
      <alignment horizontal="center" vertical="center"/>
    </xf>
    <xf numFmtId="166" fontId="75" fillId="6" borderId="31" xfId="0" applyNumberFormat="1" applyFont="1" applyFill="1" applyBorder="1" applyAlignment="1">
      <alignment horizontal="center" vertical="center"/>
    </xf>
    <xf numFmtId="0" fontId="0" fillId="67" borderId="0" xfId="0" applyFill="1" applyAlignment="1">
      <alignment wrapText="1"/>
    </xf>
    <xf numFmtId="0" fontId="21" fillId="0" borderId="33" xfId="0" applyFont="1" applyBorder="1" applyAlignment="1">
      <alignment wrapText="1"/>
    </xf>
    <xf numFmtId="0" fontId="81" fillId="68" borderId="34" xfId="0" applyFont="1" applyFill="1" applyBorder="1" applyAlignment="1">
      <alignment vertical="center" wrapText="1"/>
    </xf>
    <xf numFmtId="0" fontId="81" fillId="68" borderId="35" xfId="0" applyFont="1" applyFill="1" applyBorder="1" applyAlignment="1">
      <alignment vertical="center" wrapText="1"/>
    </xf>
    <xf numFmtId="0" fontId="81" fillId="68" borderId="35" xfId="0" applyFont="1" applyFill="1" applyBorder="1" applyAlignment="1">
      <alignment horizontal="center" vertical="center" wrapText="1"/>
    </xf>
    <xf numFmtId="0" fontId="74" fillId="0" borderId="34" xfId="0" applyFont="1" applyBorder="1" applyAlignment="1">
      <alignment wrapText="1"/>
    </xf>
    <xf numFmtId="0" fontId="74" fillId="0" borderId="35" xfId="0" applyFont="1" applyBorder="1" applyAlignment="1">
      <alignment horizontal="center" wrapText="1"/>
    </xf>
    <xf numFmtId="0" fontId="82" fillId="0" borderId="3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81" fillId="0" borderId="33" xfId="0" applyFont="1" applyBorder="1" applyAlignment="1">
      <alignment wrapText="1"/>
    </xf>
    <xf numFmtId="0" fontId="0" fillId="0" borderId="33" xfId="0" applyBorder="1" applyAlignment="1">
      <alignment wrapText="1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/>
    <xf numFmtId="164" fontId="28" fillId="0" borderId="0" xfId="0" applyNumberFormat="1" applyFont="1" applyFill="1" applyBorder="1" applyAlignment="1">
      <alignment horizontal="center" vertical="center"/>
    </xf>
  </cellXfs>
  <cellStyles count="72">
    <cellStyle name="Currency 2" xfId="5" xr:uid="{00000000-0005-0000-0000-000000000000}"/>
    <cellStyle name="Currency 2 2" xfId="17" xr:uid="{00000000-0005-0000-0000-000001000000}"/>
    <cellStyle name="Currency 2 3" xfId="20" xr:uid="{00000000-0005-0000-0000-000002000000}"/>
    <cellStyle name="Currency 2 4" xfId="22" xr:uid="{00000000-0005-0000-0000-000003000000}"/>
    <cellStyle name="Currency 3" xfId="7" xr:uid="{00000000-0005-0000-0000-000004000000}"/>
    <cellStyle name="Currency 4" xfId="8" xr:uid="{00000000-0005-0000-0000-000005000000}"/>
    <cellStyle name="Currency 5" xfId="19" xr:uid="{00000000-0005-0000-0000-000006000000}"/>
    <cellStyle name="Currency 6" xfId="21" xr:uid="{00000000-0005-0000-0000-000007000000}"/>
    <cellStyle name="Normal" xfId="0" builtinId="0"/>
    <cellStyle name="Normal 10" xfId="3" xr:uid="{00000000-0005-0000-0000-000009000000}"/>
    <cellStyle name="Normal 11" xfId="41" xr:uid="{04FDC84B-298F-4863-8404-02EDAEF1ADAA}"/>
    <cellStyle name="Normal 11 2" xfId="67" xr:uid="{CCACA431-3E6B-4B7E-B22E-E066A81A0310}"/>
    <cellStyle name="Normal 12" xfId="46" xr:uid="{CCE7C7F0-1DF9-4494-9FAF-ABDDD55049B1}"/>
    <cellStyle name="Normal 12 2" xfId="26" xr:uid="{622EE6BC-F769-4552-904B-9075F17F1822}"/>
    <cellStyle name="Normal 12 2 2" xfId="68" xr:uid="{0FBC3899-3F6B-4373-90F5-9F75DF3FB6CE}"/>
    <cellStyle name="Normal 13" xfId="50" xr:uid="{78BB52FC-D340-4FCA-900B-968EE846E65C}"/>
    <cellStyle name="Normal 14" xfId="32" xr:uid="{60F3CFA6-7ECB-4FB0-8CBB-FD213FBD3CF0}"/>
    <cellStyle name="Normal 15" xfId="54" xr:uid="{3B9EF0B3-9BC2-426B-B23B-B69B391EA68B}"/>
    <cellStyle name="Normal 16" xfId="55" xr:uid="{D9FEA8CF-3BC9-404C-B358-937B8CE60F83}"/>
    <cellStyle name="Normal 17" xfId="25" xr:uid="{4BD59276-0E08-4C99-8647-15FB9EA7A9D4}"/>
    <cellStyle name="Normal 17 2" xfId="57" xr:uid="{9BA76907-0C21-4468-B29E-016EBC9821F0}"/>
    <cellStyle name="Normal 18" xfId="61" xr:uid="{8D55B9C4-3920-4ABC-A706-B0AC99884DEB}"/>
    <cellStyle name="Normal 19" xfId="64" xr:uid="{DEDFF34D-C8C8-485E-B7F0-CC11540C98C0}"/>
    <cellStyle name="Normal 2" xfId="10" xr:uid="{00000000-0005-0000-0000-00000A000000}"/>
    <cellStyle name="Normal 2 2" xfId="27" xr:uid="{BDFC2C7B-D16F-4018-8D75-921E5B46404B}"/>
    <cellStyle name="Normal 2 3" xfId="45" xr:uid="{7BE09AC3-C3AC-45BF-A99F-B1658985683D}"/>
    <cellStyle name="Normal 2 4" xfId="28" xr:uid="{4E0C4E97-B249-4DF8-9B96-2706EB8E5E37}"/>
    <cellStyle name="Normal 2 4 2" xfId="33" xr:uid="{1DF932B3-74BE-4CAA-9B31-102043E0CDD0}"/>
    <cellStyle name="Normal 2 5" xfId="30" xr:uid="{993A2B99-AAFE-439C-961C-6D3F26010485}"/>
    <cellStyle name="Normal 20" xfId="63" xr:uid="{ACE8E8E4-F5DB-4492-BFF2-60600190474F}"/>
    <cellStyle name="Normal 21" xfId="23" xr:uid="{645116E5-C49E-4270-83B3-816FF2540839}"/>
    <cellStyle name="Normal 21 2" xfId="69" xr:uid="{2274815B-DBB0-4ACB-8E7B-9D9A02487AE3}"/>
    <cellStyle name="Normal 22" xfId="29" xr:uid="{6B08BC4A-B951-43B4-9CBB-957549E94890}"/>
    <cellStyle name="Normal 23" xfId="24" xr:uid="{359BEA49-943A-4EEF-BB2E-82BC0242FE34}"/>
    <cellStyle name="Normal 24" xfId="71" xr:uid="{58E7ADB4-340D-443A-8448-2ED3B64D491E}"/>
    <cellStyle name="Normal 3" xfId="4" xr:uid="{00000000-0005-0000-0000-00000B000000}"/>
    <cellStyle name="Normal 3 10" xfId="47" xr:uid="{39B5643F-131B-4824-B919-152A601CEBB0}"/>
    <cellStyle name="Normal 3 10 7" xfId="66" xr:uid="{37FDA1D1-475E-4B42-AFC5-E33085947021}"/>
    <cellStyle name="Normal 3 11" xfId="51" xr:uid="{9D239E19-EBD0-4578-96E0-79F354A0A1E4}"/>
    <cellStyle name="Normal 3 2" xfId="11" xr:uid="{00000000-0005-0000-0000-00000C000000}"/>
    <cellStyle name="Normal 3 3" xfId="13" xr:uid="{00000000-0005-0000-0000-00000D000000}"/>
    <cellStyle name="Normal 3 4" xfId="15" xr:uid="{00000000-0005-0000-0000-00000E000000}"/>
    <cellStyle name="Normal 3 4 2" xfId="40" xr:uid="{51949764-F905-4D07-BC8E-C3B025FF0A29}"/>
    <cellStyle name="Normal 3 4 3" xfId="43" xr:uid="{82365452-B9F1-439B-B55F-B5CA739EAD9E}"/>
    <cellStyle name="Normal 3 4 4" xfId="48" xr:uid="{8360A55E-1B7E-4AC3-B4BD-8DFF4D1E3656}"/>
    <cellStyle name="Normal 3 4 5" xfId="52" xr:uid="{02C9EE71-467F-4782-A165-3D2FB9001394}"/>
    <cellStyle name="Normal 3 5" xfId="35" xr:uid="{A0B7A5FC-6F31-438C-8A1C-F4F89072AA9E}"/>
    <cellStyle name="Normal 3 6" xfId="6" xr:uid="{00000000-0005-0000-0000-00000F000000}"/>
    <cellStyle name="Normal 3 6 7" xfId="65" xr:uid="{727BDCC0-DF09-430C-B036-66281E1A20B4}"/>
    <cellStyle name="Normal 3 7" xfId="16" xr:uid="{00000000-0005-0000-0000-000010000000}"/>
    <cellStyle name="Normal 3 8" xfId="39" xr:uid="{E6D0249F-5991-4DAE-BA35-8C0B74AB92A8}"/>
    <cellStyle name="Normal 3 9" xfId="42" xr:uid="{2008FB8D-3E97-48C1-841E-6BB84B8A69EB}"/>
    <cellStyle name="Normal 4" xfId="12" xr:uid="{00000000-0005-0000-0000-000011000000}"/>
    <cellStyle name="Normal 5" xfId="14" xr:uid="{00000000-0005-0000-0000-000012000000}"/>
    <cellStyle name="Normal 5 2" xfId="44" xr:uid="{2F0F43C5-B8CF-4AE5-A07B-425A0A823E49}"/>
    <cellStyle name="Normal 5 3" xfId="49" xr:uid="{6D180B56-D05D-4D4B-A98D-CC3295A0AEE9}"/>
    <cellStyle name="Normal 5 4" xfId="53" xr:uid="{119FD446-4C50-4E3F-BB97-C049DD1E7FF7}"/>
    <cellStyle name="Normal 6" xfId="9" xr:uid="{00000000-0005-0000-0000-000013000000}"/>
    <cellStyle name="Normal 6 2" xfId="34" xr:uid="{C713D046-DCE8-4994-959E-78A57EF48F62}"/>
    <cellStyle name="Normal 7" xfId="18" xr:uid="{00000000-0005-0000-0000-000014000000}"/>
    <cellStyle name="Normal 7 2" xfId="56" xr:uid="{E49FC165-338A-4850-86F3-3C0D40D73194}"/>
    <cellStyle name="Normal 7 3" xfId="58" xr:uid="{AB8C8E4B-C14A-4D5C-ABFB-0EE952AC16C6}"/>
    <cellStyle name="Normal 7 4" xfId="36" xr:uid="{6F7C8D89-8FC2-43FF-B2E9-6188BAF70C72}"/>
    <cellStyle name="Normal 7 5" xfId="70" xr:uid="{78D9A266-F1C7-4B01-B5FB-105BC99F42A2}"/>
    <cellStyle name="Normal 8" xfId="37" xr:uid="{49F3A314-3415-4EE9-BF29-499CA773528C}"/>
    <cellStyle name="Normal 9" xfId="38" xr:uid="{826AAAB0-33CB-4053-8787-8618FABF69CD}"/>
    <cellStyle name="Normal_CSW9912A" xfId="1" xr:uid="{00000000-0005-0000-0000-000015000000}"/>
    <cellStyle name="Standard 2 2" xfId="2" xr:uid="{00000000-0005-0000-0000-000016000000}"/>
    <cellStyle name="千位分隔 2" xfId="62" xr:uid="{95B0CA18-6162-4ECA-A6FB-A54C53F81661}"/>
    <cellStyle name="常规 2" xfId="59" xr:uid="{DC6A1EE4-6798-4F0E-BF28-4148C1E5D999}"/>
    <cellStyle name="常规 3" xfId="60" xr:uid="{64F13E4D-BF58-4FFB-BF83-9D3141AEFA77}"/>
    <cellStyle name="常规 4" xfId="31" xr:uid="{A01FB817-6C4C-4E58-9AC0-5D8E2D4FD802}"/>
  </cellStyles>
  <dxfs count="0"/>
  <tableStyles count="0" defaultTableStyle="TableStyleMedium2" defaultPivotStyle="PivotStyleLight16"/>
  <colors>
    <mruColors>
      <color rgb="FFCC00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gloria.yip/Downloads/LAEC%20Pricing%20Guideline%20-%20CN%20(20250701-20250707)%20(Tier%201)%20_%20IN%20(20250701-20250707).xlsx" TargetMode="External"/><Relationship Id="rId2" Type="http://schemas.openxmlformats.org/officeDocument/2006/relationships/externalLinkPath" Target="file:///C:\Users\gloria.yip\Downloads\LAEC%20Pricing%20Guideline%20-%20CN%20(20250701-20250707)%20(Tier%201)%20_%20IN%20(20250701-20250707).xlsx" TargetMode="External"/><Relationship Id="rId1" Type="http://schemas.openxmlformats.org/officeDocument/2006/relationships/externalLinkPath" Target="/Users/gloria.yip/Downloads/LAEC%20Pricing%20Guideline%20-%20CN%20(20250701-20250707)%20(Tier%201)%20_%20IN%20(20250701-20250707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Relationship Id="rId1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RY"/>
      <sheetName val="R5 NOR"/>
      <sheetName val="Ingauge FAK"/>
      <sheetName val="Yangtze ARB Add-on"/>
      <sheetName val="ECSA Add-On"/>
      <sheetName val="IMO charg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PRC SPRC Add-on Working"/>
      <sheetName val="Sheet1"/>
      <sheetName val="SPRC Add-On"/>
      <sheetName val="Lookup"/>
      <sheetName val="Tiger"/>
    </sheetNames>
    <sheetDataSet>
      <sheetData sheetId="0"/>
      <sheetData sheetId="1"/>
      <sheetData sheetId="2"/>
      <sheetData sheetId="3">
        <row r="1">
          <cell r="F1" t="str">
            <v>Via</v>
          </cell>
          <cell r="G1" t="str">
            <v>Via Code</v>
          </cell>
        </row>
        <row r="2">
          <cell r="F2"/>
          <cell r="G2"/>
        </row>
        <row r="3">
          <cell r="F3" t="str">
            <v>Shanghai</v>
          </cell>
          <cell r="G3" t="str">
            <v>CNSHA</v>
          </cell>
        </row>
        <row r="4">
          <cell r="F4" t="str">
            <v>Dalian</v>
          </cell>
          <cell r="G4" t="str">
            <v>CNDLC</v>
          </cell>
        </row>
        <row r="5">
          <cell r="F5" t="str">
            <v>Ningbo</v>
          </cell>
          <cell r="G5" t="str">
            <v>CNNGB</v>
          </cell>
        </row>
        <row r="6">
          <cell r="F6" t="str">
            <v>Qinzhou</v>
          </cell>
          <cell r="G6" t="str">
            <v>CNQZH</v>
          </cell>
        </row>
        <row r="7">
          <cell r="F7" t="str">
            <v>Qingdao</v>
          </cell>
          <cell r="G7" t="str">
            <v>CNTAO</v>
          </cell>
        </row>
        <row r="8">
          <cell r="F8" t="str">
            <v>Tianjin</v>
          </cell>
          <cell r="G8" t="str">
            <v>CNTXG</v>
          </cell>
        </row>
        <row r="9">
          <cell r="F9" t="str">
            <v>Yantian</v>
          </cell>
          <cell r="G9" t="str">
            <v>CNYTN</v>
          </cell>
        </row>
        <row r="10">
          <cell r="F10" t="str">
            <v>Lianyungang</v>
          </cell>
          <cell r="G10" t="str">
            <v>CNLYG</v>
          </cell>
        </row>
        <row r="11">
          <cell r="F11" t="str">
            <v>Shekou</v>
          </cell>
          <cell r="G11" t="str">
            <v>CNSHK</v>
          </cell>
        </row>
        <row r="12">
          <cell r="F12" t="str">
            <v>Pusan</v>
          </cell>
          <cell r="G12" t="str">
            <v>KRPUS</v>
          </cell>
        </row>
        <row r="13">
          <cell r="F13" t="str">
            <v>Xiamen</v>
          </cell>
          <cell r="G13" t="str">
            <v>CNXMN</v>
          </cell>
        </row>
        <row r="14">
          <cell r="F14" t="str">
            <v>Nansha</v>
          </cell>
          <cell r="G14" t="str">
            <v>CNNSA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0C80-D18F-4298-99F4-C538BC99BEA2}">
  <sheetPr codeName="Sheet1"/>
  <dimension ref="A1:BM103"/>
  <sheetViews>
    <sheetView tabSelected="1" zoomScale="69" zoomScaleNormal="69" workbookViewId="0">
      <selection activeCell="A108" sqref="A108"/>
    </sheetView>
  </sheetViews>
  <sheetFormatPr defaultRowHeight="14.5"/>
  <cols>
    <col min="1" max="1" width="39.26953125" customWidth="1"/>
    <col min="2" max="2" width="27.453125" customWidth="1"/>
    <col min="3" max="4" width="17.7265625" customWidth="1"/>
    <col min="5" max="5" width="14.7265625" customWidth="1"/>
    <col min="6" max="6" width="14.26953125" customWidth="1"/>
    <col min="7" max="41" width="12.1796875" customWidth="1"/>
    <col min="42" max="42" width="10.54296875" customWidth="1"/>
    <col min="43" max="44" width="12.1796875" customWidth="1"/>
    <col min="45" max="47" width="10.26953125" customWidth="1"/>
  </cols>
  <sheetData>
    <row r="1" spans="1:65" ht="18.5">
      <c r="A1" s="1" t="s">
        <v>0</v>
      </c>
      <c r="B1" s="2"/>
      <c r="C1" s="3"/>
      <c r="D1" s="3"/>
    </row>
    <row r="2" spans="1:65">
      <c r="A2" s="4"/>
      <c r="B2" s="2"/>
      <c r="C2" s="3"/>
      <c r="D2" s="3"/>
    </row>
    <row r="3" spans="1:65">
      <c r="A3" s="5"/>
      <c r="B3" s="6"/>
      <c r="C3" s="7" t="s">
        <v>1</v>
      </c>
      <c r="D3" s="7" t="s">
        <v>2</v>
      </c>
      <c r="AK3" t="s">
        <v>111</v>
      </c>
    </row>
    <row r="4" spans="1:65" ht="46.9" customHeight="1">
      <c r="A4" s="274" t="s">
        <v>3</v>
      </c>
      <c r="B4" s="274"/>
      <c r="C4" s="88">
        <v>46249</v>
      </c>
      <c r="D4" s="89">
        <v>46255</v>
      </c>
      <c r="AJ4" s="192" t="s">
        <v>111</v>
      </c>
      <c r="AK4" t="s">
        <v>111</v>
      </c>
    </row>
    <row r="5" spans="1:65" ht="18.5">
      <c r="C5" s="42"/>
      <c r="D5" s="4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 t="s">
        <v>308</v>
      </c>
      <c r="Q5" s="6"/>
      <c r="R5" s="6"/>
      <c r="S5" s="6"/>
      <c r="T5" s="6"/>
      <c r="U5" s="6"/>
      <c r="V5" s="6" t="s">
        <v>111</v>
      </c>
      <c r="W5" s="6"/>
      <c r="X5" s="275" t="s">
        <v>111</v>
      </c>
      <c r="Y5" s="275"/>
      <c r="Z5" s="275"/>
      <c r="AA5" s="6"/>
      <c r="AB5" s="6"/>
      <c r="AC5" s="6"/>
      <c r="AD5" s="6"/>
      <c r="AE5" s="6"/>
      <c r="AF5" s="6"/>
      <c r="AG5" s="279" t="s">
        <v>111</v>
      </c>
      <c r="AH5" s="279"/>
      <c r="AI5" s="279"/>
      <c r="AJ5" s="194" t="s">
        <v>111</v>
      </c>
      <c r="AK5" s="194"/>
      <c r="AL5" s="194"/>
      <c r="AP5" s="279" t="s">
        <v>111</v>
      </c>
      <c r="AQ5" s="279"/>
      <c r="AR5" s="279"/>
      <c r="BH5" t="s">
        <v>325</v>
      </c>
    </row>
    <row r="6" spans="1:65" ht="34.5" customHeight="1">
      <c r="C6" s="286" t="s">
        <v>4</v>
      </c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93"/>
      <c r="AN6" s="93"/>
      <c r="AO6" s="93"/>
      <c r="AP6" s="93"/>
      <c r="AQ6" s="93"/>
      <c r="AR6" s="182"/>
      <c r="AS6" s="182"/>
      <c r="AT6" s="182"/>
      <c r="AU6" s="182"/>
      <c r="AV6" s="182"/>
      <c r="AW6" s="182"/>
      <c r="AX6" s="182"/>
      <c r="AY6" s="182"/>
      <c r="AZ6" s="182"/>
      <c r="BA6" s="182"/>
      <c r="BB6" s="182"/>
      <c r="BC6" s="182"/>
      <c r="BD6" s="182"/>
      <c r="BE6" s="182"/>
      <c r="BF6" s="182"/>
      <c r="BG6" s="182"/>
      <c r="BH6" s="182"/>
      <c r="BI6" s="182"/>
      <c r="BJ6" s="182"/>
      <c r="BK6" s="182"/>
      <c r="BL6" s="182"/>
      <c r="BM6" s="182"/>
    </row>
    <row r="7" spans="1:65" ht="34.5" customHeight="1">
      <c r="A7" s="99"/>
      <c r="B7" s="99"/>
      <c r="C7" s="317" t="s">
        <v>5</v>
      </c>
      <c r="D7" s="295"/>
      <c r="E7" s="296"/>
      <c r="F7" s="302" t="s">
        <v>6</v>
      </c>
      <c r="G7" s="295"/>
      <c r="H7" s="296"/>
      <c r="I7" s="302" t="s">
        <v>161</v>
      </c>
      <c r="J7" s="303"/>
      <c r="K7" s="304"/>
      <c r="L7" s="302" t="s">
        <v>112</v>
      </c>
      <c r="M7" s="303"/>
      <c r="N7" s="304"/>
      <c r="O7" s="318" t="s">
        <v>280</v>
      </c>
      <c r="P7" s="319"/>
      <c r="Q7" s="320"/>
      <c r="R7" s="276" t="s">
        <v>279</v>
      </c>
      <c r="S7" s="277"/>
      <c r="T7" s="278"/>
      <c r="U7" s="288" t="s">
        <v>113</v>
      </c>
      <c r="V7" s="289"/>
      <c r="W7" s="290"/>
      <c r="X7" s="291" t="s">
        <v>7</v>
      </c>
      <c r="Y7" s="292"/>
      <c r="Z7" s="293"/>
      <c r="AA7" s="294" t="s">
        <v>204</v>
      </c>
      <c r="AB7" s="295"/>
      <c r="AC7" s="296"/>
      <c r="AD7" s="297" t="s">
        <v>205</v>
      </c>
      <c r="AE7" s="295"/>
      <c r="AF7" s="296"/>
      <c r="AG7" s="297" t="s">
        <v>330</v>
      </c>
      <c r="AH7" s="295"/>
      <c r="AI7" s="296"/>
      <c r="AJ7" s="298" t="s">
        <v>170</v>
      </c>
      <c r="AK7" s="295"/>
      <c r="AL7" s="296"/>
      <c r="AM7" s="283" t="s">
        <v>258</v>
      </c>
      <c r="AN7" s="284"/>
      <c r="AO7" s="285"/>
      <c r="AP7" s="280" t="s">
        <v>261</v>
      </c>
      <c r="AQ7" s="281"/>
      <c r="AR7" s="282"/>
      <c r="AS7" s="334" t="s">
        <v>277</v>
      </c>
      <c r="AT7" s="335"/>
      <c r="AU7" s="336"/>
      <c r="AV7" s="321" t="s">
        <v>324</v>
      </c>
      <c r="AW7" s="322"/>
      <c r="AX7" s="323"/>
      <c r="AY7" s="321" t="s">
        <v>283</v>
      </c>
      <c r="AZ7" s="322"/>
      <c r="BA7" s="323"/>
      <c r="BB7" s="331" t="s">
        <v>288</v>
      </c>
      <c r="BC7" s="332"/>
      <c r="BD7" s="333"/>
      <c r="BE7" s="331" t="s">
        <v>289</v>
      </c>
      <c r="BF7" s="332"/>
      <c r="BG7" s="333"/>
      <c r="BH7" s="321" t="s">
        <v>290</v>
      </c>
      <c r="BI7" s="322"/>
      <c r="BJ7" s="323"/>
      <c r="BK7" s="271" t="s">
        <v>305</v>
      </c>
      <c r="BL7" s="272"/>
      <c r="BM7" s="273"/>
    </row>
    <row r="8" spans="1:65" ht="34.5" customHeight="1">
      <c r="A8" s="100"/>
      <c r="B8" s="101"/>
      <c r="C8" s="300" t="s">
        <v>8</v>
      </c>
      <c r="D8" s="301"/>
      <c r="E8" s="301"/>
      <c r="F8" s="300" t="s">
        <v>9</v>
      </c>
      <c r="G8" s="301"/>
      <c r="H8" s="301"/>
      <c r="I8" s="302" t="s">
        <v>162</v>
      </c>
      <c r="J8" s="303"/>
      <c r="K8" s="304"/>
      <c r="L8" s="310" t="s">
        <v>207</v>
      </c>
      <c r="M8" s="311"/>
      <c r="N8" s="312"/>
      <c r="O8" s="305" t="s">
        <v>282</v>
      </c>
      <c r="P8" s="301"/>
      <c r="Q8" s="306"/>
      <c r="R8" s="305" t="s">
        <v>281</v>
      </c>
      <c r="S8" s="301"/>
      <c r="T8" s="306"/>
      <c r="U8" s="307" t="s">
        <v>208</v>
      </c>
      <c r="V8" s="308"/>
      <c r="W8" s="309"/>
      <c r="X8" s="314" t="s">
        <v>209</v>
      </c>
      <c r="Y8" s="315"/>
      <c r="Z8" s="316"/>
      <c r="AA8" s="294" t="s">
        <v>210</v>
      </c>
      <c r="AB8" s="295"/>
      <c r="AC8" s="296"/>
      <c r="AD8" s="299" t="s">
        <v>211</v>
      </c>
      <c r="AE8" s="295"/>
      <c r="AF8" s="296"/>
      <c r="AG8" s="299" t="s">
        <v>331</v>
      </c>
      <c r="AH8" s="295"/>
      <c r="AI8" s="296"/>
      <c r="AJ8" s="330" t="s">
        <v>169</v>
      </c>
      <c r="AK8" s="295"/>
      <c r="AL8" s="296"/>
      <c r="AM8" s="283" t="s">
        <v>259</v>
      </c>
      <c r="AN8" s="284"/>
      <c r="AO8" s="285"/>
      <c r="AP8" s="328" t="s">
        <v>262</v>
      </c>
      <c r="AQ8" s="329"/>
      <c r="AR8" s="329"/>
      <c r="AS8" s="334" t="s">
        <v>278</v>
      </c>
      <c r="AT8" s="335"/>
      <c r="AU8" s="336"/>
      <c r="AV8" s="326" t="s">
        <v>285</v>
      </c>
      <c r="AW8" s="327"/>
      <c r="AX8" s="327"/>
      <c r="AY8" s="326" t="s">
        <v>284</v>
      </c>
      <c r="AZ8" s="327"/>
      <c r="BA8" s="327"/>
      <c r="BB8" s="324" t="s">
        <v>291</v>
      </c>
      <c r="BC8" s="325"/>
      <c r="BD8" s="325"/>
      <c r="BE8" s="324" t="s">
        <v>292</v>
      </c>
      <c r="BF8" s="325"/>
      <c r="BG8" s="325"/>
      <c r="BH8" s="326" t="s">
        <v>293</v>
      </c>
      <c r="BI8" s="327"/>
      <c r="BJ8" s="327"/>
      <c r="BK8" s="271" t="s">
        <v>306</v>
      </c>
      <c r="BL8" s="272"/>
      <c r="BM8" s="273"/>
    </row>
    <row r="9" spans="1:65" ht="29.5" customHeight="1">
      <c r="A9" s="102" t="s">
        <v>10</v>
      </c>
      <c r="B9" s="103" t="s">
        <v>11</v>
      </c>
      <c r="C9" s="104" t="s">
        <v>12</v>
      </c>
      <c r="D9" s="104" t="s">
        <v>13</v>
      </c>
      <c r="E9" s="104" t="s">
        <v>14</v>
      </c>
      <c r="F9" s="104" t="s">
        <v>12</v>
      </c>
      <c r="G9" s="104" t="s">
        <v>13</v>
      </c>
      <c r="H9" s="104" t="s">
        <v>14</v>
      </c>
      <c r="I9" s="104" t="s">
        <v>12</v>
      </c>
      <c r="J9" s="104" t="s">
        <v>13</v>
      </c>
      <c r="K9" s="104" t="s">
        <v>14</v>
      </c>
      <c r="L9" s="104" t="s">
        <v>12</v>
      </c>
      <c r="M9" s="104" t="s">
        <v>13</v>
      </c>
      <c r="N9" s="104" t="s">
        <v>14</v>
      </c>
      <c r="O9" s="104" t="s">
        <v>12</v>
      </c>
      <c r="P9" s="104" t="s">
        <v>13</v>
      </c>
      <c r="Q9" s="104" t="s">
        <v>14</v>
      </c>
      <c r="R9" s="104" t="s">
        <v>12</v>
      </c>
      <c r="S9" s="104" t="s">
        <v>13</v>
      </c>
      <c r="T9" s="104" t="s">
        <v>14</v>
      </c>
      <c r="U9" s="104" t="s">
        <v>12</v>
      </c>
      <c r="V9" s="104" t="s">
        <v>13</v>
      </c>
      <c r="W9" s="104" t="s">
        <v>14</v>
      </c>
      <c r="X9" s="104" t="s">
        <v>12</v>
      </c>
      <c r="Y9" s="104" t="s">
        <v>13</v>
      </c>
      <c r="Z9" s="104" t="s">
        <v>14</v>
      </c>
      <c r="AA9" s="104" t="s">
        <v>12</v>
      </c>
      <c r="AB9" s="104" t="s">
        <v>13</v>
      </c>
      <c r="AC9" s="104" t="s">
        <v>14</v>
      </c>
      <c r="AD9" s="104" t="s">
        <v>12</v>
      </c>
      <c r="AE9" s="104" t="s">
        <v>13</v>
      </c>
      <c r="AF9" s="104" t="s">
        <v>14</v>
      </c>
      <c r="AG9" s="104" t="s">
        <v>12</v>
      </c>
      <c r="AH9" s="104" t="s">
        <v>13</v>
      </c>
      <c r="AI9" s="104" t="s">
        <v>14</v>
      </c>
      <c r="AJ9" s="104" t="s">
        <v>12</v>
      </c>
      <c r="AK9" s="104" t="s">
        <v>13</v>
      </c>
      <c r="AL9" s="104" t="s">
        <v>14</v>
      </c>
      <c r="AM9" s="104" t="s">
        <v>12</v>
      </c>
      <c r="AN9" s="104" t="s">
        <v>13</v>
      </c>
      <c r="AO9" s="104" t="s">
        <v>14</v>
      </c>
      <c r="AP9" s="104" t="s">
        <v>12</v>
      </c>
      <c r="AQ9" s="104" t="s">
        <v>13</v>
      </c>
      <c r="AR9" s="104" t="s">
        <v>14</v>
      </c>
      <c r="AS9" s="104" t="s">
        <v>12</v>
      </c>
      <c r="AT9" s="104" t="s">
        <v>13</v>
      </c>
      <c r="AU9" s="104" t="s">
        <v>14</v>
      </c>
      <c r="AV9" s="104" t="s">
        <v>12</v>
      </c>
      <c r="AW9" s="104" t="s">
        <v>13</v>
      </c>
      <c r="AX9" s="104" t="s">
        <v>14</v>
      </c>
      <c r="AY9" s="104" t="s">
        <v>12</v>
      </c>
      <c r="AZ9" s="104" t="s">
        <v>13</v>
      </c>
      <c r="BA9" s="104" t="s">
        <v>14</v>
      </c>
      <c r="BB9" s="104" t="s">
        <v>12</v>
      </c>
      <c r="BC9" s="104" t="s">
        <v>13</v>
      </c>
      <c r="BD9" s="104" t="s">
        <v>14</v>
      </c>
      <c r="BE9" s="104" t="s">
        <v>12</v>
      </c>
      <c r="BF9" s="104" t="s">
        <v>13</v>
      </c>
      <c r="BG9" s="104" t="s">
        <v>14</v>
      </c>
      <c r="BH9" s="104" t="s">
        <v>12</v>
      </c>
      <c r="BI9" s="104" t="s">
        <v>13</v>
      </c>
      <c r="BJ9" s="104" t="s">
        <v>14</v>
      </c>
      <c r="BK9" s="104" t="s">
        <v>12</v>
      </c>
      <c r="BL9" s="104" t="s">
        <v>13</v>
      </c>
      <c r="BM9" s="104" t="s">
        <v>14</v>
      </c>
    </row>
    <row r="10" spans="1:65" s="197" customFormat="1" ht="18.75" customHeight="1">
      <c r="A10" s="105" t="s">
        <v>163</v>
      </c>
      <c r="B10" s="125" t="s">
        <v>164</v>
      </c>
      <c r="C10" s="168">
        <v>6800</v>
      </c>
      <c r="D10" s="168">
        <v>6800</v>
      </c>
      <c r="E10" s="168">
        <v>6800</v>
      </c>
      <c r="F10" s="169">
        <v>6900</v>
      </c>
      <c r="G10" s="169">
        <v>6900</v>
      </c>
      <c r="H10" s="169">
        <v>6900</v>
      </c>
      <c r="I10" s="170">
        <v>7500</v>
      </c>
      <c r="J10" s="170">
        <v>7500</v>
      </c>
      <c r="K10" s="170">
        <v>7500</v>
      </c>
      <c r="L10" s="187">
        <v>7700</v>
      </c>
      <c r="M10" s="187">
        <v>7700</v>
      </c>
      <c r="N10" s="187">
        <v>7700</v>
      </c>
      <c r="O10" s="199"/>
      <c r="P10" s="199"/>
      <c r="Q10" s="199"/>
      <c r="R10" s="188">
        <v>7700</v>
      </c>
      <c r="S10" s="188">
        <v>7700</v>
      </c>
      <c r="T10" s="188">
        <v>7700</v>
      </c>
      <c r="U10" s="261">
        <v>7500</v>
      </c>
      <c r="V10" s="261">
        <v>7500</v>
      </c>
      <c r="W10" s="261">
        <v>7500</v>
      </c>
      <c r="X10" s="261">
        <v>7500</v>
      </c>
      <c r="Y10" s="261">
        <v>7500</v>
      </c>
      <c r="Z10" s="261">
        <v>7500</v>
      </c>
      <c r="AA10" s="188">
        <v>7700</v>
      </c>
      <c r="AB10" s="188">
        <v>7700</v>
      </c>
      <c r="AC10" s="188">
        <v>7700</v>
      </c>
      <c r="AD10" s="262">
        <v>7500</v>
      </c>
      <c r="AE10" s="262">
        <v>7500</v>
      </c>
      <c r="AF10" s="262">
        <v>7500</v>
      </c>
      <c r="AG10" s="262">
        <v>7500</v>
      </c>
      <c r="AH10" s="262">
        <v>7500</v>
      </c>
      <c r="AI10" s="262">
        <v>7500</v>
      </c>
      <c r="AJ10" s="262">
        <v>7500</v>
      </c>
      <c r="AK10" s="262">
        <v>7500</v>
      </c>
      <c r="AL10" s="262">
        <v>7500</v>
      </c>
      <c r="AM10" s="171">
        <v>9500</v>
      </c>
      <c r="AN10" s="171">
        <v>9500</v>
      </c>
      <c r="AO10" s="171">
        <v>9500</v>
      </c>
      <c r="AP10" s="172">
        <v>8000</v>
      </c>
      <c r="AQ10" s="172">
        <v>8000</v>
      </c>
      <c r="AR10" s="172">
        <v>8000</v>
      </c>
      <c r="AS10" s="183">
        <v>8200</v>
      </c>
      <c r="AT10" s="183">
        <v>8200</v>
      </c>
      <c r="AU10" s="183">
        <v>8200</v>
      </c>
      <c r="AV10" s="183">
        <v>9500</v>
      </c>
      <c r="AW10" s="183">
        <v>9500</v>
      </c>
      <c r="AX10" s="183">
        <v>9500</v>
      </c>
      <c r="AY10" s="183">
        <v>9500</v>
      </c>
      <c r="AZ10" s="183">
        <v>9500</v>
      </c>
      <c r="BA10" s="183">
        <v>9500</v>
      </c>
      <c r="BB10" s="183">
        <v>9500</v>
      </c>
      <c r="BC10" s="183">
        <v>9500</v>
      </c>
      <c r="BD10" s="183">
        <v>9500</v>
      </c>
      <c r="BE10" s="183">
        <v>10500</v>
      </c>
      <c r="BF10" s="183">
        <v>10500</v>
      </c>
      <c r="BG10" s="183">
        <v>10500</v>
      </c>
      <c r="BH10" s="214">
        <v>6000</v>
      </c>
      <c r="BI10" s="214">
        <v>6000</v>
      </c>
      <c r="BJ10" s="214">
        <v>6000</v>
      </c>
      <c r="BK10" s="183">
        <v>7800</v>
      </c>
      <c r="BL10" s="183">
        <v>7800</v>
      </c>
      <c r="BM10" s="183">
        <v>7800</v>
      </c>
    </row>
    <row r="11" spans="1:65" s="197" customFormat="1" ht="18.75" customHeight="1">
      <c r="A11" s="105" t="s">
        <v>335</v>
      </c>
      <c r="B11" s="125" t="s">
        <v>299</v>
      </c>
      <c r="C11" s="168">
        <v>6800</v>
      </c>
      <c r="D11" s="168">
        <v>6800</v>
      </c>
      <c r="E11" s="168">
        <v>6800</v>
      </c>
      <c r="F11" s="169">
        <v>6900</v>
      </c>
      <c r="G11" s="169">
        <v>6900</v>
      </c>
      <c r="H11" s="169">
        <v>6900</v>
      </c>
      <c r="I11" s="170">
        <v>7500</v>
      </c>
      <c r="J11" s="170">
        <v>7500</v>
      </c>
      <c r="K11" s="170">
        <v>7500</v>
      </c>
      <c r="L11" s="187">
        <v>7700</v>
      </c>
      <c r="M11" s="187">
        <v>7700</v>
      </c>
      <c r="N11" s="187">
        <v>7700</v>
      </c>
      <c r="O11" s="199"/>
      <c r="P11" s="199"/>
      <c r="Q11" s="199"/>
      <c r="R11" s="188">
        <v>7700</v>
      </c>
      <c r="S11" s="188">
        <v>7700</v>
      </c>
      <c r="T11" s="188">
        <v>7700</v>
      </c>
      <c r="U11" s="261">
        <v>7500</v>
      </c>
      <c r="V11" s="261">
        <v>7500</v>
      </c>
      <c r="W11" s="261">
        <v>7500</v>
      </c>
      <c r="X11" s="261">
        <v>7500</v>
      </c>
      <c r="Y11" s="261">
        <v>7500</v>
      </c>
      <c r="Z11" s="261">
        <v>7500</v>
      </c>
      <c r="AA11" s="188">
        <v>7700</v>
      </c>
      <c r="AB11" s="188">
        <v>7700</v>
      </c>
      <c r="AC11" s="188">
        <v>7700</v>
      </c>
      <c r="AD11" s="262">
        <v>7500</v>
      </c>
      <c r="AE11" s="262">
        <v>7500</v>
      </c>
      <c r="AF11" s="262">
        <v>7500</v>
      </c>
      <c r="AG11" s="262">
        <v>7500</v>
      </c>
      <c r="AH11" s="262">
        <v>7500</v>
      </c>
      <c r="AI11" s="262">
        <v>7500</v>
      </c>
      <c r="AJ11" s="262">
        <v>7500</v>
      </c>
      <c r="AK11" s="262">
        <v>7500</v>
      </c>
      <c r="AL11" s="262">
        <v>7500</v>
      </c>
      <c r="AM11" s="171">
        <v>9500</v>
      </c>
      <c r="AN11" s="171">
        <v>9500</v>
      </c>
      <c r="AO11" s="171">
        <v>9500</v>
      </c>
      <c r="AP11" s="172">
        <v>8000</v>
      </c>
      <c r="AQ11" s="172">
        <v>8000</v>
      </c>
      <c r="AR11" s="172">
        <v>8000</v>
      </c>
      <c r="AS11" s="183">
        <v>8200</v>
      </c>
      <c r="AT11" s="183">
        <v>8200</v>
      </c>
      <c r="AU11" s="183">
        <v>8200</v>
      </c>
      <c r="AV11" s="183">
        <v>9500</v>
      </c>
      <c r="AW11" s="183">
        <v>9500</v>
      </c>
      <c r="AX11" s="183">
        <v>9500</v>
      </c>
      <c r="AY11" s="183">
        <v>9500</v>
      </c>
      <c r="AZ11" s="183">
        <v>9500</v>
      </c>
      <c r="BA11" s="183">
        <v>9500</v>
      </c>
      <c r="BB11" s="183">
        <v>9500</v>
      </c>
      <c r="BC11" s="183">
        <v>9500</v>
      </c>
      <c r="BD11" s="183">
        <v>9500</v>
      </c>
      <c r="BE11" s="183">
        <v>10500</v>
      </c>
      <c r="BF11" s="183">
        <v>10500</v>
      </c>
      <c r="BG11" s="183">
        <v>10500</v>
      </c>
      <c r="BH11" s="214">
        <v>6000</v>
      </c>
      <c r="BI11" s="214">
        <v>6000</v>
      </c>
      <c r="BJ11" s="214">
        <v>6000</v>
      </c>
      <c r="BK11" s="183">
        <v>7800</v>
      </c>
      <c r="BL11" s="183">
        <v>7800</v>
      </c>
      <c r="BM11" s="183">
        <v>7800</v>
      </c>
    </row>
    <row r="12" spans="1:65">
      <c r="A12" s="107" t="s">
        <v>15</v>
      </c>
      <c r="B12" s="108" t="s">
        <v>16</v>
      </c>
      <c r="C12" s="83">
        <v>6800</v>
      </c>
      <c r="D12" s="83">
        <v>6800</v>
      </c>
      <c r="E12" s="83">
        <v>6800</v>
      </c>
      <c r="F12" s="83">
        <v>6900</v>
      </c>
      <c r="G12" s="83">
        <v>6900</v>
      </c>
      <c r="H12" s="83">
        <v>6900</v>
      </c>
      <c r="I12" s="83">
        <v>7500</v>
      </c>
      <c r="J12" s="83">
        <v>7500</v>
      </c>
      <c r="K12" s="83">
        <v>7500</v>
      </c>
      <c r="L12" s="173">
        <v>7700</v>
      </c>
      <c r="M12" s="173">
        <v>7700</v>
      </c>
      <c r="N12" s="173">
        <v>7700</v>
      </c>
      <c r="O12" s="200"/>
      <c r="P12" s="200"/>
      <c r="Q12" s="200"/>
      <c r="R12" s="174">
        <v>7700</v>
      </c>
      <c r="S12" s="174">
        <v>7700</v>
      </c>
      <c r="T12" s="174">
        <v>7700</v>
      </c>
      <c r="U12" s="173">
        <v>7500</v>
      </c>
      <c r="V12" s="173">
        <v>7500</v>
      </c>
      <c r="W12" s="173">
        <v>7500</v>
      </c>
      <c r="X12" s="184">
        <v>7500</v>
      </c>
      <c r="Y12" s="184">
        <v>7500</v>
      </c>
      <c r="Z12" s="184">
        <v>7500</v>
      </c>
      <c r="AA12" s="83">
        <v>7700</v>
      </c>
      <c r="AB12" s="83">
        <v>7700</v>
      </c>
      <c r="AC12" s="83">
        <v>7700</v>
      </c>
      <c r="AD12" s="83">
        <v>7500</v>
      </c>
      <c r="AE12" s="83">
        <v>7500</v>
      </c>
      <c r="AF12" s="83">
        <v>7500</v>
      </c>
      <c r="AG12" s="83">
        <v>7500</v>
      </c>
      <c r="AH12" s="83">
        <v>7500</v>
      </c>
      <c r="AI12" s="83">
        <v>7500</v>
      </c>
      <c r="AJ12" s="184">
        <v>7500</v>
      </c>
      <c r="AK12" s="184">
        <v>7500</v>
      </c>
      <c r="AL12" s="184">
        <v>7500</v>
      </c>
      <c r="AM12" s="175">
        <v>9500</v>
      </c>
      <c r="AN12" s="175">
        <v>9500</v>
      </c>
      <c r="AO12" s="176">
        <v>9500</v>
      </c>
      <c r="AP12" s="177">
        <v>8000</v>
      </c>
      <c r="AQ12" s="177">
        <v>8000</v>
      </c>
      <c r="AR12" s="177">
        <v>8000</v>
      </c>
      <c r="AS12" s="177">
        <v>8200</v>
      </c>
      <c r="AT12" s="177">
        <v>8200</v>
      </c>
      <c r="AU12" s="177">
        <v>8200</v>
      </c>
      <c r="AV12" s="175">
        <v>9500</v>
      </c>
      <c r="AW12" s="175">
        <v>9500</v>
      </c>
      <c r="AX12" s="176">
        <v>9500</v>
      </c>
      <c r="AY12" s="175">
        <v>9500</v>
      </c>
      <c r="AZ12" s="175">
        <v>9500</v>
      </c>
      <c r="BA12" s="176">
        <v>9500</v>
      </c>
      <c r="BB12" s="177">
        <v>9500</v>
      </c>
      <c r="BC12" s="177">
        <v>9500</v>
      </c>
      <c r="BD12" s="177">
        <v>9500</v>
      </c>
      <c r="BE12" s="177">
        <v>10500</v>
      </c>
      <c r="BF12" s="177">
        <v>10500</v>
      </c>
      <c r="BG12" s="177">
        <v>10500</v>
      </c>
      <c r="BH12" s="215">
        <v>6000</v>
      </c>
      <c r="BI12" s="215">
        <v>6000</v>
      </c>
      <c r="BJ12" s="215">
        <v>6000</v>
      </c>
      <c r="BK12" s="198">
        <v>7800</v>
      </c>
      <c r="BL12" s="198">
        <v>7800</v>
      </c>
      <c r="BM12" s="198">
        <v>7800</v>
      </c>
    </row>
    <row r="13" spans="1:65">
      <c r="A13" s="180" t="s">
        <v>17</v>
      </c>
      <c r="B13" s="181" t="s">
        <v>18</v>
      </c>
      <c r="C13" s="83">
        <v>6850</v>
      </c>
      <c r="D13" s="83">
        <v>6800</v>
      </c>
      <c r="E13" s="83">
        <v>6800</v>
      </c>
      <c r="F13" s="83">
        <v>6950</v>
      </c>
      <c r="G13" s="83">
        <v>6900</v>
      </c>
      <c r="H13" s="83">
        <v>6900</v>
      </c>
      <c r="I13" s="83">
        <v>7550</v>
      </c>
      <c r="J13" s="83">
        <v>7500</v>
      </c>
      <c r="K13" s="83">
        <v>7500</v>
      </c>
      <c r="L13" s="173">
        <v>7750</v>
      </c>
      <c r="M13" s="173">
        <v>7700</v>
      </c>
      <c r="N13" s="173">
        <v>7700</v>
      </c>
      <c r="O13" s="200"/>
      <c r="P13" s="200"/>
      <c r="Q13" s="200"/>
      <c r="R13" s="174">
        <v>7750</v>
      </c>
      <c r="S13" s="174">
        <v>7700</v>
      </c>
      <c r="T13" s="174">
        <v>7700</v>
      </c>
      <c r="U13" s="173">
        <v>7550</v>
      </c>
      <c r="V13" s="173">
        <v>7500</v>
      </c>
      <c r="W13" s="173">
        <v>7500</v>
      </c>
      <c r="X13" s="184">
        <v>7550</v>
      </c>
      <c r="Y13" s="184">
        <v>7500</v>
      </c>
      <c r="Z13" s="184">
        <v>7500</v>
      </c>
      <c r="AA13" s="83">
        <v>7750</v>
      </c>
      <c r="AB13" s="83">
        <v>7700</v>
      </c>
      <c r="AC13" s="83">
        <v>7700</v>
      </c>
      <c r="AD13" s="83">
        <v>7550</v>
      </c>
      <c r="AE13" s="83">
        <v>7500</v>
      </c>
      <c r="AF13" s="83">
        <v>7500</v>
      </c>
      <c r="AG13" s="83">
        <v>7550</v>
      </c>
      <c r="AH13" s="83">
        <v>7500</v>
      </c>
      <c r="AI13" s="83">
        <v>7500</v>
      </c>
      <c r="AJ13" s="184">
        <v>7550</v>
      </c>
      <c r="AK13" s="184">
        <v>7500</v>
      </c>
      <c r="AL13" s="184">
        <v>7500</v>
      </c>
      <c r="AM13" s="175">
        <v>9550</v>
      </c>
      <c r="AN13" s="175">
        <v>9500</v>
      </c>
      <c r="AO13" s="176">
        <v>9500</v>
      </c>
      <c r="AP13" s="177">
        <v>8050</v>
      </c>
      <c r="AQ13" s="177">
        <v>8000</v>
      </c>
      <c r="AR13" s="177">
        <v>8000</v>
      </c>
      <c r="AS13" s="177">
        <v>8250</v>
      </c>
      <c r="AT13" s="177">
        <v>8200</v>
      </c>
      <c r="AU13" s="177">
        <v>8200</v>
      </c>
      <c r="AV13" s="175">
        <v>9550</v>
      </c>
      <c r="AW13" s="175">
        <v>9500</v>
      </c>
      <c r="AX13" s="176">
        <v>9500</v>
      </c>
      <c r="AY13" s="175">
        <v>9550</v>
      </c>
      <c r="AZ13" s="175">
        <v>9500</v>
      </c>
      <c r="BA13" s="176">
        <v>9500</v>
      </c>
      <c r="BB13" s="177">
        <v>9550</v>
      </c>
      <c r="BC13" s="177">
        <v>9500</v>
      </c>
      <c r="BD13" s="177">
        <v>9500</v>
      </c>
      <c r="BE13" s="177">
        <v>10550</v>
      </c>
      <c r="BF13" s="177">
        <v>10500</v>
      </c>
      <c r="BG13" s="177">
        <v>10500</v>
      </c>
      <c r="BH13" s="215">
        <v>6050</v>
      </c>
      <c r="BI13" s="215">
        <v>6000</v>
      </c>
      <c r="BJ13" s="215">
        <v>6000</v>
      </c>
      <c r="BK13" s="198">
        <v>7850</v>
      </c>
      <c r="BL13" s="198">
        <v>7800</v>
      </c>
      <c r="BM13" s="198">
        <v>7800</v>
      </c>
    </row>
    <row r="14" spans="1:65">
      <c r="A14" s="180" t="s">
        <v>19</v>
      </c>
      <c r="B14" s="181" t="s">
        <v>20</v>
      </c>
      <c r="C14" s="83">
        <v>6850</v>
      </c>
      <c r="D14" s="83">
        <v>6800</v>
      </c>
      <c r="E14" s="83">
        <v>6800</v>
      </c>
      <c r="F14" s="83">
        <v>6950</v>
      </c>
      <c r="G14" s="83">
        <v>6900</v>
      </c>
      <c r="H14" s="83">
        <v>6900</v>
      </c>
      <c r="I14" s="83">
        <v>7550</v>
      </c>
      <c r="J14" s="83">
        <v>7500</v>
      </c>
      <c r="K14" s="83">
        <v>7500</v>
      </c>
      <c r="L14" s="173">
        <v>7750</v>
      </c>
      <c r="M14" s="173">
        <v>7700</v>
      </c>
      <c r="N14" s="173">
        <v>7700</v>
      </c>
      <c r="O14" s="200"/>
      <c r="P14" s="200"/>
      <c r="Q14" s="200"/>
      <c r="R14" s="174">
        <v>7750</v>
      </c>
      <c r="S14" s="174">
        <v>7700</v>
      </c>
      <c r="T14" s="174">
        <v>7700</v>
      </c>
      <c r="U14" s="173">
        <v>7550</v>
      </c>
      <c r="V14" s="173">
        <v>7500</v>
      </c>
      <c r="W14" s="173">
        <v>7500</v>
      </c>
      <c r="X14" s="184">
        <v>7550</v>
      </c>
      <c r="Y14" s="184">
        <v>7500</v>
      </c>
      <c r="Z14" s="184">
        <v>7500</v>
      </c>
      <c r="AA14" s="83">
        <v>7750</v>
      </c>
      <c r="AB14" s="83">
        <v>7700</v>
      </c>
      <c r="AC14" s="83">
        <v>7700</v>
      </c>
      <c r="AD14" s="83">
        <v>7550</v>
      </c>
      <c r="AE14" s="83">
        <v>7500</v>
      </c>
      <c r="AF14" s="83">
        <v>7500</v>
      </c>
      <c r="AG14" s="83">
        <v>7550</v>
      </c>
      <c r="AH14" s="83">
        <v>7500</v>
      </c>
      <c r="AI14" s="83">
        <v>7500</v>
      </c>
      <c r="AJ14" s="184">
        <v>7550</v>
      </c>
      <c r="AK14" s="184">
        <v>7500</v>
      </c>
      <c r="AL14" s="184">
        <v>7500</v>
      </c>
      <c r="AM14" s="175">
        <v>9550</v>
      </c>
      <c r="AN14" s="175">
        <v>9500</v>
      </c>
      <c r="AO14" s="176">
        <v>9500</v>
      </c>
      <c r="AP14" s="177">
        <v>8050</v>
      </c>
      <c r="AQ14" s="177">
        <v>8000</v>
      </c>
      <c r="AR14" s="177">
        <v>8000</v>
      </c>
      <c r="AS14" s="177">
        <v>8250</v>
      </c>
      <c r="AT14" s="177">
        <v>8200</v>
      </c>
      <c r="AU14" s="177">
        <v>8200</v>
      </c>
      <c r="AV14" s="175">
        <v>9550</v>
      </c>
      <c r="AW14" s="175">
        <v>9500</v>
      </c>
      <c r="AX14" s="176">
        <v>9500</v>
      </c>
      <c r="AY14" s="175">
        <v>9550</v>
      </c>
      <c r="AZ14" s="175">
        <v>9500</v>
      </c>
      <c r="BA14" s="176">
        <v>9500</v>
      </c>
      <c r="BB14" s="177">
        <v>9550</v>
      </c>
      <c r="BC14" s="177">
        <v>9500</v>
      </c>
      <c r="BD14" s="177">
        <v>9500</v>
      </c>
      <c r="BE14" s="177">
        <v>10550</v>
      </c>
      <c r="BF14" s="177">
        <v>10500</v>
      </c>
      <c r="BG14" s="177">
        <v>10500</v>
      </c>
      <c r="BH14" s="215">
        <v>6050</v>
      </c>
      <c r="BI14" s="215">
        <v>6000</v>
      </c>
      <c r="BJ14" s="215">
        <v>6000</v>
      </c>
      <c r="BK14" s="198">
        <v>7850</v>
      </c>
      <c r="BL14" s="198">
        <v>7800</v>
      </c>
      <c r="BM14" s="198">
        <v>7800</v>
      </c>
    </row>
    <row r="15" spans="1:65">
      <c r="A15" s="107" t="s">
        <v>116</v>
      </c>
      <c r="B15" s="108" t="s">
        <v>212</v>
      </c>
      <c r="C15" s="83">
        <v>6900</v>
      </c>
      <c r="D15" s="83">
        <v>7000</v>
      </c>
      <c r="E15" s="83">
        <v>7000</v>
      </c>
      <c r="F15" s="83">
        <v>7000</v>
      </c>
      <c r="G15" s="83">
        <v>7100</v>
      </c>
      <c r="H15" s="83">
        <v>7100</v>
      </c>
      <c r="I15" s="83">
        <v>7600</v>
      </c>
      <c r="J15" s="83">
        <v>7700</v>
      </c>
      <c r="K15" s="83">
        <v>7700</v>
      </c>
      <c r="L15" s="173">
        <v>7800</v>
      </c>
      <c r="M15" s="173">
        <v>7900</v>
      </c>
      <c r="N15" s="173">
        <v>7900</v>
      </c>
      <c r="O15" s="200"/>
      <c r="P15" s="200"/>
      <c r="Q15" s="200"/>
      <c r="R15" s="174">
        <v>7800</v>
      </c>
      <c r="S15" s="174">
        <v>7900</v>
      </c>
      <c r="T15" s="174">
        <v>7900</v>
      </c>
      <c r="U15" s="173">
        <v>7600</v>
      </c>
      <c r="V15" s="173">
        <v>7700</v>
      </c>
      <c r="W15" s="173">
        <v>7700</v>
      </c>
      <c r="X15" s="184">
        <v>7600</v>
      </c>
      <c r="Y15" s="184">
        <v>7700</v>
      </c>
      <c r="Z15" s="184">
        <v>7700</v>
      </c>
      <c r="AA15" s="83">
        <v>7800</v>
      </c>
      <c r="AB15" s="83">
        <v>7900</v>
      </c>
      <c r="AC15" s="83">
        <v>7900</v>
      </c>
      <c r="AD15" s="83">
        <v>7600</v>
      </c>
      <c r="AE15" s="83">
        <v>7700</v>
      </c>
      <c r="AF15" s="83">
        <v>7700</v>
      </c>
      <c r="AG15" s="83">
        <v>7600</v>
      </c>
      <c r="AH15" s="83">
        <v>7700</v>
      </c>
      <c r="AI15" s="83">
        <v>7700</v>
      </c>
      <c r="AJ15" s="184">
        <v>7600</v>
      </c>
      <c r="AK15" s="184">
        <v>7700</v>
      </c>
      <c r="AL15" s="184">
        <v>7700</v>
      </c>
      <c r="AM15" s="175">
        <v>9600</v>
      </c>
      <c r="AN15" s="175">
        <v>9700</v>
      </c>
      <c r="AO15" s="176">
        <v>9700</v>
      </c>
      <c r="AP15" s="177">
        <v>8100</v>
      </c>
      <c r="AQ15" s="177">
        <v>8200</v>
      </c>
      <c r="AR15" s="177">
        <v>8200</v>
      </c>
      <c r="AS15" s="177">
        <v>8300</v>
      </c>
      <c r="AT15" s="177">
        <v>8400</v>
      </c>
      <c r="AU15" s="177">
        <v>8400</v>
      </c>
      <c r="AV15" s="175">
        <v>9600</v>
      </c>
      <c r="AW15" s="175">
        <v>9700</v>
      </c>
      <c r="AX15" s="176">
        <v>9700</v>
      </c>
      <c r="AY15" s="175">
        <v>9600</v>
      </c>
      <c r="AZ15" s="175">
        <v>9700</v>
      </c>
      <c r="BA15" s="176">
        <v>9700</v>
      </c>
      <c r="BB15" s="177">
        <v>9600</v>
      </c>
      <c r="BC15" s="177">
        <v>9700</v>
      </c>
      <c r="BD15" s="177">
        <v>9700</v>
      </c>
      <c r="BE15" s="177">
        <v>10600</v>
      </c>
      <c r="BF15" s="177">
        <v>10700</v>
      </c>
      <c r="BG15" s="177">
        <v>10700</v>
      </c>
      <c r="BH15" s="215">
        <v>6100</v>
      </c>
      <c r="BI15" s="215">
        <v>6200</v>
      </c>
      <c r="BJ15" s="215">
        <v>6200</v>
      </c>
      <c r="BK15" s="198">
        <v>7900</v>
      </c>
      <c r="BL15" s="198">
        <v>8000</v>
      </c>
      <c r="BM15" s="198">
        <v>8000</v>
      </c>
    </row>
    <row r="16" spans="1:65">
      <c r="A16" s="107" t="s">
        <v>117</v>
      </c>
      <c r="B16" s="108" t="s">
        <v>213</v>
      </c>
      <c r="C16" s="83">
        <v>6900</v>
      </c>
      <c r="D16" s="83">
        <v>7000</v>
      </c>
      <c r="E16" s="83">
        <v>7000</v>
      </c>
      <c r="F16" s="83">
        <v>7000</v>
      </c>
      <c r="G16" s="83">
        <v>7100</v>
      </c>
      <c r="H16" s="83">
        <v>7100</v>
      </c>
      <c r="I16" s="83">
        <v>7600</v>
      </c>
      <c r="J16" s="83">
        <v>7700</v>
      </c>
      <c r="K16" s="83">
        <v>7700</v>
      </c>
      <c r="L16" s="173">
        <v>7800</v>
      </c>
      <c r="M16" s="173">
        <v>7900</v>
      </c>
      <c r="N16" s="173">
        <v>7900</v>
      </c>
      <c r="O16" s="200"/>
      <c r="P16" s="200"/>
      <c r="Q16" s="200"/>
      <c r="R16" s="174">
        <v>7800</v>
      </c>
      <c r="S16" s="174">
        <v>7900</v>
      </c>
      <c r="T16" s="174">
        <v>7900</v>
      </c>
      <c r="U16" s="173">
        <v>7600</v>
      </c>
      <c r="V16" s="173">
        <v>7700</v>
      </c>
      <c r="W16" s="173">
        <v>7700</v>
      </c>
      <c r="X16" s="184">
        <v>7600</v>
      </c>
      <c r="Y16" s="184">
        <v>7700</v>
      </c>
      <c r="Z16" s="184">
        <v>7700</v>
      </c>
      <c r="AA16" s="83">
        <v>7800</v>
      </c>
      <c r="AB16" s="83">
        <v>7900</v>
      </c>
      <c r="AC16" s="83">
        <v>7900</v>
      </c>
      <c r="AD16" s="83">
        <v>7600</v>
      </c>
      <c r="AE16" s="83">
        <v>7700</v>
      </c>
      <c r="AF16" s="83">
        <v>7700</v>
      </c>
      <c r="AG16" s="83">
        <v>7600</v>
      </c>
      <c r="AH16" s="83">
        <v>7700</v>
      </c>
      <c r="AI16" s="83">
        <v>7700</v>
      </c>
      <c r="AJ16" s="184">
        <v>7600</v>
      </c>
      <c r="AK16" s="184">
        <v>7700</v>
      </c>
      <c r="AL16" s="184">
        <v>7700</v>
      </c>
      <c r="AM16" s="175">
        <v>9600</v>
      </c>
      <c r="AN16" s="175">
        <v>9700</v>
      </c>
      <c r="AO16" s="176">
        <v>9700</v>
      </c>
      <c r="AP16" s="177">
        <v>8100</v>
      </c>
      <c r="AQ16" s="177">
        <v>8200</v>
      </c>
      <c r="AR16" s="177">
        <v>8200</v>
      </c>
      <c r="AS16" s="177">
        <v>8300</v>
      </c>
      <c r="AT16" s="177">
        <v>8400</v>
      </c>
      <c r="AU16" s="177">
        <v>8400</v>
      </c>
      <c r="AV16" s="175">
        <v>9600</v>
      </c>
      <c r="AW16" s="175">
        <v>9700</v>
      </c>
      <c r="AX16" s="176">
        <v>9700</v>
      </c>
      <c r="AY16" s="175">
        <v>9600</v>
      </c>
      <c r="AZ16" s="175">
        <v>9700</v>
      </c>
      <c r="BA16" s="176">
        <v>9700</v>
      </c>
      <c r="BB16" s="177">
        <v>9600</v>
      </c>
      <c r="BC16" s="177">
        <v>9700</v>
      </c>
      <c r="BD16" s="177">
        <v>9700</v>
      </c>
      <c r="BE16" s="177">
        <v>10600</v>
      </c>
      <c r="BF16" s="177">
        <v>10700</v>
      </c>
      <c r="BG16" s="177">
        <v>10700</v>
      </c>
      <c r="BH16" s="215">
        <v>6100</v>
      </c>
      <c r="BI16" s="215">
        <v>6200</v>
      </c>
      <c r="BJ16" s="215">
        <v>6200</v>
      </c>
      <c r="BK16" s="198">
        <v>7900</v>
      </c>
      <c r="BL16" s="198">
        <v>8000</v>
      </c>
      <c r="BM16" s="198">
        <v>8000</v>
      </c>
    </row>
    <row r="17" spans="1:65">
      <c r="A17" s="107" t="s">
        <v>27</v>
      </c>
      <c r="B17" s="108" t="s">
        <v>28</v>
      </c>
      <c r="C17" s="83">
        <v>6850</v>
      </c>
      <c r="D17" s="83">
        <v>6900</v>
      </c>
      <c r="E17" s="83">
        <v>6900</v>
      </c>
      <c r="F17" s="83">
        <v>6950</v>
      </c>
      <c r="G17" s="83">
        <v>7000</v>
      </c>
      <c r="H17" s="83">
        <v>7000</v>
      </c>
      <c r="I17" s="83">
        <v>7550</v>
      </c>
      <c r="J17" s="83">
        <v>7600</v>
      </c>
      <c r="K17" s="83">
        <v>7600</v>
      </c>
      <c r="L17" s="173">
        <v>7750</v>
      </c>
      <c r="M17" s="173">
        <v>7800</v>
      </c>
      <c r="N17" s="173">
        <v>7800</v>
      </c>
      <c r="O17" s="200"/>
      <c r="P17" s="200"/>
      <c r="Q17" s="200"/>
      <c r="R17" s="174">
        <v>7750</v>
      </c>
      <c r="S17" s="174">
        <v>7800</v>
      </c>
      <c r="T17" s="174">
        <v>7800</v>
      </c>
      <c r="U17" s="173">
        <v>7550</v>
      </c>
      <c r="V17" s="173">
        <v>7600</v>
      </c>
      <c r="W17" s="173">
        <v>7600</v>
      </c>
      <c r="X17" s="184">
        <v>7550</v>
      </c>
      <c r="Y17" s="184">
        <v>7600</v>
      </c>
      <c r="Z17" s="184">
        <v>7600</v>
      </c>
      <c r="AA17" s="83">
        <v>7750</v>
      </c>
      <c r="AB17" s="83">
        <v>7800</v>
      </c>
      <c r="AC17" s="83">
        <v>7800</v>
      </c>
      <c r="AD17" s="83">
        <v>7550</v>
      </c>
      <c r="AE17" s="83">
        <v>7600</v>
      </c>
      <c r="AF17" s="83">
        <v>7600</v>
      </c>
      <c r="AG17" s="83">
        <v>7550</v>
      </c>
      <c r="AH17" s="83">
        <v>7600</v>
      </c>
      <c r="AI17" s="83">
        <v>7600</v>
      </c>
      <c r="AJ17" s="184">
        <v>7550</v>
      </c>
      <c r="AK17" s="184">
        <v>7600</v>
      </c>
      <c r="AL17" s="184">
        <v>7600</v>
      </c>
      <c r="AM17" s="175">
        <v>9550</v>
      </c>
      <c r="AN17" s="175">
        <v>9600</v>
      </c>
      <c r="AO17" s="176">
        <v>9600</v>
      </c>
      <c r="AP17" s="177">
        <v>8050</v>
      </c>
      <c r="AQ17" s="177">
        <v>8100</v>
      </c>
      <c r="AR17" s="177">
        <v>8100</v>
      </c>
      <c r="AS17" s="177">
        <v>8250</v>
      </c>
      <c r="AT17" s="177">
        <v>8300</v>
      </c>
      <c r="AU17" s="177">
        <v>8300</v>
      </c>
      <c r="AV17" s="175">
        <v>9550</v>
      </c>
      <c r="AW17" s="175">
        <v>9600</v>
      </c>
      <c r="AX17" s="176">
        <v>9600</v>
      </c>
      <c r="AY17" s="175">
        <v>9550</v>
      </c>
      <c r="AZ17" s="175">
        <v>9600</v>
      </c>
      <c r="BA17" s="176">
        <v>9600</v>
      </c>
      <c r="BB17" s="177">
        <v>9550</v>
      </c>
      <c r="BC17" s="177">
        <v>9600</v>
      </c>
      <c r="BD17" s="177">
        <v>9600</v>
      </c>
      <c r="BE17" s="177">
        <v>10550</v>
      </c>
      <c r="BF17" s="177">
        <v>10600</v>
      </c>
      <c r="BG17" s="177">
        <v>10600</v>
      </c>
      <c r="BH17" s="215">
        <v>6050</v>
      </c>
      <c r="BI17" s="215">
        <v>6100</v>
      </c>
      <c r="BJ17" s="215">
        <v>6100</v>
      </c>
      <c r="BK17" s="198">
        <v>7850</v>
      </c>
      <c r="BL17" s="198">
        <v>7900</v>
      </c>
      <c r="BM17" s="198">
        <v>7900</v>
      </c>
    </row>
    <row r="18" spans="1:65">
      <c r="A18" s="111" t="s">
        <v>165</v>
      </c>
      <c r="B18" s="112" t="s">
        <v>166</v>
      </c>
      <c r="C18" s="90">
        <v>6875</v>
      </c>
      <c r="D18" s="90">
        <v>6950</v>
      </c>
      <c r="E18" s="90">
        <v>6950</v>
      </c>
      <c r="F18" s="90">
        <v>6975</v>
      </c>
      <c r="G18" s="90">
        <v>7050</v>
      </c>
      <c r="H18" s="90">
        <v>7050</v>
      </c>
      <c r="I18" s="90">
        <v>7575</v>
      </c>
      <c r="J18" s="90">
        <v>7650</v>
      </c>
      <c r="K18" s="178">
        <v>7650</v>
      </c>
      <c r="L18" s="179">
        <v>7775</v>
      </c>
      <c r="M18" s="179">
        <v>7850</v>
      </c>
      <c r="N18" s="179">
        <v>7850</v>
      </c>
      <c r="O18" s="200"/>
      <c r="P18" s="200"/>
      <c r="Q18" s="200"/>
      <c r="R18" s="174">
        <v>7775</v>
      </c>
      <c r="S18" s="174">
        <v>7850</v>
      </c>
      <c r="T18" s="174">
        <v>7850</v>
      </c>
      <c r="U18" s="179">
        <v>7575</v>
      </c>
      <c r="V18" s="179">
        <v>7650</v>
      </c>
      <c r="W18" s="179">
        <v>7650</v>
      </c>
      <c r="X18" s="185">
        <v>7575</v>
      </c>
      <c r="Y18" s="185">
        <v>7650</v>
      </c>
      <c r="Z18" s="185">
        <v>7650</v>
      </c>
      <c r="AA18" s="90">
        <v>7775</v>
      </c>
      <c r="AB18" s="90">
        <v>7850</v>
      </c>
      <c r="AC18" s="90">
        <v>7850</v>
      </c>
      <c r="AD18" s="90">
        <v>7575</v>
      </c>
      <c r="AE18" s="90">
        <v>7650</v>
      </c>
      <c r="AF18" s="90">
        <v>7650</v>
      </c>
      <c r="AG18" s="90">
        <v>7575</v>
      </c>
      <c r="AH18" s="90">
        <v>7650</v>
      </c>
      <c r="AI18" s="90">
        <v>7650</v>
      </c>
      <c r="AJ18" s="184">
        <v>7575</v>
      </c>
      <c r="AK18" s="184">
        <v>7650</v>
      </c>
      <c r="AL18" s="184">
        <v>7650</v>
      </c>
      <c r="AM18" s="175">
        <v>9575</v>
      </c>
      <c r="AN18" s="175">
        <v>9650</v>
      </c>
      <c r="AO18" s="176">
        <v>9650</v>
      </c>
      <c r="AP18" s="177">
        <v>8075</v>
      </c>
      <c r="AQ18" s="177">
        <v>8150</v>
      </c>
      <c r="AR18" s="177">
        <v>8150</v>
      </c>
      <c r="AS18" s="177">
        <v>8275</v>
      </c>
      <c r="AT18" s="177">
        <v>8350</v>
      </c>
      <c r="AU18" s="177">
        <v>8350</v>
      </c>
      <c r="AV18" s="175">
        <v>9575</v>
      </c>
      <c r="AW18" s="175">
        <v>9650</v>
      </c>
      <c r="AX18" s="176">
        <v>9650</v>
      </c>
      <c r="AY18" s="175">
        <v>9575</v>
      </c>
      <c r="AZ18" s="175">
        <v>9650</v>
      </c>
      <c r="BA18" s="176">
        <v>9650</v>
      </c>
      <c r="BB18" s="177">
        <v>9575</v>
      </c>
      <c r="BC18" s="177">
        <v>9650</v>
      </c>
      <c r="BD18" s="177">
        <v>9650</v>
      </c>
      <c r="BE18" s="177">
        <v>10575</v>
      </c>
      <c r="BF18" s="177">
        <v>10650</v>
      </c>
      <c r="BG18" s="177">
        <v>10650</v>
      </c>
      <c r="BH18" s="215">
        <v>6075</v>
      </c>
      <c r="BI18" s="215">
        <v>6150</v>
      </c>
      <c r="BJ18" s="215">
        <v>6150</v>
      </c>
      <c r="BK18" s="198">
        <v>7875</v>
      </c>
      <c r="BL18" s="198">
        <v>7950</v>
      </c>
      <c r="BM18" s="198">
        <v>7950</v>
      </c>
    </row>
    <row r="19" spans="1:65">
      <c r="A19" s="107" t="s">
        <v>29</v>
      </c>
      <c r="B19" s="108" t="s">
        <v>30</v>
      </c>
      <c r="C19" s="83">
        <v>6900</v>
      </c>
      <c r="D19" s="83">
        <v>7050</v>
      </c>
      <c r="E19" s="83">
        <v>7050</v>
      </c>
      <c r="F19" s="83">
        <v>7000</v>
      </c>
      <c r="G19" s="83">
        <v>7150</v>
      </c>
      <c r="H19" s="83">
        <v>7150</v>
      </c>
      <c r="I19" s="83">
        <v>7600</v>
      </c>
      <c r="J19" s="83">
        <v>7750</v>
      </c>
      <c r="K19" s="83">
        <v>7750</v>
      </c>
      <c r="L19" s="173">
        <v>7800</v>
      </c>
      <c r="M19" s="173">
        <v>7950</v>
      </c>
      <c r="N19" s="173">
        <v>7950</v>
      </c>
      <c r="O19" s="200"/>
      <c r="P19" s="200"/>
      <c r="Q19" s="200"/>
      <c r="R19" s="174">
        <v>7800</v>
      </c>
      <c r="S19" s="174">
        <v>7950</v>
      </c>
      <c r="T19" s="174">
        <v>7950</v>
      </c>
      <c r="U19" s="173">
        <v>7600</v>
      </c>
      <c r="V19" s="173">
        <v>7750</v>
      </c>
      <c r="W19" s="173">
        <v>7750</v>
      </c>
      <c r="X19" s="184">
        <v>7600</v>
      </c>
      <c r="Y19" s="184">
        <v>7750</v>
      </c>
      <c r="Z19" s="184">
        <v>7750</v>
      </c>
      <c r="AA19" s="83">
        <v>7800</v>
      </c>
      <c r="AB19" s="83">
        <v>7950</v>
      </c>
      <c r="AC19" s="83">
        <v>7950</v>
      </c>
      <c r="AD19" s="83">
        <v>7600</v>
      </c>
      <c r="AE19" s="83">
        <v>7750</v>
      </c>
      <c r="AF19" s="83">
        <v>7750</v>
      </c>
      <c r="AG19" s="83">
        <v>7600</v>
      </c>
      <c r="AH19" s="83">
        <v>7750</v>
      </c>
      <c r="AI19" s="83">
        <v>7750</v>
      </c>
      <c r="AJ19" s="184">
        <v>7600</v>
      </c>
      <c r="AK19" s="184">
        <v>7750</v>
      </c>
      <c r="AL19" s="184">
        <v>7750</v>
      </c>
      <c r="AM19" s="175">
        <v>9600</v>
      </c>
      <c r="AN19" s="175">
        <v>9750</v>
      </c>
      <c r="AO19" s="176">
        <v>9750</v>
      </c>
      <c r="AP19" s="177">
        <v>8100</v>
      </c>
      <c r="AQ19" s="177">
        <v>8250</v>
      </c>
      <c r="AR19" s="177">
        <v>8250</v>
      </c>
      <c r="AS19" s="177">
        <v>8300</v>
      </c>
      <c r="AT19" s="177">
        <v>8450</v>
      </c>
      <c r="AU19" s="177">
        <v>8450</v>
      </c>
      <c r="AV19" s="175">
        <v>9600</v>
      </c>
      <c r="AW19" s="175">
        <v>9750</v>
      </c>
      <c r="AX19" s="176">
        <v>9750</v>
      </c>
      <c r="AY19" s="175">
        <v>9600</v>
      </c>
      <c r="AZ19" s="175">
        <v>9750</v>
      </c>
      <c r="BA19" s="176">
        <v>9750</v>
      </c>
      <c r="BB19" s="177">
        <v>9600</v>
      </c>
      <c r="BC19" s="177">
        <v>9750</v>
      </c>
      <c r="BD19" s="177">
        <v>9750</v>
      </c>
      <c r="BE19" s="177">
        <v>10600</v>
      </c>
      <c r="BF19" s="177">
        <v>10750</v>
      </c>
      <c r="BG19" s="177">
        <v>10750</v>
      </c>
      <c r="BH19" s="215">
        <v>6100</v>
      </c>
      <c r="BI19" s="215">
        <v>6250</v>
      </c>
      <c r="BJ19" s="215">
        <v>6250</v>
      </c>
      <c r="BK19" s="198">
        <v>7900</v>
      </c>
      <c r="BL19" s="198">
        <v>8050</v>
      </c>
      <c r="BM19" s="198">
        <v>8050</v>
      </c>
    </row>
    <row r="20" spans="1:65">
      <c r="A20" s="107" t="s">
        <v>118</v>
      </c>
      <c r="B20" s="108" t="s">
        <v>214</v>
      </c>
      <c r="C20" s="83">
        <v>6850</v>
      </c>
      <c r="D20" s="83">
        <v>6900</v>
      </c>
      <c r="E20" s="83">
        <v>6900</v>
      </c>
      <c r="F20" s="83">
        <v>6950</v>
      </c>
      <c r="G20" s="83">
        <v>7000</v>
      </c>
      <c r="H20" s="83">
        <v>7000</v>
      </c>
      <c r="I20" s="83">
        <v>7550</v>
      </c>
      <c r="J20" s="83">
        <v>7600</v>
      </c>
      <c r="K20" s="83">
        <v>7600</v>
      </c>
      <c r="L20" s="173">
        <v>7750</v>
      </c>
      <c r="M20" s="173">
        <v>7800</v>
      </c>
      <c r="N20" s="173">
        <v>7800</v>
      </c>
      <c r="O20" s="200"/>
      <c r="P20" s="200"/>
      <c r="Q20" s="200"/>
      <c r="R20" s="174">
        <v>7750</v>
      </c>
      <c r="S20" s="174">
        <v>7800</v>
      </c>
      <c r="T20" s="174">
        <v>7800</v>
      </c>
      <c r="U20" s="173">
        <v>7550</v>
      </c>
      <c r="V20" s="173">
        <v>7600</v>
      </c>
      <c r="W20" s="173">
        <v>7600</v>
      </c>
      <c r="X20" s="184">
        <v>7550</v>
      </c>
      <c r="Y20" s="184">
        <v>7600</v>
      </c>
      <c r="Z20" s="184">
        <v>7600</v>
      </c>
      <c r="AA20" s="83">
        <v>7750</v>
      </c>
      <c r="AB20" s="83">
        <v>7800</v>
      </c>
      <c r="AC20" s="83">
        <v>7800</v>
      </c>
      <c r="AD20" s="83">
        <v>7550</v>
      </c>
      <c r="AE20" s="83">
        <v>7600</v>
      </c>
      <c r="AF20" s="83">
        <v>7600</v>
      </c>
      <c r="AG20" s="83">
        <v>7550</v>
      </c>
      <c r="AH20" s="83">
        <v>7600</v>
      </c>
      <c r="AI20" s="83">
        <v>7600</v>
      </c>
      <c r="AJ20" s="184">
        <v>7550</v>
      </c>
      <c r="AK20" s="184">
        <v>7600</v>
      </c>
      <c r="AL20" s="184">
        <v>7600</v>
      </c>
      <c r="AM20" s="175">
        <v>9550</v>
      </c>
      <c r="AN20" s="175">
        <v>9600</v>
      </c>
      <c r="AO20" s="176">
        <v>9600</v>
      </c>
      <c r="AP20" s="177">
        <v>8050</v>
      </c>
      <c r="AQ20" s="177">
        <v>8100</v>
      </c>
      <c r="AR20" s="177">
        <v>8100</v>
      </c>
      <c r="AS20" s="177">
        <v>8250</v>
      </c>
      <c r="AT20" s="177">
        <v>8300</v>
      </c>
      <c r="AU20" s="177">
        <v>8300</v>
      </c>
      <c r="AV20" s="175">
        <v>9550</v>
      </c>
      <c r="AW20" s="175">
        <v>9600</v>
      </c>
      <c r="AX20" s="176">
        <v>9600</v>
      </c>
      <c r="AY20" s="175">
        <v>9550</v>
      </c>
      <c r="AZ20" s="175">
        <v>9600</v>
      </c>
      <c r="BA20" s="176">
        <v>9600</v>
      </c>
      <c r="BB20" s="177">
        <v>9550</v>
      </c>
      <c r="BC20" s="177">
        <v>9600</v>
      </c>
      <c r="BD20" s="177">
        <v>9600</v>
      </c>
      <c r="BE20" s="177">
        <v>10550</v>
      </c>
      <c r="BF20" s="177">
        <v>10600</v>
      </c>
      <c r="BG20" s="177">
        <v>10600</v>
      </c>
      <c r="BH20" s="215">
        <v>6050</v>
      </c>
      <c r="BI20" s="215">
        <v>6100</v>
      </c>
      <c r="BJ20" s="215">
        <v>6100</v>
      </c>
      <c r="BK20" s="198">
        <v>7850</v>
      </c>
      <c r="BL20" s="198">
        <v>7900</v>
      </c>
      <c r="BM20" s="198">
        <v>7900</v>
      </c>
    </row>
    <row r="21" spans="1:65">
      <c r="A21" s="107" t="s">
        <v>120</v>
      </c>
      <c r="B21" s="108" t="s">
        <v>215</v>
      </c>
      <c r="C21" s="83">
        <v>6850</v>
      </c>
      <c r="D21" s="83">
        <v>6900</v>
      </c>
      <c r="E21" s="83">
        <v>6900</v>
      </c>
      <c r="F21" s="83">
        <v>6950</v>
      </c>
      <c r="G21" s="83">
        <v>7000</v>
      </c>
      <c r="H21" s="83">
        <v>7000</v>
      </c>
      <c r="I21" s="83">
        <v>7550</v>
      </c>
      <c r="J21" s="83">
        <v>7600</v>
      </c>
      <c r="K21" s="83">
        <v>7600</v>
      </c>
      <c r="L21" s="173">
        <v>7750</v>
      </c>
      <c r="M21" s="173">
        <v>7800</v>
      </c>
      <c r="N21" s="173">
        <v>7800</v>
      </c>
      <c r="O21" s="200"/>
      <c r="P21" s="200"/>
      <c r="Q21" s="200"/>
      <c r="R21" s="174">
        <v>7750</v>
      </c>
      <c r="S21" s="174">
        <v>7800</v>
      </c>
      <c r="T21" s="174">
        <v>7800</v>
      </c>
      <c r="U21" s="173">
        <v>7550</v>
      </c>
      <c r="V21" s="173">
        <v>7600</v>
      </c>
      <c r="W21" s="173">
        <v>7600</v>
      </c>
      <c r="X21" s="184">
        <v>7550</v>
      </c>
      <c r="Y21" s="184">
        <v>7600</v>
      </c>
      <c r="Z21" s="184">
        <v>7600</v>
      </c>
      <c r="AA21" s="83">
        <v>7750</v>
      </c>
      <c r="AB21" s="83">
        <v>7800</v>
      </c>
      <c r="AC21" s="83">
        <v>7800</v>
      </c>
      <c r="AD21" s="83">
        <v>7550</v>
      </c>
      <c r="AE21" s="83">
        <v>7600</v>
      </c>
      <c r="AF21" s="83">
        <v>7600</v>
      </c>
      <c r="AG21" s="83">
        <v>7550</v>
      </c>
      <c r="AH21" s="83">
        <v>7600</v>
      </c>
      <c r="AI21" s="83">
        <v>7600</v>
      </c>
      <c r="AJ21" s="184">
        <v>7550</v>
      </c>
      <c r="AK21" s="184">
        <v>7600</v>
      </c>
      <c r="AL21" s="184">
        <v>7600</v>
      </c>
      <c r="AM21" s="175">
        <v>9550</v>
      </c>
      <c r="AN21" s="175">
        <v>9600</v>
      </c>
      <c r="AO21" s="176">
        <v>9600</v>
      </c>
      <c r="AP21" s="177">
        <v>8050</v>
      </c>
      <c r="AQ21" s="177">
        <v>8100</v>
      </c>
      <c r="AR21" s="177">
        <v>8100</v>
      </c>
      <c r="AS21" s="177">
        <v>8250</v>
      </c>
      <c r="AT21" s="177">
        <v>8300</v>
      </c>
      <c r="AU21" s="177">
        <v>8300</v>
      </c>
      <c r="AV21" s="175">
        <v>9550</v>
      </c>
      <c r="AW21" s="175">
        <v>9600</v>
      </c>
      <c r="AX21" s="176">
        <v>9600</v>
      </c>
      <c r="AY21" s="175">
        <v>9550</v>
      </c>
      <c r="AZ21" s="175">
        <v>9600</v>
      </c>
      <c r="BA21" s="176">
        <v>9600</v>
      </c>
      <c r="BB21" s="177">
        <v>9550</v>
      </c>
      <c r="BC21" s="177">
        <v>9600</v>
      </c>
      <c r="BD21" s="177">
        <v>9600</v>
      </c>
      <c r="BE21" s="177">
        <v>10550</v>
      </c>
      <c r="BF21" s="177">
        <v>10600</v>
      </c>
      <c r="BG21" s="177">
        <v>10600</v>
      </c>
      <c r="BH21" s="215">
        <v>6050</v>
      </c>
      <c r="BI21" s="215">
        <v>6100</v>
      </c>
      <c r="BJ21" s="215">
        <v>6100</v>
      </c>
      <c r="BK21" s="198">
        <v>7850</v>
      </c>
      <c r="BL21" s="198">
        <v>7900</v>
      </c>
      <c r="BM21" s="198">
        <v>7900</v>
      </c>
    </row>
    <row r="22" spans="1:65">
      <c r="A22" s="107" t="s">
        <v>121</v>
      </c>
      <c r="B22" s="108" t="s">
        <v>156</v>
      </c>
      <c r="C22" s="83">
        <v>6850</v>
      </c>
      <c r="D22" s="83">
        <v>6900</v>
      </c>
      <c r="E22" s="83">
        <v>6900</v>
      </c>
      <c r="F22" s="83">
        <v>6950</v>
      </c>
      <c r="G22" s="83">
        <v>7000</v>
      </c>
      <c r="H22" s="83">
        <v>7000</v>
      </c>
      <c r="I22" s="83">
        <v>7550</v>
      </c>
      <c r="J22" s="83">
        <v>7600</v>
      </c>
      <c r="K22" s="83">
        <v>7600</v>
      </c>
      <c r="L22" s="173">
        <v>7750</v>
      </c>
      <c r="M22" s="173">
        <v>7800</v>
      </c>
      <c r="N22" s="173">
        <v>7800</v>
      </c>
      <c r="O22" s="200"/>
      <c r="P22" s="200"/>
      <c r="Q22" s="200"/>
      <c r="R22" s="174">
        <v>7750</v>
      </c>
      <c r="S22" s="174">
        <v>7800</v>
      </c>
      <c r="T22" s="174">
        <v>7800</v>
      </c>
      <c r="U22" s="173">
        <v>7550</v>
      </c>
      <c r="V22" s="173">
        <v>7600</v>
      </c>
      <c r="W22" s="173">
        <v>7600</v>
      </c>
      <c r="X22" s="184">
        <v>7550</v>
      </c>
      <c r="Y22" s="184">
        <v>7600</v>
      </c>
      <c r="Z22" s="184">
        <v>7600</v>
      </c>
      <c r="AA22" s="83">
        <v>7750</v>
      </c>
      <c r="AB22" s="83">
        <v>7800</v>
      </c>
      <c r="AC22" s="83">
        <v>7800</v>
      </c>
      <c r="AD22" s="83">
        <v>7550</v>
      </c>
      <c r="AE22" s="83">
        <v>7600</v>
      </c>
      <c r="AF22" s="83">
        <v>7600</v>
      </c>
      <c r="AG22" s="83">
        <v>7550</v>
      </c>
      <c r="AH22" s="83">
        <v>7600</v>
      </c>
      <c r="AI22" s="83">
        <v>7600</v>
      </c>
      <c r="AJ22" s="184">
        <v>7550</v>
      </c>
      <c r="AK22" s="184">
        <v>7600</v>
      </c>
      <c r="AL22" s="184">
        <v>7600</v>
      </c>
      <c r="AM22" s="175">
        <v>9550</v>
      </c>
      <c r="AN22" s="175">
        <v>9600</v>
      </c>
      <c r="AO22" s="176">
        <v>9600</v>
      </c>
      <c r="AP22" s="177">
        <v>8050</v>
      </c>
      <c r="AQ22" s="177">
        <v>8100</v>
      </c>
      <c r="AR22" s="177">
        <v>8100</v>
      </c>
      <c r="AS22" s="177">
        <v>8250</v>
      </c>
      <c r="AT22" s="177">
        <v>8300</v>
      </c>
      <c r="AU22" s="177">
        <v>8300</v>
      </c>
      <c r="AV22" s="175">
        <v>9550</v>
      </c>
      <c r="AW22" s="175">
        <v>9600</v>
      </c>
      <c r="AX22" s="176">
        <v>9600</v>
      </c>
      <c r="AY22" s="175">
        <v>9550</v>
      </c>
      <c r="AZ22" s="175">
        <v>9600</v>
      </c>
      <c r="BA22" s="176">
        <v>9600</v>
      </c>
      <c r="BB22" s="177">
        <v>9550</v>
      </c>
      <c r="BC22" s="177">
        <v>9600</v>
      </c>
      <c r="BD22" s="177">
        <v>9600</v>
      </c>
      <c r="BE22" s="177">
        <v>10550</v>
      </c>
      <c r="BF22" s="177">
        <v>10600</v>
      </c>
      <c r="BG22" s="177">
        <v>10600</v>
      </c>
      <c r="BH22" s="215">
        <v>6050</v>
      </c>
      <c r="BI22" s="215">
        <v>6100</v>
      </c>
      <c r="BJ22" s="215">
        <v>6100</v>
      </c>
      <c r="BK22" s="198">
        <v>7850</v>
      </c>
      <c r="BL22" s="198">
        <v>7900</v>
      </c>
      <c r="BM22" s="198">
        <v>7900</v>
      </c>
    </row>
    <row r="23" spans="1:65">
      <c r="A23" s="107" t="s">
        <v>122</v>
      </c>
      <c r="B23" s="108" t="s">
        <v>216</v>
      </c>
      <c r="C23" s="83">
        <v>6850</v>
      </c>
      <c r="D23" s="83">
        <v>6900</v>
      </c>
      <c r="E23" s="83">
        <v>6900</v>
      </c>
      <c r="F23" s="83">
        <v>6950</v>
      </c>
      <c r="G23" s="83">
        <v>7000</v>
      </c>
      <c r="H23" s="83">
        <v>7000</v>
      </c>
      <c r="I23" s="83">
        <v>7550</v>
      </c>
      <c r="J23" s="83">
        <v>7600</v>
      </c>
      <c r="K23" s="83">
        <v>7600</v>
      </c>
      <c r="L23" s="173">
        <v>7750</v>
      </c>
      <c r="M23" s="173">
        <v>7800</v>
      </c>
      <c r="N23" s="173">
        <v>7800</v>
      </c>
      <c r="O23" s="200"/>
      <c r="P23" s="200"/>
      <c r="Q23" s="200"/>
      <c r="R23" s="174">
        <v>7750</v>
      </c>
      <c r="S23" s="174">
        <v>7800</v>
      </c>
      <c r="T23" s="174">
        <v>7800</v>
      </c>
      <c r="U23" s="173">
        <v>7550</v>
      </c>
      <c r="V23" s="173">
        <v>7600</v>
      </c>
      <c r="W23" s="173">
        <v>7600</v>
      </c>
      <c r="X23" s="184">
        <v>7550</v>
      </c>
      <c r="Y23" s="184">
        <v>7600</v>
      </c>
      <c r="Z23" s="184">
        <v>7600</v>
      </c>
      <c r="AA23" s="83">
        <v>7750</v>
      </c>
      <c r="AB23" s="83">
        <v>7800</v>
      </c>
      <c r="AC23" s="83">
        <v>7800</v>
      </c>
      <c r="AD23" s="83">
        <v>7550</v>
      </c>
      <c r="AE23" s="83">
        <v>7600</v>
      </c>
      <c r="AF23" s="83">
        <v>7600</v>
      </c>
      <c r="AG23" s="83">
        <v>7550</v>
      </c>
      <c r="AH23" s="83">
        <v>7600</v>
      </c>
      <c r="AI23" s="83">
        <v>7600</v>
      </c>
      <c r="AJ23" s="184">
        <v>7550</v>
      </c>
      <c r="AK23" s="184">
        <v>7600</v>
      </c>
      <c r="AL23" s="184">
        <v>7600</v>
      </c>
      <c r="AM23" s="175">
        <v>9550</v>
      </c>
      <c r="AN23" s="175">
        <v>9600</v>
      </c>
      <c r="AO23" s="176">
        <v>9600</v>
      </c>
      <c r="AP23" s="177">
        <v>8050</v>
      </c>
      <c r="AQ23" s="177">
        <v>8100</v>
      </c>
      <c r="AR23" s="177">
        <v>8100</v>
      </c>
      <c r="AS23" s="177">
        <v>8250</v>
      </c>
      <c r="AT23" s="177">
        <v>8300</v>
      </c>
      <c r="AU23" s="177">
        <v>8300</v>
      </c>
      <c r="AV23" s="175">
        <v>9550</v>
      </c>
      <c r="AW23" s="175">
        <v>9600</v>
      </c>
      <c r="AX23" s="176">
        <v>9600</v>
      </c>
      <c r="AY23" s="175">
        <v>9550</v>
      </c>
      <c r="AZ23" s="175">
        <v>9600</v>
      </c>
      <c r="BA23" s="176">
        <v>9600</v>
      </c>
      <c r="BB23" s="177">
        <v>9550</v>
      </c>
      <c r="BC23" s="177">
        <v>9600</v>
      </c>
      <c r="BD23" s="177">
        <v>9600</v>
      </c>
      <c r="BE23" s="177">
        <v>10550</v>
      </c>
      <c r="BF23" s="177">
        <v>10600</v>
      </c>
      <c r="BG23" s="177">
        <v>10600</v>
      </c>
      <c r="BH23" s="215">
        <v>6050</v>
      </c>
      <c r="BI23" s="215">
        <v>6100</v>
      </c>
      <c r="BJ23" s="215">
        <v>6100</v>
      </c>
      <c r="BK23" s="198">
        <v>7850</v>
      </c>
      <c r="BL23" s="198">
        <v>7900</v>
      </c>
      <c r="BM23" s="198">
        <v>7900</v>
      </c>
    </row>
    <row r="24" spans="1:65">
      <c r="A24" s="107" t="s">
        <v>31</v>
      </c>
      <c r="B24" s="108" t="s">
        <v>32</v>
      </c>
      <c r="C24" s="83">
        <v>6850</v>
      </c>
      <c r="D24" s="83">
        <v>6900</v>
      </c>
      <c r="E24" s="83">
        <v>6900</v>
      </c>
      <c r="F24" s="83">
        <v>6950</v>
      </c>
      <c r="G24" s="83">
        <v>7000</v>
      </c>
      <c r="H24" s="83">
        <v>7000</v>
      </c>
      <c r="I24" s="83">
        <v>7550</v>
      </c>
      <c r="J24" s="83">
        <v>7600</v>
      </c>
      <c r="K24" s="83">
        <v>7600</v>
      </c>
      <c r="L24" s="173">
        <v>7750</v>
      </c>
      <c r="M24" s="173">
        <v>7800</v>
      </c>
      <c r="N24" s="173">
        <v>7800</v>
      </c>
      <c r="O24" s="200"/>
      <c r="P24" s="200"/>
      <c r="Q24" s="200"/>
      <c r="R24" s="174">
        <v>7750</v>
      </c>
      <c r="S24" s="174">
        <v>7800</v>
      </c>
      <c r="T24" s="174">
        <v>7800</v>
      </c>
      <c r="U24" s="173">
        <v>7550</v>
      </c>
      <c r="V24" s="173">
        <v>7600</v>
      </c>
      <c r="W24" s="173">
        <v>7600</v>
      </c>
      <c r="X24" s="184">
        <v>7550</v>
      </c>
      <c r="Y24" s="184">
        <v>7600</v>
      </c>
      <c r="Z24" s="184">
        <v>7600</v>
      </c>
      <c r="AA24" s="83">
        <v>7750</v>
      </c>
      <c r="AB24" s="83">
        <v>7800</v>
      </c>
      <c r="AC24" s="83">
        <v>7800</v>
      </c>
      <c r="AD24" s="83">
        <v>7550</v>
      </c>
      <c r="AE24" s="83">
        <v>7600</v>
      </c>
      <c r="AF24" s="83">
        <v>7600</v>
      </c>
      <c r="AG24" s="83">
        <v>7550</v>
      </c>
      <c r="AH24" s="83">
        <v>7600</v>
      </c>
      <c r="AI24" s="83">
        <v>7600</v>
      </c>
      <c r="AJ24" s="184">
        <v>7550</v>
      </c>
      <c r="AK24" s="184">
        <v>7600</v>
      </c>
      <c r="AL24" s="184">
        <v>7600</v>
      </c>
      <c r="AM24" s="175">
        <v>9550</v>
      </c>
      <c r="AN24" s="175">
        <v>9600</v>
      </c>
      <c r="AO24" s="176">
        <v>9600</v>
      </c>
      <c r="AP24" s="177">
        <v>8050</v>
      </c>
      <c r="AQ24" s="177">
        <v>8100</v>
      </c>
      <c r="AR24" s="177">
        <v>8100</v>
      </c>
      <c r="AS24" s="177">
        <v>8250</v>
      </c>
      <c r="AT24" s="177">
        <v>8300</v>
      </c>
      <c r="AU24" s="177">
        <v>8300</v>
      </c>
      <c r="AV24" s="175">
        <v>9550</v>
      </c>
      <c r="AW24" s="175">
        <v>9600</v>
      </c>
      <c r="AX24" s="176">
        <v>9600</v>
      </c>
      <c r="AY24" s="175">
        <v>9550</v>
      </c>
      <c r="AZ24" s="175">
        <v>9600</v>
      </c>
      <c r="BA24" s="176">
        <v>9600</v>
      </c>
      <c r="BB24" s="177">
        <v>9550</v>
      </c>
      <c r="BC24" s="177">
        <v>9600</v>
      </c>
      <c r="BD24" s="177">
        <v>9600</v>
      </c>
      <c r="BE24" s="177">
        <v>10550</v>
      </c>
      <c r="BF24" s="177">
        <v>10600</v>
      </c>
      <c r="BG24" s="177">
        <v>10600</v>
      </c>
      <c r="BH24" s="215">
        <v>6050</v>
      </c>
      <c r="BI24" s="215">
        <v>6100</v>
      </c>
      <c r="BJ24" s="215">
        <v>6100</v>
      </c>
      <c r="BK24" s="198">
        <v>7850</v>
      </c>
      <c r="BL24" s="198">
        <v>7900</v>
      </c>
      <c r="BM24" s="198">
        <v>7900</v>
      </c>
    </row>
    <row r="25" spans="1:65">
      <c r="A25" s="107" t="s">
        <v>124</v>
      </c>
      <c r="B25" s="108" t="s">
        <v>217</v>
      </c>
      <c r="C25" s="83">
        <v>7000</v>
      </c>
      <c r="D25" s="83">
        <v>7200</v>
      </c>
      <c r="E25" s="83">
        <v>7200</v>
      </c>
      <c r="F25" s="83">
        <v>7100</v>
      </c>
      <c r="G25" s="83">
        <v>7300</v>
      </c>
      <c r="H25" s="83">
        <v>7300</v>
      </c>
      <c r="I25" s="83">
        <v>7700</v>
      </c>
      <c r="J25" s="83">
        <v>7900</v>
      </c>
      <c r="K25" s="83">
        <v>7900</v>
      </c>
      <c r="L25" s="173">
        <v>7900</v>
      </c>
      <c r="M25" s="173">
        <v>8100</v>
      </c>
      <c r="N25" s="173">
        <v>8100</v>
      </c>
      <c r="O25" s="200"/>
      <c r="P25" s="200"/>
      <c r="Q25" s="200"/>
      <c r="R25" s="174">
        <v>7900</v>
      </c>
      <c r="S25" s="174">
        <v>8100</v>
      </c>
      <c r="T25" s="174">
        <v>8100</v>
      </c>
      <c r="U25" s="173">
        <v>7700</v>
      </c>
      <c r="V25" s="173">
        <v>7900</v>
      </c>
      <c r="W25" s="173">
        <v>7900</v>
      </c>
      <c r="X25" s="184">
        <v>7700</v>
      </c>
      <c r="Y25" s="184">
        <v>7900</v>
      </c>
      <c r="Z25" s="184">
        <v>7900</v>
      </c>
      <c r="AA25" s="83">
        <v>7900</v>
      </c>
      <c r="AB25" s="83">
        <v>8100</v>
      </c>
      <c r="AC25" s="83">
        <v>8100</v>
      </c>
      <c r="AD25" s="83">
        <v>7700</v>
      </c>
      <c r="AE25" s="83">
        <v>7900</v>
      </c>
      <c r="AF25" s="83">
        <v>7900</v>
      </c>
      <c r="AG25" s="83">
        <v>7700</v>
      </c>
      <c r="AH25" s="83">
        <v>7900</v>
      </c>
      <c r="AI25" s="83">
        <v>7900</v>
      </c>
      <c r="AJ25" s="184">
        <v>7700</v>
      </c>
      <c r="AK25" s="184">
        <v>7900</v>
      </c>
      <c r="AL25" s="184">
        <v>7900</v>
      </c>
      <c r="AM25" s="175">
        <v>9700</v>
      </c>
      <c r="AN25" s="175">
        <v>9900</v>
      </c>
      <c r="AO25" s="176">
        <v>9900</v>
      </c>
      <c r="AP25" s="177">
        <v>8200</v>
      </c>
      <c r="AQ25" s="177">
        <v>8400</v>
      </c>
      <c r="AR25" s="177">
        <v>8400</v>
      </c>
      <c r="AS25" s="177">
        <v>8400</v>
      </c>
      <c r="AT25" s="177">
        <v>8600</v>
      </c>
      <c r="AU25" s="177">
        <v>8600</v>
      </c>
      <c r="AV25" s="175">
        <v>9700</v>
      </c>
      <c r="AW25" s="175">
        <v>9900</v>
      </c>
      <c r="AX25" s="176">
        <v>9900</v>
      </c>
      <c r="AY25" s="175">
        <v>9700</v>
      </c>
      <c r="AZ25" s="175">
        <v>9900</v>
      </c>
      <c r="BA25" s="176">
        <v>9900</v>
      </c>
      <c r="BB25" s="177">
        <v>9700</v>
      </c>
      <c r="BC25" s="177">
        <v>9900</v>
      </c>
      <c r="BD25" s="177">
        <v>9900</v>
      </c>
      <c r="BE25" s="177">
        <v>10700</v>
      </c>
      <c r="BF25" s="177">
        <v>10900</v>
      </c>
      <c r="BG25" s="177">
        <v>10900</v>
      </c>
      <c r="BH25" s="215">
        <v>6200</v>
      </c>
      <c r="BI25" s="215">
        <v>6400</v>
      </c>
      <c r="BJ25" s="215">
        <v>6400</v>
      </c>
      <c r="BK25" s="198">
        <v>8000</v>
      </c>
      <c r="BL25" s="198">
        <v>8200</v>
      </c>
      <c r="BM25" s="198">
        <v>8200</v>
      </c>
    </row>
    <row r="26" spans="1:65">
      <c r="A26" s="107" t="s">
        <v>125</v>
      </c>
      <c r="B26" s="108" t="s">
        <v>218</v>
      </c>
      <c r="C26" s="83">
        <v>7000</v>
      </c>
      <c r="D26" s="83">
        <v>7200</v>
      </c>
      <c r="E26" s="83">
        <v>7200</v>
      </c>
      <c r="F26" s="83">
        <v>7100</v>
      </c>
      <c r="G26" s="83">
        <v>7300</v>
      </c>
      <c r="H26" s="83">
        <v>7300</v>
      </c>
      <c r="I26" s="83">
        <v>7700</v>
      </c>
      <c r="J26" s="83">
        <v>7900</v>
      </c>
      <c r="K26" s="83">
        <v>7900</v>
      </c>
      <c r="L26" s="173">
        <v>7900</v>
      </c>
      <c r="M26" s="173">
        <v>8100</v>
      </c>
      <c r="N26" s="173">
        <v>8100</v>
      </c>
      <c r="O26" s="200"/>
      <c r="P26" s="200"/>
      <c r="Q26" s="200"/>
      <c r="R26" s="174">
        <v>7900</v>
      </c>
      <c r="S26" s="174">
        <v>8100</v>
      </c>
      <c r="T26" s="174">
        <v>8100</v>
      </c>
      <c r="U26" s="173">
        <v>7700</v>
      </c>
      <c r="V26" s="173">
        <v>7900</v>
      </c>
      <c r="W26" s="173">
        <v>7900</v>
      </c>
      <c r="X26" s="184">
        <v>7700</v>
      </c>
      <c r="Y26" s="184">
        <v>7900</v>
      </c>
      <c r="Z26" s="184">
        <v>7900</v>
      </c>
      <c r="AA26" s="83">
        <v>7900</v>
      </c>
      <c r="AB26" s="83">
        <v>8100</v>
      </c>
      <c r="AC26" s="83">
        <v>8100</v>
      </c>
      <c r="AD26" s="83">
        <v>7700</v>
      </c>
      <c r="AE26" s="83">
        <v>7900</v>
      </c>
      <c r="AF26" s="83">
        <v>7900</v>
      </c>
      <c r="AG26" s="83">
        <v>7700</v>
      </c>
      <c r="AH26" s="83">
        <v>7900</v>
      </c>
      <c r="AI26" s="83">
        <v>7900</v>
      </c>
      <c r="AJ26" s="184">
        <v>7700</v>
      </c>
      <c r="AK26" s="184">
        <v>7900</v>
      </c>
      <c r="AL26" s="184">
        <v>7900</v>
      </c>
      <c r="AM26" s="175">
        <v>9700</v>
      </c>
      <c r="AN26" s="175">
        <v>9900</v>
      </c>
      <c r="AO26" s="176">
        <v>9900</v>
      </c>
      <c r="AP26" s="177">
        <v>8200</v>
      </c>
      <c r="AQ26" s="177">
        <v>8400</v>
      </c>
      <c r="AR26" s="177">
        <v>8400</v>
      </c>
      <c r="AS26" s="177">
        <v>8400</v>
      </c>
      <c r="AT26" s="177">
        <v>8600</v>
      </c>
      <c r="AU26" s="177">
        <v>8600</v>
      </c>
      <c r="AV26" s="175">
        <v>9700</v>
      </c>
      <c r="AW26" s="175">
        <v>9900</v>
      </c>
      <c r="AX26" s="176">
        <v>9900</v>
      </c>
      <c r="AY26" s="175">
        <v>9700</v>
      </c>
      <c r="AZ26" s="175">
        <v>9900</v>
      </c>
      <c r="BA26" s="176">
        <v>9900</v>
      </c>
      <c r="BB26" s="177">
        <v>9700</v>
      </c>
      <c r="BC26" s="177">
        <v>9900</v>
      </c>
      <c r="BD26" s="177">
        <v>9900</v>
      </c>
      <c r="BE26" s="177">
        <v>10700</v>
      </c>
      <c r="BF26" s="177">
        <v>10900</v>
      </c>
      <c r="BG26" s="177">
        <v>10900</v>
      </c>
      <c r="BH26" s="215">
        <v>6200</v>
      </c>
      <c r="BI26" s="215">
        <v>6400</v>
      </c>
      <c r="BJ26" s="215">
        <v>6400</v>
      </c>
      <c r="BK26" s="198">
        <v>8000</v>
      </c>
      <c r="BL26" s="198">
        <v>8200</v>
      </c>
      <c r="BM26" s="198">
        <v>8200</v>
      </c>
    </row>
    <row r="27" spans="1:65">
      <c r="A27" s="107" t="s">
        <v>33</v>
      </c>
      <c r="B27" s="108" t="s">
        <v>34</v>
      </c>
      <c r="C27" s="83">
        <v>6850</v>
      </c>
      <c r="D27" s="83">
        <v>6900</v>
      </c>
      <c r="E27" s="83">
        <v>6900</v>
      </c>
      <c r="F27" s="83">
        <v>6950</v>
      </c>
      <c r="G27" s="83">
        <v>7000</v>
      </c>
      <c r="H27" s="83">
        <v>7000</v>
      </c>
      <c r="I27" s="83">
        <v>7550</v>
      </c>
      <c r="J27" s="83">
        <v>7600</v>
      </c>
      <c r="K27" s="83">
        <v>7600</v>
      </c>
      <c r="L27" s="173">
        <v>7750</v>
      </c>
      <c r="M27" s="173">
        <v>7800</v>
      </c>
      <c r="N27" s="173">
        <v>7800</v>
      </c>
      <c r="O27" s="200"/>
      <c r="P27" s="200"/>
      <c r="Q27" s="200"/>
      <c r="R27" s="174">
        <v>7750</v>
      </c>
      <c r="S27" s="174">
        <v>7800</v>
      </c>
      <c r="T27" s="174">
        <v>7800</v>
      </c>
      <c r="U27" s="173">
        <v>7550</v>
      </c>
      <c r="V27" s="173">
        <v>7600</v>
      </c>
      <c r="W27" s="173">
        <v>7600</v>
      </c>
      <c r="X27" s="184">
        <v>7550</v>
      </c>
      <c r="Y27" s="184">
        <v>7600</v>
      </c>
      <c r="Z27" s="184">
        <v>7600</v>
      </c>
      <c r="AA27" s="83">
        <v>7750</v>
      </c>
      <c r="AB27" s="83">
        <v>7800</v>
      </c>
      <c r="AC27" s="83">
        <v>7800</v>
      </c>
      <c r="AD27" s="83">
        <v>7550</v>
      </c>
      <c r="AE27" s="83">
        <v>7600</v>
      </c>
      <c r="AF27" s="83">
        <v>7600</v>
      </c>
      <c r="AG27" s="83">
        <v>7550</v>
      </c>
      <c r="AH27" s="83">
        <v>7600</v>
      </c>
      <c r="AI27" s="83">
        <v>7600</v>
      </c>
      <c r="AJ27" s="184">
        <v>7550</v>
      </c>
      <c r="AK27" s="184">
        <v>7600</v>
      </c>
      <c r="AL27" s="184">
        <v>7600</v>
      </c>
      <c r="AM27" s="175">
        <v>9550</v>
      </c>
      <c r="AN27" s="175">
        <v>9600</v>
      </c>
      <c r="AO27" s="176">
        <v>9600</v>
      </c>
      <c r="AP27" s="177">
        <v>8050</v>
      </c>
      <c r="AQ27" s="177">
        <v>8100</v>
      </c>
      <c r="AR27" s="177">
        <v>8100</v>
      </c>
      <c r="AS27" s="177">
        <v>8250</v>
      </c>
      <c r="AT27" s="177">
        <v>8300</v>
      </c>
      <c r="AU27" s="177">
        <v>8300</v>
      </c>
      <c r="AV27" s="175">
        <v>9550</v>
      </c>
      <c r="AW27" s="175">
        <v>9600</v>
      </c>
      <c r="AX27" s="176">
        <v>9600</v>
      </c>
      <c r="AY27" s="175">
        <v>9550</v>
      </c>
      <c r="AZ27" s="175">
        <v>9600</v>
      </c>
      <c r="BA27" s="176">
        <v>9600</v>
      </c>
      <c r="BB27" s="177">
        <v>9550</v>
      </c>
      <c r="BC27" s="177">
        <v>9600</v>
      </c>
      <c r="BD27" s="177">
        <v>9600</v>
      </c>
      <c r="BE27" s="177">
        <v>10550</v>
      </c>
      <c r="BF27" s="177">
        <v>10600</v>
      </c>
      <c r="BG27" s="177">
        <v>10600</v>
      </c>
      <c r="BH27" s="215">
        <v>6050</v>
      </c>
      <c r="BI27" s="215">
        <v>6100</v>
      </c>
      <c r="BJ27" s="215">
        <v>6100</v>
      </c>
      <c r="BK27" s="198">
        <v>7850</v>
      </c>
      <c r="BL27" s="198">
        <v>7900</v>
      </c>
      <c r="BM27" s="198">
        <v>7900</v>
      </c>
    </row>
    <row r="28" spans="1:65">
      <c r="A28" s="107" t="s">
        <v>35</v>
      </c>
      <c r="B28" s="108" t="s">
        <v>36</v>
      </c>
      <c r="C28" s="83">
        <v>6850</v>
      </c>
      <c r="D28" s="83">
        <v>6900</v>
      </c>
      <c r="E28" s="83">
        <v>6900</v>
      </c>
      <c r="F28" s="83">
        <v>6950</v>
      </c>
      <c r="G28" s="83">
        <v>7000</v>
      </c>
      <c r="H28" s="83">
        <v>7000</v>
      </c>
      <c r="I28" s="83">
        <v>7550</v>
      </c>
      <c r="J28" s="83">
        <v>7600</v>
      </c>
      <c r="K28" s="83">
        <v>7600</v>
      </c>
      <c r="L28" s="173">
        <v>7750</v>
      </c>
      <c r="M28" s="173">
        <v>7800</v>
      </c>
      <c r="N28" s="173">
        <v>7800</v>
      </c>
      <c r="O28" s="200"/>
      <c r="P28" s="200"/>
      <c r="Q28" s="200"/>
      <c r="R28" s="174">
        <v>7750</v>
      </c>
      <c r="S28" s="174">
        <v>7800</v>
      </c>
      <c r="T28" s="174">
        <v>7800</v>
      </c>
      <c r="U28" s="173">
        <v>7550</v>
      </c>
      <c r="V28" s="173">
        <v>7600</v>
      </c>
      <c r="W28" s="173">
        <v>7600</v>
      </c>
      <c r="X28" s="184">
        <v>7550</v>
      </c>
      <c r="Y28" s="184">
        <v>7600</v>
      </c>
      <c r="Z28" s="184">
        <v>7600</v>
      </c>
      <c r="AA28" s="83">
        <v>7750</v>
      </c>
      <c r="AB28" s="83">
        <v>7800</v>
      </c>
      <c r="AC28" s="83">
        <v>7800</v>
      </c>
      <c r="AD28" s="83">
        <v>7550</v>
      </c>
      <c r="AE28" s="83">
        <v>7600</v>
      </c>
      <c r="AF28" s="83">
        <v>7600</v>
      </c>
      <c r="AG28" s="83">
        <v>7550</v>
      </c>
      <c r="AH28" s="83">
        <v>7600</v>
      </c>
      <c r="AI28" s="83">
        <v>7600</v>
      </c>
      <c r="AJ28" s="184">
        <v>7550</v>
      </c>
      <c r="AK28" s="184">
        <v>7600</v>
      </c>
      <c r="AL28" s="184">
        <v>7600</v>
      </c>
      <c r="AM28" s="175">
        <v>9550</v>
      </c>
      <c r="AN28" s="175">
        <v>9600</v>
      </c>
      <c r="AO28" s="176">
        <v>9600</v>
      </c>
      <c r="AP28" s="177">
        <v>8050</v>
      </c>
      <c r="AQ28" s="177">
        <v>8100</v>
      </c>
      <c r="AR28" s="177">
        <v>8100</v>
      </c>
      <c r="AS28" s="177">
        <v>8250</v>
      </c>
      <c r="AT28" s="177">
        <v>8300</v>
      </c>
      <c r="AU28" s="177">
        <v>8300</v>
      </c>
      <c r="AV28" s="175">
        <v>9550</v>
      </c>
      <c r="AW28" s="175">
        <v>9600</v>
      </c>
      <c r="AX28" s="176">
        <v>9600</v>
      </c>
      <c r="AY28" s="175">
        <v>9550</v>
      </c>
      <c r="AZ28" s="175">
        <v>9600</v>
      </c>
      <c r="BA28" s="176">
        <v>9600</v>
      </c>
      <c r="BB28" s="177">
        <v>9550</v>
      </c>
      <c r="BC28" s="177">
        <v>9600</v>
      </c>
      <c r="BD28" s="177">
        <v>9600</v>
      </c>
      <c r="BE28" s="177">
        <v>10550</v>
      </c>
      <c r="BF28" s="177">
        <v>10600</v>
      </c>
      <c r="BG28" s="177">
        <v>10600</v>
      </c>
      <c r="BH28" s="215">
        <v>6050</v>
      </c>
      <c r="BI28" s="215">
        <v>6100</v>
      </c>
      <c r="BJ28" s="215">
        <v>6100</v>
      </c>
      <c r="BK28" s="198">
        <v>7850</v>
      </c>
      <c r="BL28" s="198">
        <v>7900</v>
      </c>
      <c r="BM28" s="198">
        <v>7900</v>
      </c>
    </row>
    <row r="29" spans="1:65">
      <c r="A29" s="107" t="s">
        <v>126</v>
      </c>
      <c r="B29" s="108" t="s">
        <v>219</v>
      </c>
      <c r="C29" s="83">
        <v>6900</v>
      </c>
      <c r="D29" s="83">
        <v>7000</v>
      </c>
      <c r="E29" s="83">
        <v>7000</v>
      </c>
      <c r="F29" s="83">
        <v>7000</v>
      </c>
      <c r="G29" s="83">
        <v>7100</v>
      </c>
      <c r="H29" s="83">
        <v>7100</v>
      </c>
      <c r="I29" s="83">
        <v>7600</v>
      </c>
      <c r="J29" s="83">
        <v>7700</v>
      </c>
      <c r="K29" s="83">
        <v>7700</v>
      </c>
      <c r="L29" s="173">
        <v>7800</v>
      </c>
      <c r="M29" s="173">
        <v>7900</v>
      </c>
      <c r="N29" s="173">
        <v>7900</v>
      </c>
      <c r="O29" s="200"/>
      <c r="P29" s="200"/>
      <c r="Q29" s="200"/>
      <c r="R29" s="174">
        <v>7800</v>
      </c>
      <c r="S29" s="174">
        <v>7900</v>
      </c>
      <c r="T29" s="174">
        <v>7900</v>
      </c>
      <c r="U29" s="173">
        <v>7600</v>
      </c>
      <c r="V29" s="173">
        <v>7700</v>
      </c>
      <c r="W29" s="173">
        <v>7700</v>
      </c>
      <c r="X29" s="184">
        <v>7600</v>
      </c>
      <c r="Y29" s="184">
        <v>7700</v>
      </c>
      <c r="Z29" s="184">
        <v>7700</v>
      </c>
      <c r="AA29" s="83">
        <v>7800</v>
      </c>
      <c r="AB29" s="83">
        <v>7900</v>
      </c>
      <c r="AC29" s="83">
        <v>7900</v>
      </c>
      <c r="AD29" s="83">
        <v>7600</v>
      </c>
      <c r="AE29" s="83">
        <v>7700</v>
      </c>
      <c r="AF29" s="83">
        <v>7700</v>
      </c>
      <c r="AG29" s="83">
        <v>7600</v>
      </c>
      <c r="AH29" s="83">
        <v>7700</v>
      </c>
      <c r="AI29" s="83">
        <v>7700</v>
      </c>
      <c r="AJ29" s="184">
        <v>7600</v>
      </c>
      <c r="AK29" s="184">
        <v>7700</v>
      </c>
      <c r="AL29" s="184">
        <v>7700</v>
      </c>
      <c r="AM29" s="175">
        <v>9600</v>
      </c>
      <c r="AN29" s="175">
        <v>9700</v>
      </c>
      <c r="AO29" s="176">
        <v>9700</v>
      </c>
      <c r="AP29" s="177">
        <v>8100</v>
      </c>
      <c r="AQ29" s="177">
        <v>8200</v>
      </c>
      <c r="AR29" s="177">
        <v>8200</v>
      </c>
      <c r="AS29" s="177">
        <v>8300</v>
      </c>
      <c r="AT29" s="177">
        <v>8400</v>
      </c>
      <c r="AU29" s="177">
        <v>8400</v>
      </c>
      <c r="AV29" s="175">
        <v>9600</v>
      </c>
      <c r="AW29" s="175">
        <v>9700</v>
      </c>
      <c r="AX29" s="176">
        <v>9700</v>
      </c>
      <c r="AY29" s="175">
        <v>9600</v>
      </c>
      <c r="AZ29" s="175">
        <v>9700</v>
      </c>
      <c r="BA29" s="176">
        <v>9700</v>
      </c>
      <c r="BB29" s="177">
        <v>9600</v>
      </c>
      <c r="BC29" s="177">
        <v>9700</v>
      </c>
      <c r="BD29" s="177">
        <v>9700</v>
      </c>
      <c r="BE29" s="177">
        <v>10600</v>
      </c>
      <c r="BF29" s="177">
        <v>10700</v>
      </c>
      <c r="BG29" s="177">
        <v>10700</v>
      </c>
      <c r="BH29" s="215">
        <v>6100</v>
      </c>
      <c r="BI29" s="215">
        <v>6200</v>
      </c>
      <c r="BJ29" s="215">
        <v>6200</v>
      </c>
      <c r="BK29" s="198">
        <v>7900</v>
      </c>
      <c r="BL29" s="198">
        <v>8000</v>
      </c>
      <c r="BM29" s="198">
        <v>8000</v>
      </c>
    </row>
    <row r="30" spans="1:65">
      <c r="A30" s="107" t="s">
        <v>127</v>
      </c>
      <c r="B30" s="108" t="s">
        <v>220</v>
      </c>
      <c r="C30" s="83">
        <v>6900</v>
      </c>
      <c r="D30" s="83">
        <v>7000</v>
      </c>
      <c r="E30" s="83">
        <v>7000</v>
      </c>
      <c r="F30" s="83">
        <v>7000</v>
      </c>
      <c r="G30" s="83">
        <v>7100</v>
      </c>
      <c r="H30" s="83">
        <v>7100</v>
      </c>
      <c r="I30" s="83">
        <v>7600</v>
      </c>
      <c r="J30" s="83">
        <v>7700</v>
      </c>
      <c r="K30" s="83">
        <v>7700</v>
      </c>
      <c r="L30" s="173">
        <v>7800</v>
      </c>
      <c r="M30" s="173">
        <v>7900</v>
      </c>
      <c r="N30" s="173">
        <v>7900</v>
      </c>
      <c r="O30" s="200"/>
      <c r="P30" s="200"/>
      <c r="Q30" s="200"/>
      <c r="R30" s="174">
        <v>7800</v>
      </c>
      <c r="S30" s="174">
        <v>7900</v>
      </c>
      <c r="T30" s="174">
        <v>7900</v>
      </c>
      <c r="U30" s="173">
        <v>7600</v>
      </c>
      <c r="V30" s="173">
        <v>7700</v>
      </c>
      <c r="W30" s="173">
        <v>7700</v>
      </c>
      <c r="X30" s="184">
        <v>7600</v>
      </c>
      <c r="Y30" s="184">
        <v>7700</v>
      </c>
      <c r="Z30" s="184">
        <v>7700</v>
      </c>
      <c r="AA30" s="83">
        <v>7800</v>
      </c>
      <c r="AB30" s="83">
        <v>7900</v>
      </c>
      <c r="AC30" s="83">
        <v>7900</v>
      </c>
      <c r="AD30" s="83">
        <v>7600</v>
      </c>
      <c r="AE30" s="83">
        <v>7700</v>
      </c>
      <c r="AF30" s="83">
        <v>7700</v>
      </c>
      <c r="AG30" s="83">
        <v>7600</v>
      </c>
      <c r="AH30" s="83">
        <v>7700</v>
      </c>
      <c r="AI30" s="83">
        <v>7700</v>
      </c>
      <c r="AJ30" s="184">
        <v>7600</v>
      </c>
      <c r="AK30" s="184">
        <v>7700</v>
      </c>
      <c r="AL30" s="184">
        <v>7700</v>
      </c>
      <c r="AM30" s="175">
        <v>9600</v>
      </c>
      <c r="AN30" s="175">
        <v>9700</v>
      </c>
      <c r="AO30" s="176">
        <v>9700</v>
      </c>
      <c r="AP30" s="177">
        <v>8100</v>
      </c>
      <c r="AQ30" s="177">
        <v>8200</v>
      </c>
      <c r="AR30" s="177">
        <v>8200</v>
      </c>
      <c r="AS30" s="177">
        <v>8300</v>
      </c>
      <c r="AT30" s="177">
        <v>8400</v>
      </c>
      <c r="AU30" s="177">
        <v>8400</v>
      </c>
      <c r="AV30" s="175">
        <v>9600</v>
      </c>
      <c r="AW30" s="175">
        <v>9700</v>
      </c>
      <c r="AX30" s="176">
        <v>9700</v>
      </c>
      <c r="AY30" s="175">
        <v>9600</v>
      </c>
      <c r="AZ30" s="175">
        <v>9700</v>
      </c>
      <c r="BA30" s="176">
        <v>9700</v>
      </c>
      <c r="BB30" s="177">
        <v>9600</v>
      </c>
      <c r="BC30" s="177">
        <v>9700</v>
      </c>
      <c r="BD30" s="177">
        <v>9700</v>
      </c>
      <c r="BE30" s="177">
        <v>10600</v>
      </c>
      <c r="BF30" s="177">
        <v>10700</v>
      </c>
      <c r="BG30" s="177">
        <v>10700</v>
      </c>
      <c r="BH30" s="215">
        <v>6100</v>
      </c>
      <c r="BI30" s="215">
        <v>6200</v>
      </c>
      <c r="BJ30" s="215">
        <v>6200</v>
      </c>
      <c r="BK30" s="198">
        <v>7900</v>
      </c>
      <c r="BL30" s="198">
        <v>8000</v>
      </c>
      <c r="BM30" s="198">
        <v>8000</v>
      </c>
    </row>
    <row r="31" spans="1:65">
      <c r="A31" s="107" t="s">
        <v>37</v>
      </c>
      <c r="B31" s="108" t="s">
        <v>38</v>
      </c>
      <c r="C31" s="83">
        <v>6850</v>
      </c>
      <c r="D31" s="83">
        <v>6900</v>
      </c>
      <c r="E31" s="83">
        <v>6900</v>
      </c>
      <c r="F31" s="83">
        <v>6950</v>
      </c>
      <c r="G31" s="83">
        <v>7000</v>
      </c>
      <c r="H31" s="83">
        <v>7000</v>
      </c>
      <c r="I31" s="83">
        <v>7550</v>
      </c>
      <c r="J31" s="83">
        <v>7600</v>
      </c>
      <c r="K31" s="83">
        <v>7600</v>
      </c>
      <c r="L31" s="173">
        <v>7750</v>
      </c>
      <c r="M31" s="173">
        <v>7800</v>
      </c>
      <c r="N31" s="173">
        <v>7800</v>
      </c>
      <c r="O31" s="200"/>
      <c r="P31" s="200"/>
      <c r="Q31" s="200"/>
      <c r="R31" s="174">
        <v>7750</v>
      </c>
      <c r="S31" s="174">
        <v>7800</v>
      </c>
      <c r="T31" s="174">
        <v>7800</v>
      </c>
      <c r="U31" s="173">
        <v>7550</v>
      </c>
      <c r="V31" s="173">
        <v>7600</v>
      </c>
      <c r="W31" s="173">
        <v>7600</v>
      </c>
      <c r="X31" s="184">
        <v>7550</v>
      </c>
      <c r="Y31" s="184">
        <v>7600</v>
      </c>
      <c r="Z31" s="184">
        <v>7600</v>
      </c>
      <c r="AA31" s="83">
        <v>7750</v>
      </c>
      <c r="AB31" s="83">
        <v>7800</v>
      </c>
      <c r="AC31" s="83">
        <v>7800</v>
      </c>
      <c r="AD31" s="83">
        <v>7550</v>
      </c>
      <c r="AE31" s="83">
        <v>7600</v>
      </c>
      <c r="AF31" s="83">
        <v>7600</v>
      </c>
      <c r="AG31" s="83">
        <v>7550</v>
      </c>
      <c r="AH31" s="83">
        <v>7600</v>
      </c>
      <c r="AI31" s="83">
        <v>7600</v>
      </c>
      <c r="AJ31" s="184">
        <v>7550</v>
      </c>
      <c r="AK31" s="184">
        <v>7600</v>
      </c>
      <c r="AL31" s="184">
        <v>7600</v>
      </c>
      <c r="AM31" s="175">
        <v>9550</v>
      </c>
      <c r="AN31" s="175">
        <v>9600</v>
      </c>
      <c r="AO31" s="176">
        <v>9600</v>
      </c>
      <c r="AP31" s="177">
        <v>8050</v>
      </c>
      <c r="AQ31" s="177">
        <v>8100</v>
      </c>
      <c r="AR31" s="177">
        <v>8100</v>
      </c>
      <c r="AS31" s="177">
        <v>8250</v>
      </c>
      <c r="AT31" s="177">
        <v>8300</v>
      </c>
      <c r="AU31" s="177">
        <v>8300</v>
      </c>
      <c r="AV31" s="175">
        <v>9550</v>
      </c>
      <c r="AW31" s="175">
        <v>9600</v>
      </c>
      <c r="AX31" s="176">
        <v>9600</v>
      </c>
      <c r="AY31" s="175">
        <v>9550</v>
      </c>
      <c r="AZ31" s="175">
        <v>9600</v>
      </c>
      <c r="BA31" s="176">
        <v>9600</v>
      </c>
      <c r="BB31" s="177">
        <v>9550</v>
      </c>
      <c r="BC31" s="177">
        <v>9600</v>
      </c>
      <c r="BD31" s="177">
        <v>9600</v>
      </c>
      <c r="BE31" s="177">
        <v>10550</v>
      </c>
      <c r="BF31" s="177">
        <v>10600</v>
      </c>
      <c r="BG31" s="177">
        <v>10600</v>
      </c>
      <c r="BH31" s="215">
        <v>6050</v>
      </c>
      <c r="BI31" s="215">
        <v>6100</v>
      </c>
      <c r="BJ31" s="215">
        <v>6100</v>
      </c>
      <c r="BK31" s="198">
        <v>7850</v>
      </c>
      <c r="BL31" s="198">
        <v>7900</v>
      </c>
      <c r="BM31" s="198">
        <v>7900</v>
      </c>
    </row>
    <row r="32" spans="1:65">
      <c r="A32" s="107" t="s">
        <v>39</v>
      </c>
      <c r="B32" s="108" t="s">
        <v>40</v>
      </c>
      <c r="C32" s="83">
        <v>6900</v>
      </c>
      <c r="D32" s="83">
        <v>7000</v>
      </c>
      <c r="E32" s="83">
        <v>7000</v>
      </c>
      <c r="F32" s="83">
        <v>7000</v>
      </c>
      <c r="G32" s="83">
        <v>7100</v>
      </c>
      <c r="H32" s="83">
        <v>7100</v>
      </c>
      <c r="I32" s="83">
        <v>7600</v>
      </c>
      <c r="J32" s="83">
        <v>7700</v>
      </c>
      <c r="K32" s="83">
        <v>7700</v>
      </c>
      <c r="L32" s="173">
        <v>7800</v>
      </c>
      <c r="M32" s="173">
        <v>7900</v>
      </c>
      <c r="N32" s="173">
        <v>7900</v>
      </c>
      <c r="O32" s="200"/>
      <c r="P32" s="200"/>
      <c r="Q32" s="200"/>
      <c r="R32" s="174">
        <v>7800</v>
      </c>
      <c r="S32" s="174">
        <v>7900</v>
      </c>
      <c r="T32" s="174">
        <v>7900</v>
      </c>
      <c r="U32" s="173">
        <v>7600</v>
      </c>
      <c r="V32" s="173">
        <v>7700</v>
      </c>
      <c r="W32" s="173">
        <v>7700</v>
      </c>
      <c r="X32" s="184">
        <v>7600</v>
      </c>
      <c r="Y32" s="184">
        <v>7700</v>
      </c>
      <c r="Z32" s="184">
        <v>7700</v>
      </c>
      <c r="AA32" s="83">
        <v>7800</v>
      </c>
      <c r="AB32" s="83">
        <v>7900</v>
      </c>
      <c r="AC32" s="83">
        <v>7900</v>
      </c>
      <c r="AD32" s="83">
        <v>7600</v>
      </c>
      <c r="AE32" s="83">
        <v>7700</v>
      </c>
      <c r="AF32" s="83">
        <v>7700</v>
      </c>
      <c r="AG32" s="83">
        <v>7600</v>
      </c>
      <c r="AH32" s="83">
        <v>7700</v>
      </c>
      <c r="AI32" s="83">
        <v>7700</v>
      </c>
      <c r="AJ32" s="184">
        <v>7600</v>
      </c>
      <c r="AK32" s="184">
        <v>7700</v>
      </c>
      <c r="AL32" s="184">
        <v>7700</v>
      </c>
      <c r="AM32" s="175">
        <v>9600</v>
      </c>
      <c r="AN32" s="175">
        <v>9700</v>
      </c>
      <c r="AO32" s="176">
        <v>9700</v>
      </c>
      <c r="AP32" s="177">
        <v>8100</v>
      </c>
      <c r="AQ32" s="177">
        <v>8200</v>
      </c>
      <c r="AR32" s="177">
        <v>8200</v>
      </c>
      <c r="AS32" s="177">
        <v>8300</v>
      </c>
      <c r="AT32" s="177">
        <v>8400</v>
      </c>
      <c r="AU32" s="177">
        <v>8400</v>
      </c>
      <c r="AV32" s="175">
        <v>9600</v>
      </c>
      <c r="AW32" s="175">
        <v>9700</v>
      </c>
      <c r="AX32" s="176">
        <v>9700</v>
      </c>
      <c r="AY32" s="175">
        <v>9600</v>
      </c>
      <c r="AZ32" s="175">
        <v>9700</v>
      </c>
      <c r="BA32" s="176">
        <v>9700</v>
      </c>
      <c r="BB32" s="177">
        <v>9600</v>
      </c>
      <c r="BC32" s="177">
        <v>9700</v>
      </c>
      <c r="BD32" s="177">
        <v>9700</v>
      </c>
      <c r="BE32" s="177">
        <v>10600</v>
      </c>
      <c r="BF32" s="177">
        <v>10700</v>
      </c>
      <c r="BG32" s="177">
        <v>10700</v>
      </c>
      <c r="BH32" s="215">
        <v>6100</v>
      </c>
      <c r="BI32" s="215">
        <v>6200</v>
      </c>
      <c r="BJ32" s="215">
        <v>6200</v>
      </c>
      <c r="BK32" s="198">
        <v>7900</v>
      </c>
      <c r="BL32" s="198">
        <v>8000</v>
      </c>
      <c r="BM32" s="198">
        <v>8000</v>
      </c>
    </row>
    <row r="33" spans="1:65">
      <c r="A33" s="107" t="s">
        <v>41</v>
      </c>
      <c r="B33" s="108" t="s">
        <v>42</v>
      </c>
      <c r="C33" s="83">
        <v>6900</v>
      </c>
      <c r="D33" s="83">
        <v>7000</v>
      </c>
      <c r="E33" s="83">
        <v>7000</v>
      </c>
      <c r="F33" s="83">
        <v>7000</v>
      </c>
      <c r="G33" s="83">
        <v>7100</v>
      </c>
      <c r="H33" s="83">
        <v>7100</v>
      </c>
      <c r="I33" s="83">
        <v>7600</v>
      </c>
      <c r="J33" s="83">
        <v>7700</v>
      </c>
      <c r="K33" s="83">
        <v>7700</v>
      </c>
      <c r="L33" s="173">
        <v>7800</v>
      </c>
      <c r="M33" s="173">
        <v>7900</v>
      </c>
      <c r="N33" s="173">
        <v>7900</v>
      </c>
      <c r="O33" s="200"/>
      <c r="P33" s="200"/>
      <c r="Q33" s="200"/>
      <c r="R33" s="174">
        <v>7800</v>
      </c>
      <c r="S33" s="174">
        <v>7900</v>
      </c>
      <c r="T33" s="174">
        <v>7900</v>
      </c>
      <c r="U33" s="173">
        <v>7600</v>
      </c>
      <c r="V33" s="173">
        <v>7700</v>
      </c>
      <c r="W33" s="173">
        <v>7700</v>
      </c>
      <c r="X33" s="184">
        <v>7600</v>
      </c>
      <c r="Y33" s="184">
        <v>7700</v>
      </c>
      <c r="Z33" s="184">
        <v>7700</v>
      </c>
      <c r="AA33" s="83">
        <v>7800</v>
      </c>
      <c r="AB33" s="83">
        <v>7900</v>
      </c>
      <c r="AC33" s="83">
        <v>7900</v>
      </c>
      <c r="AD33" s="83">
        <v>7600</v>
      </c>
      <c r="AE33" s="83">
        <v>7700</v>
      </c>
      <c r="AF33" s="83">
        <v>7700</v>
      </c>
      <c r="AG33" s="83">
        <v>7600</v>
      </c>
      <c r="AH33" s="83">
        <v>7700</v>
      </c>
      <c r="AI33" s="83">
        <v>7700</v>
      </c>
      <c r="AJ33" s="184">
        <v>7600</v>
      </c>
      <c r="AK33" s="184">
        <v>7700</v>
      </c>
      <c r="AL33" s="184">
        <v>7700</v>
      </c>
      <c r="AM33" s="175">
        <v>9600</v>
      </c>
      <c r="AN33" s="175">
        <v>9700</v>
      </c>
      <c r="AO33" s="176">
        <v>9700</v>
      </c>
      <c r="AP33" s="177">
        <v>8100</v>
      </c>
      <c r="AQ33" s="177">
        <v>8200</v>
      </c>
      <c r="AR33" s="177">
        <v>8200</v>
      </c>
      <c r="AS33" s="177">
        <v>8300</v>
      </c>
      <c r="AT33" s="177">
        <v>8400</v>
      </c>
      <c r="AU33" s="177">
        <v>8400</v>
      </c>
      <c r="AV33" s="175">
        <v>9600</v>
      </c>
      <c r="AW33" s="175">
        <v>9700</v>
      </c>
      <c r="AX33" s="176">
        <v>9700</v>
      </c>
      <c r="AY33" s="175">
        <v>9600</v>
      </c>
      <c r="AZ33" s="175">
        <v>9700</v>
      </c>
      <c r="BA33" s="176">
        <v>9700</v>
      </c>
      <c r="BB33" s="177">
        <v>9600</v>
      </c>
      <c r="BC33" s="177">
        <v>9700</v>
      </c>
      <c r="BD33" s="177">
        <v>9700</v>
      </c>
      <c r="BE33" s="177">
        <v>10600</v>
      </c>
      <c r="BF33" s="177">
        <v>10700</v>
      </c>
      <c r="BG33" s="177">
        <v>10700</v>
      </c>
      <c r="BH33" s="215">
        <v>6100</v>
      </c>
      <c r="BI33" s="215">
        <v>6200</v>
      </c>
      <c r="BJ33" s="215">
        <v>6200</v>
      </c>
      <c r="BK33" s="198">
        <v>7900</v>
      </c>
      <c r="BL33" s="198">
        <v>8000</v>
      </c>
      <c r="BM33" s="198">
        <v>8000</v>
      </c>
    </row>
    <row r="34" spans="1:65">
      <c r="A34" s="107" t="s">
        <v>43</v>
      </c>
      <c r="B34" s="108" t="s">
        <v>44</v>
      </c>
      <c r="C34" s="83">
        <v>6900</v>
      </c>
      <c r="D34" s="83">
        <v>7000</v>
      </c>
      <c r="E34" s="83">
        <v>7000</v>
      </c>
      <c r="F34" s="83">
        <v>7000</v>
      </c>
      <c r="G34" s="83">
        <v>7100</v>
      </c>
      <c r="H34" s="83">
        <v>7100</v>
      </c>
      <c r="I34" s="83">
        <v>7600</v>
      </c>
      <c r="J34" s="83">
        <v>7700</v>
      </c>
      <c r="K34" s="83">
        <v>7700</v>
      </c>
      <c r="L34" s="173">
        <v>7800</v>
      </c>
      <c r="M34" s="173">
        <v>7900</v>
      </c>
      <c r="N34" s="173">
        <v>7900</v>
      </c>
      <c r="O34" s="200"/>
      <c r="P34" s="200"/>
      <c r="Q34" s="200"/>
      <c r="R34" s="174">
        <v>7800</v>
      </c>
      <c r="S34" s="174">
        <v>7900</v>
      </c>
      <c r="T34" s="174">
        <v>7900</v>
      </c>
      <c r="U34" s="173">
        <v>7600</v>
      </c>
      <c r="V34" s="173">
        <v>7700</v>
      </c>
      <c r="W34" s="173">
        <v>7700</v>
      </c>
      <c r="X34" s="184">
        <v>7600</v>
      </c>
      <c r="Y34" s="184">
        <v>7700</v>
      </c>
      <c r="Z34" s="184">
        <v>7700</v>
      </c>
      <c r="AA34" s="83">
        <v>7800</v>
      </c>
      <c r="AB34" s="83">
        <v>7900</v>
      </c>
      <c r="AC34" s="83">
        <v>7900</v>
      </c>
      <c r="AD34" s="83">
        <v>7600</v>
      </c>
      <c r="AE34" s="83">
        <v>7700</v>
      </c>
      <c r="AF34" s="83">
        <v>7700</v>
      </c>
      <c r="AG34" s="83">
        <v>7600</v>
      </c>
      <c r="AH34" s="83">
        <v>7700</v>
      </c>
      <c r="AI34" s="83">
        <v>7700</v>
      </c>
      <c r="AJ34" s="184">
        <v>7600</v>
      </c>
      <c r="AK34" s="184">
        <v>7700</v>
      </c>
      <c r="AL34" s="184">
        <v>7700</v>
      </c>
      <c r="AM34" s="175">
        <v>9600</v>
      </c>
      <c r="AN34" s="175">
        <v>9700</v>
      </c>
      <c r="AO34" s="176">
        <v>9700</v>
      </c>
      <c r="AP34" s="177">
        <v>8100</v>
      </c>
      <c r="AQ34" s="177">
        <v>8200</v>
      </c>
      <c r="AR34" s="177">
        <v>8200</v>
      </c>
      <c r="AS34" s="177">
        <v>8300</v>
      </c>
      <c r="AT34" s="177">
        <v>8400</v>
      </c>
      <c r="AU34" s="177">
        <v>8400</v>
      </c>
      <c r="AV34" s="175">
        <v>9600</v>
      </c>
      <c r="AW34" s="175">
        <v>9700</v>
      </c>
      <c r="AX34" s="176">
        <v>9700</v>
      </c>
      <c r="AY34" s="175">
        <v>9600</v>
      </c>
      <c r="AZ34" s="175">
        <v>9700</v>
      </c>
      <c r="BA34" s="176">
        <v>9700</v>
      </c>
      <c r="BB34" s="177">
        <v>9600</v>
      </c>
      <c r="BC34" s="177">
        <v>9700</v>
      </c>
      <c r="BD34" s="177">
        <v>9700</v>
      </c>
      <c r="BE34" s="177">
        <v>10600</v>
      </c>
      <c r="BF34" s="177">
        <v>10700</v>
      </c>
      <c r="BG34" s="177">
        <v>10700</v>
      </c>
      <c r="BH34" s="215">
        <v>6100</v>
      </c>
      <c r="BI34" s="215">
        <v>6200</v>
      </c>
      <c r="BJ34" s="215">
        <v>6200</v>
      </c>
      <c r="BK34" s="198">
        <v>7900</v>
      </c>
      <c r="BL34" s="198">
        <v>8000</v>
      </c>
      <c r="BM34" s="198">
        <v>8000</v>
      </c>
    </row>
    <row r="35" spans="1:65">
      <c r="A35" s="107" t="s">
        <v>45</v>
      </c>
      <c r="B35" s="108" t="s">
        <v>46</v>
      </c>
      <c r="C35" s="83">
        <v>7000</v>
      </c>
      <c r="D35" s="83">
        <v>7100</v>
      </c>
      <c r="E35" s="83">
        <v>7100</v>
      </c>
      <c r="F35" s="83">
        <v>7100</v>
      </c>
      <c r="G35" s="83">
        <v>7200</v>
      </c>
      <c r="H35" s="83">
        <v>7200</v>
      </c>
      <c r="I35" s="83">
        <v>7700</v>
      </c>
      <c r="J35" s="83">
        <v>7800</v>
      </c>
      <c r="K35" s="83">
        <v>7800</v>
      </c>
      <c r="L35" s="173">
        <v>7900</v>
      </c>
      <c r="M35" s="173">
        <v>8000</v>
      </c>
      <c r="N35" s="173">
        <v>8000</v>
      </c>
      <c r="O35" s="200"/>
      <c r="P35" s="200"/>
      <c r="Q35" s="200"/>
      <c r="R35" s="174">
        <v>7900</v>
      </c>
      <c r="S35" s="174">
        <v>8000</v>
      </c>
      <c r="T35" s="174">
        <v>8000</v>
      </c>
      <c r="U35" s="173">
        <v>7700</v>
      </c>
      <c r="V35" s="173">
        <v>7800</v>
      </c>
      <c r="W35" s="173">
        <v>7800</v>
      </c>
      <c r="X35" s="184">
        <v>7700</v>
      </c>
      <c r="Y35" s="184">
        <v>7800</v>
      </c>
      <c r="Z35" s="184">
        <v>7800</v>
      </c>
      <c r="AA35" s="83">
        <v>7900</v>
      </c>
      <c r="AB35" s="83">
        <v>8000</v>
      </c>
      <c r="AC35" s="83">
        <v>8000</v>
      </c>
      <c r="AD35" s="83">
        <v>7700</v>
      </c>
      <c r="AE35" s="83">
        <v>7800</v>
      </c>
      <c r="AF35" s="83">
        <v>7800</v>
      </c>
      <c r="AG35" s="83">
        <v>7700</v>
      </c>
      <c r="AH35" s="83">
        <v>7800</v>
      </c>
      <c r="AI35" s="83">
        <v>7800</v>
      </c>
      <c r="AJ35" s="184">
        <v>7700</v>
      </c>
      <c r="AK35" s="184">
        <v>7800</v>
      </c>
      <c r="AL35" s="184">
        <v>7800</v>
      </c>
      <c r="AM35" s="175">
        <v>9700</v>
      </c>
      <c r="AN35" s="175">
        <v>9800</v>
      </c>
      <c r="AO35" s="176">
        <v>9800</v>
      </c>
      <c r="AP35" s="177">
        <v>8200</v>
      </c>
      <c r="AQ35" s="177">
        <v>8300</v>
      </c>
      <c r="AR35" s="177">
        <v>8300</v>
      </c>
      <c r="AS35" s="177">
        <v>8400</v>
      </c>
      <c r="AT35" s="177">
        <v>8500</v>
      </c>
      <c r="AU35" s="177">
        <v>8500</v>
      </c>
      <c r="AV35" s="175">
        <v>9700</v>
      </c>
      <c r="AW35" s="175">
        <v>9800</v>
      </c>
      <c r="AX35" s="176">
        <v>9800</v>
      </c>
      <c r="AY35" s="175">
        <v>9700</v>
      </c>
      <c r="AZ35" s="175">
        <v>9800</v>
      </c>
      <c r="BA35" s="176">
        <v>9800</v>
      </c>
      <c r="BB35" s="177">
        <v>9700</v>
      </c>
      <c r="BC35" s="177">
        <v>9800</v>
      </c>
      <c r="BD35" s="177">
        <v>9800</v>
      </c>
      <c r="BE35" s="177">
        <v>10700</v>
      </c>
      <c r="BF35" s="177">
        <v>10800</v>
      </c>
      <c r="BG35" s="177">
        <v>10800</v>
      </c>
      <c r="BH35" s="215">
        <v>6200</v>
      </c>
      <c r="BI35" s="215">
        <v>6300</v>
      </c>
      <c r="BJ35" s="215">
        <v>6300</v>
      </c>
      <c r="BK35" s="198">
        <v>8000</v>
      </c>
      <c r="BL35" s="198">
        <v>8100</v>
      </c>
      <c r="BM35" s="198">
        <v>8100</v>
      </c>
    </row>
    <row r="36" spans="1:65">
      <c r="A36" s="107" t="s">
        <v>47</v>
      </c>
      <c r="B36" s="108" t="s">
        <v>48</v>
      </c>
      <c r="C36" s="83">
        <v>7080</v>
      </c>
      <c r="D36" s="83">
        <v>7360</v>
      </c>
      <c r="E36" s="83">
        <v>7360</v>
      </c>
      <c r="F36" s="83">
        <v>7180</v>
      </c>
      <c r="G36" s="83">
        <v>7460</v>
      </c>
      <c r="H36" s="83">
        <v>7460</v>
      </c>
      <c r="I36" s="83">
        <v>7780</v>
      </c>
      <c r="J36" s="83">
        <v>8060</v>
      </c>
      <c r="K36" s="83">
        <v>8060</v>
      </c>
      <c r="L36" s="173">
        <v>7980</v>
      </c>
      <c r="M36" s="173">
        <v>8260</v>
      </c>
      <c r="N36" s="173">
        <v>8260</v>
      </c>
      <c r="O36" s="200"/>
      <c r="P36" s="200"/>
      <c r="Q36" s="200"/>
      <c r="R36" s="174">
        <v>7980</v>
      </c>
      <c r="S36" s="174">
        <v>8260</v>
      </c>
      <c r="T36" s="174">
        <v>8260</v>
      </c>
      <c r="U36" s="173">
        <v>7780</v>
      </c>
      <c r="V36" s="173">
        <v>8060</v>
      </c>
      <c r="W36" s="173">
        <v>8060</v>
      </c>
      <c r="X36" s="184">
        <v>7780</v>
      </c>
      <c r="Y36" s="184">
        <v>8060</v>
      </c>
      <c r="Z36" s="184">
        <v>8060</v>
      </c>
      <c r="AA36" s="83">
        <v>7980</v>
      </c>
      <c r="AB36" s="83">
        <v>8260</v>
      </c>
      <c r="AC36" s="83">
        <v>8260</v>
      </c>
      <c r="AD36" s="83">
        <v>7780</v>
      </c>
      <c r="AE36" s="83">
        <v>8060</v>
      </c>
      <c r="AF36" s="83">
        <v>8060</v>
      </c>
      <c r="AG36" s="83">
        <v>7780</v>
      </c>
      <c r="AH36" s="83">
        <v>8060</v>
      </c>
      <c r="AI36" s="83">
        <v>8060</v>
      </c>
      <c r="AJ36" s="184">
        <v>7780</v>
      </c>
      <c r="AK36" s="184">
        <v>8060</v>
      </c>
      <c r="AL36" s="184">
        <v>8060</v>
      </c>
      <c r="AM36" s="175">
        <v>9780</v>
      </c>
      <c r="AN36" s="175">
        <v>10060</v>
      </c>
      <c r="AO36" s="176">
        <v>10060</v>
      </c>
      <c r="AP36" s="177">
        <v>8280</v>
      </c>
      <c r="AQ36" s="177">
        <v>8560</v>
      </c>
      <c r="AR36" s="177">
        <v>8560</v>
      </c>
      <c r="AS36" s="177">
        <v>8480</v>
      </c>
      <c r="AT36" s="177">
        <v>8760</v>
      </c>
      <c r="AU36" s="177">
        <v>8760</v>
      </c>
      <c r="AV36" s="175">
        <v>9780</v>
      </c>
      <c r="AW36" s="175">
        <v>10060</v>
      </c>
      <c r="AX36" s="176">
        <v>10060</v>
      </c>
      <c r="AY36" s="175">
        <v>9780</v>
      </c>
      <c r="AZ36" s="175">
        <v>10060</v>
      </c>
      <c r="BA36" s="176">
        <v>10060</v>
      </c>
      <c r="BB36" s="177">
        <v>9780</v>
      </c>
      <c r="BC36" s="177">
        <v>10060</v>
      </c>
      <c r="BD36" s="177">
        <v>10060</v>
      </c>
      <c r="BE36" s="177">
        <v>10780</v>
      </c>
      <c r="BF36" s="177">
        <v>11060</v>
      </c>
      <c r="BG36" s="177">
        <v>11060</v>
      </c>
      <c r="BH36" s="215">
        <v>6280</v>
      </c>
      <c r="BI36" s="215">
        <v>6560</v>
      </c>
      <c r="BJ36" s="215">
        <v>6560</v>
      </c>
      <c r="BK36" s="198">
        <v>8080</v>
      </c>
      <c r="BL36" s="198">
        <v>8360</v>
      </c>
      <c r="BM36" s="198">
        <v>8360</v>
      </c>
    </row>
    <row r="37" spans="1:65">
      <c r="A37" s="107" t="s">
        <v>333</v>
      </c>
      <c r="B37" s="108" t="s">
        <v>334</v>
      </c>
      <c r="C37" s="83">
        <v>6900</v>
      </c>
      <c r="D37" s="83">
        <v>7000</v>
      </c>
      <c r="E37" s="83">
        <v>7000</v>
      </c>
      <c r="F37" s="83">
        <v>7000</v>
      </c>
      <c r="G37" s="83">
        <v>7100</v>
      </c>
      <c r="H37" s="83">
        <v>7100</v>
      </c>
      <c r="I37" s="83">
        <v>7600</v>
      </c>
      <c r="J37" s="83">
        <v>7700</v>
      </c>
      <c r="K37" s="83">
        <v>7700</v>
      </c>
      <c r="L37" s="173">
        <v>7800</v>
      </c>
      <c r="M37" s="173">
        <v>7900</v>
      </c>
      <c r="N37" s="173">
        <v>7900</v>
      </c>
      <c r="O37" s="200"/>
      <c r="P37" s="200"/>
      <c r="Q37" s="200"/>
      <c r="R37" s="174">
        <v>7800</v>
      </c>
      <c r="S37" s="174">
        <v>7900</v>
      </c>
      <c r="T37" s="174">
        <v>7900</v>
      </c>
      <c r="U37" s="173">
        <v>7600</v>
      </c>
      <c r="V37" s="173">
        <v>7700</v>
      </c>
      <c r="W37" s="173">
        <v>7700</v>
      </c>
      <c r="X37" s="184">
        <v>7600</v>
      </c>
      <c r="Y37" s="184">
        <v>7700</v>
      </c>
      <c r="Z37" s="184">
        <v>7700</v>
      </c>
      <c r="AA37" s="83">
        <v>7800</v>
      </c>
      <c r="AB37" s="83">
        <v>7900</v>
      </c>
      <c r="AC37" s="83">
        <v>7900</v>
      </c>
      <c r="AD37" s="83">
        <v>7600</v>
      </c>
      <c r="AE37" s="83">
        <v>7700</v>
      </c>
      <c r="AF37" s="83">
        <v>7700</v>
      </c>
      <c r="AG37" s="83">
        <v>7600</v>
      </c>
      <c r="AH37" s="83">
        <v>7700</v>
      </c>
      <c r="AI37" s="83">
        <v>7700</v>
      </c>
      <c r="AJ37" s="184">
        <v>7600</v>
      </c>
      <c r="AK37" s="184">
        <v>7700</v>
      </c>
      <c r="AL37" s="184">
        <v>7700</v>
      </c>
      <c r="AM37" s="175">
        <v>9600</v>
      </c>
      <c r="AN37" s="175">
        <v>9700</v>
      </c>
      <c r="AO37" s="176">
        <v>9700</v>
      </c>
      <c r="AP37" s="177">
        <v>8100</v>
      </c>
      <c r="AQ37" s="177">
        <v>8200</v>
      </c>
      <c r="AR37" s="177">
        <v>8200</v>
      </c>
      <c r="AS37" s="177">
        <v>8300</v>
      </c>
      <c r="AT37" s="177">
        <v>8400</v>
      </c>
      <c r="AU37" s="177">
        <v>8400</v>
      </c>
      <c r="AV37" s="175">
        <v>9600</v>
      </c>
      <c r="AW37" s="175">
        <v>9700</v>
      </c>
      <c r="AX37" s="176">
        <v>9700</v>
      </c>
      <c r="AY37" s="175">
        <v>9600</v>
      </c>
      <c r="AZ37" s="175">
        <v>9700</v>
      </c>
      <c r="BA37" s="176">
        <v>9700</v>
      </c>
      <c r="BB37" s="177">
        <v>9600</v>
      </c>
      <c r="BC37" s="177">
        <v>9700</v>
      </c>
      <c r="BD37" s="177">
        <v>9700</v>
      </c>
      <c r="BE37" s="177">
        <v>10600</v>
      </c>
      <c r="BF37" s="177">
        <v>10700</v>
      </c>
      <c r="BG37" s="177">
        <v>10700</v>
      </c>
      <c r="BH37" s="215">
        <v>6100</v>
      </c>
      <c r="BI37" s="215">
        <v>6200</v>
      </c>
      <c r="BJ37" s="215">
        <v>6200</v>
      </c>
      <c r="BK37" s="198">
        <v>7900</v>
      </c>
      <c r="BL37" s="198">
        <v>8000</v>
      </c>
      <c r="BM37" s="198">
        <v>8000</v>
      </c>
    </row>
    <row r="38" spans="1:65">
      <c r="A38" s="107" t="s">
        <v>49</v>
      </c>
      <c r="B38" s="108" t="s">
        <v>50</v>
      </c>
      <c r="C38" s="83">
        <v>6850</v>
      </c>
      <c r="D38" s="83">
        <v>6900</v>
      </c>
      <c r="E38" s="83">
        <v>6900</v>
      </c>
      <c r="F38" s="83">
        <v>6950</v>
      </c>
      <c r="G38" s="83">
        <v>7000</v>
      </c>
      <c r="H38" s="83">
        <v>7000</v>
      </c>
      <c r="I38" s="83">
        <v>7550</v>
      </c>
      <c r="J38" s="83">
        <v>7600</v>
      </c>
      <c r="K38" s="83">
        <v>7600</v>
      </c>
      <c r="L38" s="173">
        <v>7750</v>
      </c>
      <c r="M38" s="173">
        <v>7800</v>
      </c>
      <c r="N38" s="173">
        <v>7800</v>
      </c>
      <c r="O38" s="200"/>
      <c r="P38" s="200"/>
      <c r="Q38" s="200"/>
      <c r="R38" s="174">
        <v>7750</v>
      </c>
      <c r="S38" s="174">
        <v>7800</v>
      </c>
      <c r="T38" s="174">
        <v>7800</v>
      </c>
      <c r="U38" s="173">
        <v>7550</v>
      </c>
      <c r="V38" s="173">
        <v>7600</v>
      </c>
      <c r="W38" s="173">
        <v>7600</v>
      </c>
      <c r="X38" s="184">
        <v>7550</v>
      </c>
      <c r="Y38" s="184">
        <v>7600</v>
      </c>
      <c r="Z38" s="184">
        <v>7600</v>
      </c>
      <c r="AA38" s="83">
        <v>7750</v>
      </c>
      <c r="AB38" s="83">
        <v>7800</v>
      </c>
      <c r="AC38" s="83">
        <v>7800</v>
      </c>
      <c r="AD38" s="83">
        <v>7550</v>
      </c>
      <c r="AE38" s="83">
        <v>7600</v>
      </c>
      <c r="AF38" s="83">
        <v>7600</v>
      </c>
      <c r="AG38" s="83">
        <v>7550</v>
      </c>
      <c r="AH38" s="83">
        <v>7600</v>
      </c>
      <c r="AI38" s="83">
        <v>7600</v>
      </c>
      <c r="AJ38" s="184">
        <v>7550</v>
      </c>
      <c r="AK38" s="184">
        <v>7600</v>
      </c>
      <c r="AL38" s="184">
        <v>7600</v>
      </c>
      <c r="AM38" s="175">
        <v>9550</v>
      </c>
      <c r="AN38" s="175">
        <v>9600</v>
      </c>
      <c r="AO38" s="176">
        <v>9600</v>
      </c>
      <c r="AP38" s="177">
        <v>8050</v>
      </c>
      <c r="AQ38" s="177">
        <v>8100</v>
      </c>
      <c r="AR38" s="177">
        <v>8100</v>
      </c>
      <c r="AS38" s="177">
        <v>8250</v>
      </c>
      <c r="AT38" s="177">
        <v>8300</v>
      </c>
      <c r="AU38" s="177">
        <v>8300</v>
      </c>
      <c r="AV38" s="175">
        <v>9550</v>
      </c>
      <c r="AW38" s="175">
        <v>9600</v>
      </c>
      <c r="AX38" s="176">
        <v>9600</v>
      </c>
      <c r="AY38" s="175">
        <v>9550</v>
      </c>
      <c r="AZ38" s="175">
        <v>9600</v>
      </c>
      <c r="BA38" s="176">
        <v>9600</v>
      </c>
      <c r="BB38" s="177">
        <v>9550</v>
      </c>
      <c r="BC38" s="177">
        <v>9600</v>
      </c>
      <c r="BD38" s="177">
        <v>9600</v>
      </c>
      <c r="BE38" s="177">
        <v>10550</v>
      </c>
      <c r="BF38" s="177">
        <v>10600</v>
      </c>
      <c r="BG38" s="177">
        <v>10600</v>
      </c>
      <c r="BH38" s="215">
        <v>6050</v>
      </c>
      <c r="BI38" s="215">
        <v>6100</v>
      </c>
      <c r="BJ38" s="215">
        <v>6100</v>
      </c>
      <c r="BK38" s="198">
        <v>7850</v>
      </c>
      <c r="BL38" s="198">
        <v>7900</v>
      </c>
      <c r="BM38" s="198">
        <v>7900</v>
      </c>
    </row>
    <row r="39" spans="1:65">
      <c r="A39" s="107" t="s">
        <v>51</v>
      </c>
      <c r="B39" s="108" t="s">
        <v>52</v>
      </c>
      <c r="C39" s="83">
        <v>6850</v>
      </c>
      <c r="D39" s="83">
        <v>6900</v>
      </c>
      <c r="E39" s="83">
        <v>6900</v>
      </c>
      <c r="F39" s="83">
        <v>6950</v>
      </c>
      <c r="G39" s="83">
        <v>7000</v>
      </c>
      <c r="H39" s="83">
        <v>7000</v>
      </c>
      <c r="I39" s="83">
        <v>7550</v>
      </c>
      <c r="J39" s="83">
        <v>7600</v>
      </c>
      <c r="K39" s="83">
        <v>7600</v>
      </c>
      <c r="L39" s="173">
        <v>7750</v>
      </c>
      <c r="M39" s="173">
        <v>7800</v>
      </c>
      <c r="N39" s="173">
        <v>7800</v>
      </c>
      <c r="O39" s="200"/>
      <c r="P39" s="200"/>
      <c r="Q39" s="200"/>
      <c r="R39" s="174">
        <v>7750</v>
      </c>
      <c r="S39" s="174">
        <v>7800</v>
      </c>
      <c r="T39" s="174">
        <v>7800</v>
      </c>
      <c r="U39" s="173">
        <v>7550</v>
      </c>
      <c r="V39" s="173">
        <v>7600</v>
      </c>
      <c r="W39" s="173">
        <v>7600</v>
      </c>
      <c r="X39" s="184">
        <v>7550</v>
      </c>
      <c r="Y39" s="184">
        <v>7600</v>
      </c>
      <c r="Z39" s="184">
        <v>7600</v>
      </c>
      <c r="AA39" s="83">
        <v>7750</v>
      </c>
      <c r="AB39" s="83">
        <v>7800</v>
      </c>
      <c r="AC39" s="83">
        <v>7800</v>
      </c>
      <c r="AD39" s="83">
        <v>7550</v>
      </c>
      <c r="AE39" s="83">
        <v>7600</v>
      </c>
      <c r="AF39" s="83">
        <v>7600</v>
      </c>
      <c r="AG39" s="83">
        <v>7550</v>
      </c>
      <c r="AH39" s="83">
        <v>7600</v>
      </c>
      <c r="AI39" s="83">
        <v>7600</v>
      </c>
      <c r="AJ39" s="184">
        <v>7550</v>
      </c>
      <c r="AK39" s="184">
        <v>7600</v>
      </c>
      <c r="AL39" s="184">
        <v>7600</v>
      </c>
      <c r="AM39" s="175">
        <v>9550</v>
      </c>
      <c r="AN39" s="175">
        <v>9600</v>
      </c>
      <c r="AO39" s="176">
        <v>9600</v>
      </c>
      <c r="AP39" s="177">
        <v>8050</v>
      </c>
      <c r="AQ39" s="177">
        <v>8100</v>
      </c>
      <c r="AR39" s="177">
        <v>8100</v>
      </c>
      <c r="AS39" s="177">
        <v>8250</v>
      </c>
      <c r="AT39" s="177">
        <v>8300</v>
      </c>
      <c r="AU39" s="177">
        <v>8300</v>
      </c>
      <c r="AV39" s="175">
        <v>9550</v>
      </c>
      <c r="AW39" s="175">
        <v>9600</v>
      </c>
      <c r="AX39" s="176">
        <v>9600</v>
      </c>
      <c r="AY39" s="175">
        <v>9550</v>
      </c>
      <c r="AZ39" s="175">
        <v>9600</v>
      </c>
      <c r="BA39" s="176">
        <v>9600</v>
      </c>
      <c r="BB39" s="177">
        <v>9550</v>
      </c>
      <c r="BC39" s="177">
        <v>9600</v>
      </c>
      <c r="BD39" s="177">
        <v>9600</v>
      </c>
      <c r="BE39" s="177">
        <v>10550</v>
      </c>
      <c r="BF39" s="177">
        <v>10600</v>
      </c>
      <c r="BG39" s="177">
        <v>10600</v>
      </c>
      <c r="BH39" s="215">
        <v>6050</v>
      </c>
      <c r="BI39" s="215">
        <v>6100</v>
      </c>
      <c r="BJ39" s="215">
        <v>6100</v>
      </c>
      <c r="BK39" s="198">
        <v>7850</v>
      </c>
      <c r="BL39" s="198">
        <v>7900</v>
      </c>
      <c r="BM39" s="198">
        <v>7900</v>
      </c>
    </row>
    <row r="40" spans="1:65">
      <c r="A40" s="107" t="s">
        <v>53</v>
      </c>
      <c r="B40" s="108" t="s">
        <v>54</v>
      </c>
      <c r="C40" s="83">
        <v>6900</v>
      </c>
      <c r="D40" s="83">
        <v>7000</v>
      </c>
      <c r="E40" s="83">
        <v>7000</v>
      </c>
      <c r="F40" s="83">
        <v>7000</v>
      </c>
      <c r="G40" s="83">
        <v>7100</v>
      </c>
      <c r="H40" s="83">
        <v>7100</v>
      </c>
      <c r="I40" s="83">
        <v>7600</v>
      </c>
      <c r="J40" s="83">
        <v>7700</v>
      </c>
      <c r="K40" s="83">
        <v>7700</v>
      </c>
      <c r="L40" s="173">
        <v>7800</v>
      </c>
      <c r="M40" s="173">
        <v>7900</v>
      </c>
      <c r="N40" s="173">
        <v>7900</v>
      </c>
      <c r="O40" s="200"/>
      <c r="P40" s="200"/>
      <c r="Q40" s="200"/>
      <c r="R40" s="174">
        <v>7800</v>
      </c>
      <c r="S40" s="174">
        <v>7900</v>
      </c>
      <c r="T40" s="174">
        <v>7900</v>
      </c>
      <c r="U40" s="173">
        <v>7600</v>
      </c>
      <c r="V40" s="173">
        <v>7700</v>
      </c>
      <c r="W40" s="173">
        <v>7700</v>
      </c>
      <c r="X40" s="184">
        <v>7600</v>
      </c>
      <c r="Y40" s="184">
        <v>7700</v>
      </c>
      <c r="Z40" s="184">
        <v>7700</v>
      </c>
      <c r="AA40" s="83">
        <v>7800</v>
      </c>
      <c r="AB40" s="83">
        <v>7900</v>
      </c>
      <c r="AC40" s="83">
        <v>7900</v>
      </c>
      <c r="AD40" s="83">
        <v>7600</v>
      </c>
      <c r="AE40" s="83">
        <v>7700</v>
      </c>
      <c r="AF40" s="83">
        <v>7700</v>
      </c>
      <c r="AG40" s="83">
        <v>7600</v>
      </c>
      <c r="AH40" s="83">
        <v>7700</v>
      </c>
      <c r="AI40" s="83">
        <v>7700</v>
      </c>
      <c r="AJ40" s="184">
        <v>7600</v>
      </c>
      <c r="AK40" s="184">
        <v>7700</v>
      </c>
      <c r="AL40" s="184">
        <v>7700</v>
      </c>
      <c r="AM40" s="175">
        <v>9600</v>
      </c>
      <c r="AN40" s="175">
        <v>9700</v>
      </c>
      <c r="AO40" s="176">
        <v>9700</v>
      </c>
      <c r="AP40" s="177">
        <v>8100</v>
      </c>
      <c r="AQ40" s="177">
        <v>8200</v>
      </c>
      <c r="AR40" s="177">
        <v>8200</v>
      </c>
      <c r="AS40" s="177">
        <v>8300</v>
      </c>
      <c r="AT40" s="177">
        <v>8400</v>
      </c>
      <c r="AU40" s="177">
        <v>8400</v>
      </c>
      <c r="AV40" s="175">
        <v>9600</v>
      </c>
      <c r="AW40" s="175">
        <v>9700</v>
      </c>
      <c r="AX40" s="176">
        <v>9700</v>
      </c>
      <c r="AY40" s="175">
        <v>9600</v>
      </c>
      <c r="AZ40" s="175">
        <v>9700</v>
      </c>
      <c r="BA40" s="176">
        <v>9700</v>
      </c>
      <c r="BB40" s="177">
        <v>9600</v>
      </c>
      <c r="BC40" s="177">
        <v>9700</v>
      </c>
      <c r="BD40" s="177">
        <v>9700</v>
      </c>
      <c r="BE40" s="177">
        <v>10600</v>
      </c>
      <c r="BF40" s="177">
        <v>10700</v>
      </c>
      <c r="BG40" s="177">
        <v>10700</v>
      </c>
      <c r="BH40" s="215">
        <v>6100</v>
      </c>
      <c r="BI40" s="215">
        <v>6200</v>
      </c>
      <c r="BJ40" s="215">
        <v>6200</v>
      </c>
      <c r="BK40" s="198">
        <v>7900</v>
      </c>
      <c r="BL40" s="198">
        <v>8000</v>
      </c>
      <c r="BM40" s="198">
        <v>8000</v>
      </c>
    </row>
    <row r="41" spans="1:65">
      <c r="A41" s="107" t="s">
        <v>55</v>
      </c>
      <c r="B41" s="108" t="s">
        <v>56</v>
      </c>
      <c r="C41" s="83">
        <v>6950</v>
      </c>
      <c r="D41" s="83">
        <v>7100</v>
      </c>
      <c r="E41" s="83">
        <v>7100</v>
      </c>
      <c r="F41" s="83">
        <v>7050</v>
      </c>
      <c r="G41" s="83">
        <v>7200</v>
      </c>
      <c r="H41" s="83">
        <v>7200</v>
      </c>
      <c r="I41" s="83">
        <v>7650</v>
      </c>
      <c r="J41" s="83">
        <v>7800</v>
      </c>
      <c r="K41" s="83">
        <v>7800</v>
      </c>
      <c r="L41" s="173">
        <v>7850</v>
      </c>
      <c r="M41" s="173">
        <v>8000</v>
      </c>
      <c r="N41" s="173">
        <v>8000</v>
      </c>
      <c r="O41" s="200"/>
      <c r="P41" s="200"/>
      <c r="Q41" s="200"/>
      <c r="R41" s="174">
        <v>7850</v>
      </c>
      <c r="S41" s="174">
        <v>8000</v>
      </c>
      <c r="T41" s="174">
        <v>8000</v>
      </c>
      <c r="U41" s="173">
        <v>7650</v>
      </c>
      <c r="V41" s="173">
        <v>7800</v>
      </c>
      <c r="W41" s="173">
        <v>7800</v>
      </c>
      <c r="X41" s="184">
        <v>7650</v>
      </c>
      <c r="Y41" s="184">
        <v>7800</v>
      </c>
      <c r="Z41" s="184">
        <v>7800</v>
      </c>
      <c r="AA41" s="83">
        <v>7850</v>
      </c>
      <c r="AB41" s="83">
        <v>8000</v>
      </c>
      <c r="AC41" s="83">
        <v>8000</v>
      </c>
      <c r="AD41" s="83">
        <v>7650</v>
      </c>
      <c r="AE41" s="83">
        <v>7800</v>
      </c>
      <c r="AF41" s="83">
        <v>7800</v>
      </c>
      <c r="AG41" s="83">
        <v>7650</v>
      </c>
      <c r="AH41" s="83">
        <v>7800</v>
      </c>
      <c r="AI41" s="83">
        <v>7800</v>
      </c>
      <c r="AJ41" s="184">
        <v>7650</v>
      </c>
      <c r="AK41" s="184">
        <v>7800</v>
      </c>
      <c r="AL41" s="184">
        <v>7800</v>
      </c>
      <c r="AM41" s="175">
        <v>9650</v>
      </c>
      <c r="AN41" s="175">
        <v>9800</v>
      </c>
      <c r="AO41" s="176">
        <v>9800</v>
      </c>
      <c r="AP41" s="177">
        <v>8150</v>
      </c>
      <c r="AQ41" s="177">
        <v>8300</v>
      </c>
      <c r="AR41" s="177">
        <v>8300</v>
      </c>
      <c r="AS41" s="177">
        <v>8350</v>
      </c>
      <c r="AT41" s="177">
        <v>8500</v>
      </c>
      <c r="AU41" s="177">
        <v>8500</v>
      </c>
      <c r="AV41" s="175">
        <v>9650</v>
      </c>
      <c r="AW41" s="175">
        <v>9800</v>
      </c>
      <c r="AX41" s="176">
        <v>9800</v>
      </c>
      <c r="AY41" s="175">
        <v>9650</v>
      </c>
      <c r="AZ41" s="175">
        <v>9800</v>
      </c>
      <c r="BA41" s="176">
        <v>9800</v>
      </c>
      <c r="BB41" s="177">
        <v>9650</v>
      </c>
      <c r="BC41" s="177">
        <v>9800</v>
      </c>
      <c r="BD41" s="177">
        <v>9800</v>
      </c>
      <c r="BE41" s="177">
        <v>10650</v>
      </c>
      <c r="BF41" s="177">
        <v>10800</v>
      </c>
      <c r="BG41" s="177">
        <v>10800</v>
      </c>
      <c r="BH41" s="215">
        <v>6150</v>
      </c>
      <c r="BI41" s="215">
        <v>6300</v>
      </c>
      <c r="BJ41" s="215">
        <v>6300</v>
      </c>
      <c r="BK41" s="198">
        <v>7950</v>
      </c>
      <c r="BL41" s="198">
        <v>8100</v>
      </c>
      <c r="BM41" s="198">
        <v>8100</v>
      </c>
    </row>
    <row r="42" spans="1:65">
      <c r="A42" s="107" t="s">
        <v>57</v>
      </c>
      <c r="B42" s="108" t="s">
        <v>58</v>
      </c>
      <c r="C42" s="83">
        <v>6900</v>
      </c>
      <c r="D42" s="83">
        <v>7000</v>
      </c>
      <c r="E42" s="83">
        <v>7000</v>
      </c>
      <c r="F42" s="83">
        <v>7000</v>
      </c>
      <c r="G42" s="83">
        <v>7100</v>
      </c>
      <c r="H42" s="83">
        <v>7100</v>
      </c>
      <c r="I42" s="83">
        <v>7600</v>
      </c>
      <c r="J42" s="83">
        <v>7700</v>
      </c>
      <c r="K42" s="83">
        <v>7700</v>
      </c>
      <c r="L42" s="173">
        <v>7800</v>
      </c>
      <c r="M42" s="173">
        <v>7900</v>
      </c>
      <c r="N42" s="173">
        <v>7900</v>
      </c>
      <c r="O42" s="200"/>
      <c r="P42" s="200"/>
      <c r="Q42" s="200"/>
      <c r="R42" s="174">
        <v>7800</v>
      </c>
      <c r="S42" s="174">
        <v>7900</v>
      </c>
      <c r="T42" s="174">
        <v>7900</v>
      </c>
      <c r="U42" s="173">
        <v>7600</v>
      </c>
      <c r="V42" s="173">
        <v>7700</v>
      </c>
      <c r="W42" s="173">
        <v>7700</v>
      </c>
      <c r="X42" s="184">
        <v>7600</v>
      </c>
      <c r="Y42" s="184">
        <v>7700</v>
      </c>
      <c r="Z42" s="184">
        <v>7700</v>
      </c>
      <c r="AA42" s="83">
        <v>7800</v>
      </c>
      <c r="AB42" s="83">
        <v>7900</v>
      </c>
      <c r="AC42" s="83">
        <v>7900</v>
      </c>
      <c r="AD42" s="83">
        <v>7600</v>
      </c>
      <c r="AE42" s="83">
        <v>7700</v>
      </c>
      <c r="AF42" s="83">
        <v>7700</v>
      </c>
      <c r="AG42" s="83">
        <v>7600</v>
      </c>
      <c r="AH42" s="83">
        <v>7700</v>
      </c>
      <c r="AI42" s="83">
        <v>7700</v>
      </c>
      <c r="AJ42" s="184">
        <v>7600</v>
      </c>
      <c r="AK42" s="184">
        <v>7700</v>
      </c>
      <c r="AL42" s="184">
        <v>7700</v>
      </c>
      <c r="AM42" s="175">
        <v>9600</v>
      </c>
      <c r="AN42" s="175">
        <v>9700</v>
      </c>
      <c r="AO42" s="176">
        <v>9700</v>
      </c>
      <c r="AP42" s="177">
        <v>8100</v>
      </c>
      <c r="AQ42" s="177">
        <v>8200</v>
      </c>
      <c r="AR42" s="177">
        <v>8200</v>
      </c>
      <c r="AS42" s="177">
        <v>8300</v>
      </c>
      <c r="AT42" s="177">
        <v>8400</v>
      </c>
      <c r="AU42" s="177">
        <v>8400</v>
      </c>
      <c r="AV42" s="175">
        <v>9600</v>
      </c>
      <c r="AW42" s="175">
        <v>9700</v>
      </c>
      <c r="AX42" s="176">
        <v>9700</v>
      </c>
      <c r="AY42" s="175">
        <v>9600</v>
      </c>
      <c r="AZ42" s="175">
        <v>9700</v>
      </c>
      <c r="BA42" s="176">
        <v>9700</v>
      </c>
      <c r="BB42" s="177">
        <v>9600</v>
      </c>
      <c r="BC42" s="177">
        <v>9700</v>
      </c>
      <c r="BD42" s="177">
        <v>9700</v>
      </c>
      <c r="BE42" s="177">
        <v>10600</v>
      </c>
      <c r="BF42" s="177">
        <v>10700</v>
      </c>
      <c r="BG42" s="177">
        <v>10700</v>
      </c>
      <c r="BH42" s="215">
        <v>6100</v>
      </c>
      <c r="BI42" s="215">
        <v>6200</v>
      </c>
      <c r="BJ42" s="215">
        <v>6200</v>
      </c>
      <c r="BK42" s="198">
        <v>7900</v>
      </c>
      <c r="BL42" s="198">
        <v>8000</v>
      </c>
      <c r="BM42" s="198">
        <v>8000</v>
      </c>
    </row>
    <row r="43" spans="1:65">
      <c r="A43" s="113" t="s">
        <v>128</v>
      </c>
      <c r="B43" s="108" t="s">
        <v>221</v>
      </c>
      <c r="C43" s="83">
        <v>6950</v>
      </c>
      <c r="D43" s="83">
        <v>7100</v>
      </c>
      <c r="E43" s="83">
        <v>7100</v>
      </c>
      <c r="F43" s="83">
        <v>7050</v>
      </c>
      <c r="G43" s="83">
        <v>7200</v>
      </c>
      <c r="H43" s="83">
        <v>7200</v>
      </c>
      <c r="I43" s="83">
        <v>7650</v>
      </c>
      <c r="J43" s="83">
        <v>7800</v>
      </c>
      <c r="K43" s="83">
        <v>7800</v>
      </c>
      <c r="L43" s="173">
        <v>7850</v>
      </c>
      <c r="M43" s="173">
        <v>8000</v>
      </c>
      <c r="N43" s="173">
        <v>8000</v>
      </c>
      <c r="O43" s="200"/>
      <c r="P43" s="200"/>
      <c r="Q43" s="200"/>
      <c r="R43" s="174">
        <v>7850</v>
      </c>
      <c r="S43" s="174">
        <v>8000</v>
      </c>
      <c r="T43" s="174">
        <v>8000</v>
      </c>
      <c r="U43" s="173">
        <v>7650</v>
      </c>
      <c r="V43" s="173">
        <v>7800</v>
      </c>
      <c r="W43" s="173">
        <v>7800</v>
      </c>
      <c r="X43" s="184">
        <v>7650</v>
      </c>
      <c r="Y43" s="184">
        <v>7800</v>
      </c>
      <c r="Z43" s="184">
        <v>7800</v>
      </c>
      <c r="AA43" s="83">
        <v>7850</v>
      </c>
      <c r="AB43" s="83">
        <v>8000</v>
      </c>
      <c r="AC43" s="83">
        <v>8000</v>
      </c>
      <c r="AD43" s="83">
        <v>7650</v>
      </c>
      <c r="AE43" s="83">
        <v>7800</v>
      </c>
      <c r="AF43" s="83">
        <v>7800</v>
      </c>
      <c r="AG43" s="83">
        <v>7650</v>
      </c>
      <c r="AH43" s="83">
        <v>7800</v>
      </c>
      <c r="AI43" s="83">
        <v>7800</v>
      </c>
      <c r="AJ43" s="184">
        <v>7650</v>
      </c>
      <c r="AK43" s="184">
        <v>7800</v>
      </c>
      <c r="AL43" s="184">
        <v>7800</v>
      </c>
      <c r="AM43" s="175">
        <v>9650</v>
      </c>
      <c r="AN43" s="175">
        <v>9800</v>
      </c>
      <c r="AO43" s="176">
        <v>9800</v>
      </c>
      <c r="AP43" s="177">
        <v>8150</v>
      </c>
      <c r="AQ43" s="177">
        <v>8300</v>
      </c>
      <c r="AR43" s="177">
        <v>8300</v>
      </c>
      <c r="AS43" s="177">
        <v>8350</v>
      </c>
      <c r="AT43" s="177">
        <v>8500</v>
      </c>
      <c r="AU43" s="177">
        <v>8500</v>
      </c>
      <c r="AV43" s="175">
        <v>9650</v>
      </c>
      <c r="AW43" s="175">
        <v>9800</v>
      </c>
      <c r="AX43" s="176">
        <v>9800</v>
      </c>
      <c r="AY43" s="175">
        <v>9650</v>
      </c>
      <c r="AZ43" s="175">
        <v>9800</v>
      </c>
      <c r="BA43" s="176">
        <v>9800</v>
      </c>
      <c r="BB43" s="177">
        <v>9650</v>
      </c>
      <c r="BC43" s="177">
        <v>9800</v>
      </c>
      <c r="BD43" s="177">
        <v>9800</v>
      </c>
      <c r="BE43" s="177">
        <v>10650</v>
      </c>
      <c r="BF43" s="177">
        <v>10800</v>
      </c>
      <c r="BG43" s="177">
        <v>10800</v>
      </c>
      <c r="BH43" s="215">
        <v>6150</v>
      </c>
      <c r="BI43" s="215">
        <v>6300</v>
      </c>
      <c r="BJ43" s="215">
        <v>6300</v>
      </c>
      <c r="BK43" s="198">
        <v>7950</v>
      </c>
      <c r="BL43" s="198">
        <v>8100</v>
      </c>
      <c r="BM43" s="198">
        <v>8100</v>
      </c>
    </row>
    <row r="44" spans="1:65">
      <c r="A44" s="113" t="s">
        <v>129</v>
      </c>
      <c r="B44" s="108" t="s">
        <v>222</v>
      </c>
      <c r="C44" s="83">
        <v>6950</v>
      </c>
      <c r="D44" s="83">
        <v>7100</v>
      </c>
      <c r="E44" s="83">
        <v>7100</v>
      </c>
      <c r="F44" s="83">
        <v>7050</v>
      </c>
      <c r="G44" s="83">
        <v>7200</v>
      </c>
      <c r="H44" s="83">
        <v>7200</v>
      </c>
      <c r="I44" s="83">
        <v>7650</v>
      </c>
      <c r="J44" s="83">
        <v>7800</v>
      </c>
      <c r="K44" s="83">
        <v>7800</v>
      </c>
      <c r="L44" s="173">
        <v>7850</v>
      </c>
      <c r="M44" s="173">
        <v>8000</v>
      </c>
      <c r="N44" s="173">
        <v>8000</v>
      </c>
      <c r="O44" s="200"/>
      <c r="P44" s="200"/>
      <c r="Q44" s="200"/>
      <c r="R44" s="174">
        <v>7850</v>
      </c>
      <c r="S44" s="174">
        <v>8000</v>
      </c>
      <c r="T44" s="174">
        <v>8000</v>
      </c>
      <c r="U44" s="173">
        <v>7650</v>
      </c>
      <c r="V44" s="173">
        <v>7800</v>
      </c>
      <c r="W44" s="173">
        <v>7800</v>
      </c>
      <c r="X44" s="184">
        <v>7650</v>
      </c>
      <c r="Y44" s="184">
        <v>7800</v>
      </c>
      <c r="Z44" s="184">
        <v>7800</v>
      </c>
      <c r="AA44" s="83">
        <v>7850</v>
      </c>
      <c r="AB44" s="83">
        <v>8000</v>
      </c>
      <c r="AC44" s="83">
        <v>8000</v>
      </c>
      <c r="AD44" s="83">
        <v>7650</v>
      </c>
      <c r="AE44" s="83">
        <v>7800</v>
      </c>
      <c r="AF44" s="83">
        <v>7800</v>
      </c>
      <c r="AG44" s="83">
        <v>7650</v>
      </c>
      <c r="AH44" s="83">
        <v>7800</v>
      </c>
      <c r="AI44" s="83">
        <v>7800</v>
      </c>
      <c r="AJ44" s="184">
        <v>7650</v>
      </c>
      <c r="AK44" s="184">
        <v>7800</v>
      </c>
      <c r="AL44" s="184">
        <v>7800</v>
      </c>
      <c r="AM44" s="175">
        <v>9650</v>
      </c>
      <c r="AN44" s="175">
        <v>9800</v>
      </c>
      <c r="AO44" s="176">
        <v>9800</v>
      </c>
      <c r="AP44" s="177">
        <v>8150</v>
      </c>
      <c r="AQ44" s="177">
        <v>8300</v>
      </c>
      <c r="AR44" s="177">
        <v>8300</v>
      </c>
      <c r="AS44" s="177">
        <v>8350</v>
      </c>
      <c r="AT44" s="177">
        <v>8500</v>
      </c>
      <c r="AU44" s="177">
        <v>8500</v>
      </c>
      <c r="AV44" s="175">
        <v>9650</v>
      </c>
      <c r="AW44" s="175">
        <v>9800</v>
      </c>
      <c r="AX44" s="176">
        <v>9800</v>
      </c>
      <c r="AY44" s="175">
        <v>9650</v>
      </c>
      <c r="AZ44" s="175">
        <v>9800</v>
      </c>
      <c r="BA44" s="176">
        <v>9800</v>
      </c>
      <c r="BB44" s="177">
        <v>9650</v>
      </c>
      <c r="BC44" s="177">
        <v>9800</v>
      </c>
      <c r="BD44" s="177">
        <v>9800</v>
      </c>
      <c r="BE44" s="177">
        <v>10650</v>
      </c>
      <c r="BF44" s="177">
        <v>10800</v>
      </c>
      <c r="BG44" s="177">
        <v>10800</v>
      </c>
      <c r="BH44" s="215">
        <v>6150</v>
      </c>
      <c r="BI44" s="215">
        <v>6300</v>
      </c>
      <c r="BJ44" s="215">
        <v>6300</v>
      </c>
      <c r="BK44" s="198">
        <v>7950</v>
      </c>
      <c r="BL44" s="198">
        <v>8100</v>
      </c>
      <c r="BM44" s="198">
        <v>8100</v>
      </c>
    </row>
    <row r="45" spans="1:65">
      <c r="A45" s="107" t="s">
        <v>59</v>
      </c>
      <c r="B45" s="108" t="s">
        <v>60</v>
      </c>
      <c r="C45" s="83">
        <v>7100</v>
      </c>
      <c r="D45" s="83">
        <v>7400</v>
      </c>
      <c r="E45" s="83">
        <v>7400</v>
      </c>
      <c r="F45" s="83">
        <v>7200</v>
      </c>
      <c r="G45" s="83">
        <v>7500</v>
      </c>
      <c r="H45" s="83">
        <v>7500</v>
      </c>
      <c r="I45" s="83">
        <v>7800</v>
      </c>
      <c r="J45" s="83">
        <v>8100</v>
      </c>
      <c r="K45" s="83">
        <v>8100</v>
      </c>
      <c r="L45" s="173">
        <v>8000</v>
      </c>
      <c r="M45" s="173">
        <v>8300</v>
      </c>
      <c r="N45" s="173">
        <v>8300</v>
      </c>
      <c r="O45" s="200"/>
      <c r="P45" s="200"/>
      <c r="Q45" s="200"/>
      <c r="R45" s="174">
        <v>8000</v>
      </c>
      <c r="S45" s="174">
        <v>8300</v>
      </c>
      <c r="T45" s="174">
        <v>8300</v>
      </c>
      <c r="U45" s="173">
        <v>7800</v>
      </c>
      <c r="V45" s="173">
        <v>8100</v>
      </c>
      <c r="W45" s="173">
        <v>8100</v>
      </c>
      <c r="X45" s="184">
        <v>7800</v>
      </c>
      <c r="Y45" s="184">
        <v>8100</v>
      </c>
      <c r="Z45" s="184">
        <v>8100</v>
      </c>
      <c r="AA45" s="83">
        <v>8000</v>
      </c>
      <c r="AB45" s="83">
        <v>8300</v>
      </c>
      <c r="AC45" s="83">
        <v>8300</v>
      </c>
      <c r="AD45" s="83">
        <v>7800</v>
      </c>
      <c r="AE45" s="83">
        <v>8100</v>
      </c>
      <c r="AF45" s="83">
        <v>8100</v>
      </c>
      <c r="AG45" s="83">
        <v>7800</v>
      </c>
      <c r="AH45" s="83">
        <v>8100</v>
      </c>
      <c r="AI45" s="83">
        <v>8100</v>
      </c>
      <c r="AJ45" s="184">
        <v>7800</v>
      </c>
      <c r="AK45" s="184">
        <v>8100</v>
      </c>
      <c r="AL45" s="184">
        <v>8100</v>
      </c>
      <c r="AM45" s="175">
        <v>9800</v>
      </c>
      <c r="AN45" s="175">
        <v>10100</v>
      </c>
      <c r="AO45" s="176">
        <v>10100</v>
      </c>
      <c r="AP45" s="177">
        <v>8300</v>
      </c>
      <c r="AQ45" s="177">
        <v>8600</v>
      </c>
      <c r="AR45" s="177">
        <v>8600</v>
      </c>
      <c r="AS45" s="177">
        <v>8500</v>
      </c>
      <c r="AT45" s="177">
        <v>8800</v>
      </c>
      <c r="AU45" s="177">
        <v>8800</v>
      </c>
      <c r="AV45" s="175">
        <v>9800</v>
      </c>
      <c r="AW45" s="175">
        <v>10100</v>
      </c>
      <c r="AX45" s="176">
        <v>10100</v>
      </c>
      <c r="AY45" s="175">
        <v>9800</v>
      </c>
      <c r="AZ45" s="175">
        <v>10100</v>
      </c>
      <c r="BA45" s="176">
        <v>10100</v>
      </c>
      <c r="BB45" s="177">
        <v>9800</v>
      </c>
      <c r="BC45" s="177">
        <v>10100</v>
      </c>
      <c r="BD45" s="177">
        <v>10100</v>
      </c>
      <c r="BE45" s="177">
        <v>10800</v>
      </c>
      <c r="BF45" s="177">
        <v>11100</v>
      </c>
      <c r="BG45" s="177">
        <v>11100</v>
      </c>
      <c r="BH45" s="215">
        <v>6300</v>
      </c>
      <c r="BI45" s="215">
        <v>6600</v>
      </c>
      <c r="BJ45" s="215">
        <v>6600</v>
      </c>
      <c r="BK45" s="198">
        <v>8100</v>
      </c>
      <c r="BL45" s="198">
        <v>8400</v>
      </c>
      <c r="BM45" s="198">
        <v>8400</v>
      </c>
    </row>
    <row r="46" spans="1:65">
      <c r="A46" s="107" t="s">
        <v>61</v>
      </c>
      <c r="B46" s="108" t="s">
        <v>62</v>
      </c>
      <c r="C46" s="83">
        <v>6900</v>
      </c>
      <c r="D46" s="83">
        <v>7000</v>
      </c>
      <c r="E46" s="83">
        <v>7000</v>
      </c>
      <c r="F46" s="83">
        <v>7000</v>
      </c>
      <c r="G46" s="83">
        <v>7100</v>
      </c>
      <c r="H46" s="83">
        <v>7100</v>
      </c>
      <c r="I46" s="83">
        <v>7600</v>
      </c>
      <c r="J46" s="83">
        <v>7700</v>
      </c>
      <c r="K46" s="83">
        <v>7700</v>
      </c>
      <c r="L46" s="173">
        <v>7800</v>
      </c>
      <c r="M46" s="173">
        <v>7900</v>
      </c>
      <c r="N46" s="173">
        <v>7900</v>
      </c>
      <c r="O46" s="200"/>
      <c r="P46" s="200"/>
      <c r="Q46" s="200"/>
      <c r="R46" s="174">
        <v>7800</v>
      </c>
      <c r="S46" s="174">
        <v>7900</v>
      </c>
      <c r="T46" s="174">
        <v>7900</v>
      </c>
      <c r="U46" s="173">
        <v>7600</v>
      </c>
      <c r="V46" s="173">
        <v>7700</v>
      </c>
      <c r="W46" s="173">
        <v>7700</v>
      </c>
      <c r="X46" s="184">
        <v>7600</v>
      </c>
      <c r="Y46" s="184">
        <v>7700</v>
      </c>
      <c r="Z46" s="184">
        <v>7700</v>
      </c>
      <c r="AA46" s="83">
        <v>7800</v>
      </c>
      <c r="AB46" s="83">
        <v>7900</v>
      </c>
      <c r="AC46" s="83">
        <v>7900</v>
      </c>
      <c r="AD46" s="83">
        <v>7600</v>
      </c>
      <c r="AE46" s="83">
        <v>7700</v>
      </c>
      <c r="AF46" s="83">
        <v>7700</v>
      </c>
      <c r="AG46" s="83">
        <v>7600</v>
      </c>
      <c r="AH46" s="83">
        <v>7700</v>
      </c>
      <c r="AI46" s="83">
        <v>7700</v>
      </c>
      <c r="AJ46" s="184">
        <v>7600</v>
      </c>
      <c r="AK46" s="184">
        <v>7700</v>
      </c>
      <c r="AL46" s="184">
        <v>7700</v>
      </c>
      <c r="AM46" s="175">
        <v>9600</v>
      </c>
      <c r="AN46" s="175">
        <v>9700</v>
      </c>
      <c r="AO46" s="176">
        <v>9700</v>
      </c>
      <c r="AP46" s="177">
        <v>8100</v>
      </c>
      <c r="AQ46" s="177">
        <v>8200</v>
      </c>
      <c r="AR46" s="177">
        <v>8200</v>
      </c>
      <c r="AS46" s="177">
        <v>8300</v>
      </c>
      <c r="AT46" s="177">
        <v>8400</v>
      </c>
      <c r="AU46" s="177">
        <v>8400</v>
      </c>
      <c r="AV46" s="175">
        <v>9600</v>
      </c>
      <c r="AW46" s="175">
        <v>9700</v>
      </c>
      <c r="AX46" s="176">
        <v>9700</v>
      </c>
      <c r="AY46" s="175">
        <v>9600</v>
      </c>
      <c r="AZ46" s="175">
        <v>9700</v>
      </c>
      <c r="BA46" s="176">
        <v>9700</v>
      </c>
      <c r="BB46" s="177">
        <v>9600</v>
      </c>
      <c r="BC46" s="177">
        <v>9700</v>
      </c>
      <c r="BD46" s="177">
        <v>9700</v>
      </c>
      <c r="BE46" s="177">
        <v>10600</v>
      </c>
      <c r="BF46" s="177">
        <v>10700</v>
      </c>
      <c r="BG46" s="177">
        <v>10700</v>
      </c>
      <c r="BH46" s="215">
        <v>6100</v>
      </c>
      <c r="BI46" s="215">
        <v>6200</v>
      </c>
      <c r="BJ46" s="215">
        <v>6200</v>
      </c>
      <c r="BK46" s="198">
        <v>7900</v>
      </c>
      <c r="BL46" s="198">
        <v>8000</v>
      </c>
      <c r="BM46" s="198">
        <v>8000</v>
      </c>
    </row>
    <row r="47" spans="1:65">
      <c r="A47" s="107" t="s">
        <v>63</v>
      </c>
      <c r="B47" s="108" t="s">
        <v>64</v>
      </c>
      <c r="C47" s="83">
        <v>6950</v>
      </c>
      <c r="D47" s="83">
        <v>7100</v>
      </c>
      <c r="E47" s="83">
        <v>7100</v>
      </c>
      <c r="F47" s="83">
        <v>7050</v>
      </c>
      <c r="G47" s="83">
        <v>7200</v>
      </c>
      <c r="H47" s="83">
        <v>7200</v>
      </c>
      <c r="I47" s="83">
        <v>7650</v>
      </c>
      <c r="J47" s="83">
        <v>7800</v>
      </c>
      <c r="K47" s="83">
        <v>7800</v>
      </c>
      <c r="L47" s="173">
        <v>7850</v>
      </c>
      <c r="M47" s="173">
        <v>8000</v>
      </c>
      <c r="N47" s="173">
        <v>8000</v>
      </c>
      <c r="O47" s="200"/>
      <c r="P47" s="200"/>
      <c r="Q47" s="200"/>
      <c r="R47" s="174">
        <v>7850</v>
      </c>
      <c r="S47" s="174">
        <v>8000</v>
      </c>
      <c r="T47" s="174">
        <v>8000</v>
      </c>
      <c r="U47" s="173">
        <v>7650</v>
      </c>
      <c r="V47" s="173">
        <v>7800</v>
      </c>
      <c r="W47" s="173">
        <v>7800</v>
      </c>
      <c r="X47" s="184">
        <v>7650</v>
      </c>
      <c r="Y47" s="184">
        <v>7800</v>
      </c>
      <c r="Z47" s="184">
        <v>7800</v>
      </c>
      <c r="AA47" s="83">
        <v>7850</v>
      </c>
      <c r="AB47" s="83">
        <v>8000</v>
      </c>
      <c r="AC47" s="83">
        <v>8000</v>
      </c>
      <c r="AD47" s="83">
        <v>7650</v>
      </c>
      <c r="AE47" s="83">
        <v>7800</v>
      </c>
      <c r="AF47" s="83">
        <v>7800</v>
      </c>
      <c r="AG47" s="83">
        <v>7650</v>
      </c>
      <c r="AH47" s="83">
        <v>7800</v>
      </c>
      <c r="AI47" s="83">
        <v>7800</v>
      </c>
      <c r="AJ47" s="184">
        <v>7650</v>
      </c>
      <c r="AK47" s="184">
        <v>7800</v>
      </c>
      <c r="AL47" s="184">
        <v>7800</v>
      </c>
      <c r="AM47" s="175">
        <v>9650</v>
      </c>
      <c r="AN47" s="175">
        <v>9800</v>
      </c>
      <c r="AO47" s="176">
        <v>9800</v>
      </c>
      <c r="AP47" s="177">
        <v>8150</v>
      </c>
      <c r="AQ47" s="177">
        <v>8300</v>
      </c>
      <c r="AR47" s="177">
        <v>8300</v>
      </c>
      <c r="AS47" s="177">
        <v>8350</v>
      </c>
      <c r="AT47" s="177">
        <v>8500</v>
      </c>
      <c r="AU47" s="177">
        <v>8500</v>
      </c>
      <c r="AV47" s="175">
        <v>9650</v>
      </c>
      <c r="AW47" s="175">
        <v>9800</v>
      </c>
      <c r="AX47" s="176">
        <v>9800</v>
      </c>
      <c r="AY47" s="175">
        <v>9650</v>
      </c>
      <c r="AZ47" s="175">
        <v>9800</v>
      </c>
      <c r="BA47" s="176">
        <v>9800</v>
      </c>
      <c r="BB47" s="177">
        <v>9650</v>
      </c>
      <c r="BC47" s="177">
        <v>9800</v>
      </c>
      <c r="BD47" s="177">
        <v>9800</v>
      </c>
      <c r="BE47" s="177">
        <v>10650</v>
      </c>
      <c r="BF47" s="177">
        <v>10800</v>
      </c>
      <c r="BG47" s="177">
        <v>10800</v>
      </c>
      <c r="BH47" s="215">
        <v>6150</v>
      </c>
      <c r="BI47" s="215">
        <v>6300</v>
      </c>
      <c r="BJ47" s="215">
        <v>6300</v>
      </c>
      <c r="BK47" s="198">
        <v>7950</v>
      </c>
      <c r="BL47" s="198">
        <v>8100</v>
      </c>
      <c r="BM47" s="198">
        <v>8100</v>
      </c>
    </row>
    <row r="48" spans="1:65">
      <c r="A48" s="107" t="s">
        <v>65</v>
      </c>
      <c r="B48" s="108" t="s">
        <v>66</v>
      </c>
      <c r="C48" s="83">
        <v>6950</v>
      </c>
      <c r="D48" s="83">
        <v>7100</v>
      </c>
      <c r="E48" s="83">
        <v>7100</v>
      </c>
      <c r="F48" s="83">
        <v>7050</v>
      </c>
      <c r="G48" s="83">
        <v>7200</v>
      </c>
      <c r="H48" s="83">
        <v>7200</v>
      </c>
      <c r="I48" s="83">
        <v>7650</v>
      </c>
      <c r="J48" s="83">
        <v>7800</v>
      </c>
      <c r="K48" s="83">
        <v>7800</v>
      </c>
      <c r="L48" s="173">
        <v>7850</v>
      </c>
      <c r="M48" s="173">
        <v>8000</v>
      </c>
      <c r="N48" s="173">
        <v>8000</v>
      </c>
      <c r="O48" s="200"/>
      <c r="P48" s="200"/>
      <c r="Q48" s="200"/>
      <c r="R48" s="174">
        <v>7850</v>
      </c>
      <c r="S48" s="174">
        <v>8000</v>
      </c>
      <c r="T48" s="174">
        <v>8000</v>
      </c>
      <c r="U48" s="173">
        <v>7650</v>
      </c>
      <c r="V48" s="173">
        <v>7800</v>
      </c>
      <c r="W48" s="173">
        <v>7800</v>
      </c>
      <c r="X48" s="184">
        <v>7650</v>
      </c>
      <c r="Y48" s="184">
        <v>7800</v>
      </c>
      <c r="Z48" s="184">
        <v>7800</v>
      </c>
      <c r="AA48" s="83">
        <v>7850</v>
      </c>
      <c r="AB48" s="83">
        <v>8000</v>
      </c>
      <c r="AC48" s="83">
        <v>8000</v>
      </c>
      <c r="AD48" s="83">
        <v>7650</v>
      </c>
      <c r="AE48" s="83">
        <v>7800</v>
      </c>
      <c r="AF48" s="83">
        <v>7800</v>
      </c>
      <c r="AG48" s="83">
        <v>7650</v>
      </c>
      <c r="AH48" s="83">
        <v>7800</v>
      </c>
      <c r="AI48" s="83">
        <v>7800</v>
      </c>
      <c r="AJ48" s="184">
        <v>7650</v>
      </c>
      <c r="AK48" s="184">
        <v>7800</v>
      </c>
      <c r="AL48" s="184">
        <v>7800</v>
      </c>
      <c r="AM48" s="175">
        <v>9650</v>
      </c>
      <c r="AN48" s="175">
        <v>9800</v>
      </c>
      <c r="AO48" s="176">
        <v>9800</v>
      </c>
      <c r="AP48" s="177">
        <v>8150</v>
      </c>
      <c r="AQ48" s="177">
        <v>8300</v>
      </c>
      <c r="AR48" s="177">
        <v>8300</v>
      </c>
      <c r="AS48" s="177">
        <v>8350</v>
      </c>
      <c r="AT48" s="177">
        <v>8500</v>
      </c>
      <c r="AU48" s="177">
        <v>8500</v>
      </c>
      <c r="AV48" s="175">
        <v>9650</v>
      </c>
      <c r="AW48" s="175">
        <v>9800</v>
      </c>
      <c r="AX48" s="176">
        <v>9800</v>
      </c>
      <c r="AY48" s="175">
        <v>9650</v>
      </c>
      <c r="AZ48" s="175">
        <v>9800</v>
      </c>
      <c r="BA48" s="176">
        <v>9800</v>
      </c>
      <c r="BB48" s="177">
        <v>9650</v>
      </c>
      <c r="BC48" s="177">
        <v>9800</v>
      </c>
      <c r="BD48" s="177">
        <v>9800</v>
      </c>
      <c r="BE48" s="177">
        <v>10650</v>
      </c>
      <c r="BF48" s="177">
        <v>10800</v>
      </c>
      <c r="BG48" s="177">
        <v>10800</v>
      </c>
      <c r="BH48" s="215">
        <v>6150</v>
      </c>
      <c r="BI48" s="215">
        <v>6300</v>
      </c>
      <c r="BJ48" s="215">
        <v>6300</v>
      </c>
      <c r="BK48" s="198">
        <v>7950</v>
      </c>
      <c r="BL48" s="198">
        <v>8100</v>
      </c>
      <c r="BM48" s="198">
        <v>8100</v>
      </c>
    </row>
    <row r="49" spans="1:65">
      <c r="A49" s="107" t="s">
        <v>130</v>
      </c>
      <c r="B49" s="114" t="s">
        <v>223</v>
      </c>
      <c r="C49" s="83">
        <v>7100</v>
      </c>
      <c r="D49" s="83">
        <v>7100</v>
      </c>
      <c r="E49" s="83">
        <v>7100</v>
      </c>
      <c r="F49" s="83">
        <v>7200</v>
      </c>
      <c r="G49" s="83">
        <v>7200</v>
      </c>
      <c r="H49" s="83">
        <v>7200</v>
      </c>
      <c r="I49" s="83">
        <v>7800</v>
      </c>
      <c r="J49" s="83">
        <v>7800</v>
      </c>
      <c r="K49" s="83">
        <v>7800</v>
      </c>
      <c r="L49" s="173">
        <v>8000</v>
      </c>
      <c r="M49" s="173">
        <v>8000</v>
      </c>
      <c r="N49" s="173">
        <v>8000</v>
      </c>
      <c r="O49" s="200"/>
      <c r="P49" s="200"/>
      <c r="Q49" s="200"/>
      <c r="R49" s="174">
        <v>8000</v>
      </c>
      <c r="S49" s="174">
        <v>8000</v>
      </c>
      <c r="T49" s="174">
        <v>8000</v>
      </c>
      <c r="U49" s="173">
        <v>7800</v>
      </c>
      <c r="V49" s="173">
        <v>7800</v>
      </c>
      <c r="W49" s="173">
        <v>7800</v>
      </c>
      <c r="X49" s="184">
        <v>7800</v>
      </c>
      <c r="Y49" s="184">
        <v>7800</v>
      </c>
      <c r="Z49" s="184">
        <v>7800</v>
      </c>
      <c r="AA49" s="83">
        <v>8000</v>
      </c>
      <c r="AB49" s="83">
        <v>8000</v>
      </c>
      <c r="AC49" s="83">
        <v>8000</v>
      </c>
      <c r="AD49" s="83">
        <v>7800</v>
      </c>
      <c r="AE49" s="83">
        <v>7800</v>
      </c>
      <c r="AF49" s="83">
        <v>7800</v>
      </c>
      <c r="AG49" s="83">
        <v>7800</v>
      </c>
      <c r="AH49" s="83">
        <v>7800</v>
      </c>
      <c r="AI49" s="83">
        <v>7800</v>
      </c>
      <c r="AJ49" s="184">
        <v>7800</v>
      </c>
      <c r="AK49" s="184">
        <v>7800</v>
      </c>
      <c r="AL49" s="184">
        <v>7800</v>
      </c>
      <c r="AM49" s="175">
        <v>9800</v>
      </c>
      <c r="AN49" s="175">
        <v>9800</v>
      </c>
      <c r="AO49" s="176">
        <v>9800</v>
      </c>
      <c r="AP49" s="177">
        <v>8300</v>
      </c>
      <c r="AQ49" s="177">
        <v>8300</v>
      </c>
      <c r="AR49" s="177">
        <v>8300</v>
      </c>
      <c r="AS49" s="177">
        <v>8500</v>
      </c>
      <c r="AT49" s="177">
        <v>8500</v>
      </c>
      <c r="AU49" s="177">
        <v>8500</v>
      </c>
      <c r="AV49" s="175">
        <v>9800</v>
      </c>
      <c r="AW49" s="175">
        <v>9800</v>
      </c>
      <c r="AX49" s="176">
        <v>9800</v>
      </c>
      <c r="AY49" s="175">
        <v>9800</v>
      </c>
      <c r="AZ49" s="175">
        <v>9800</v>
      </c>
      <c r="BA49" s="176">
        <v>9800</v>
      </c>
      <c r="BB49" s="177">
        <v>9800</v>
      </c>
      <c r="BC49" s="177">
        <v>9800</v>
      </c>
      <c r="BD49" s="177">
        <v>9800</v>
      </c>
      <c r="BE49" s="177">
        <v>10800</v>
      </c>
      <c r="BF49" s="177">
        <v>10800</v>
      </c>
      <c r="BG49" s="177">
        <v>10800</v>
      </c>
      <c r="BH49" s="215">
        <v>6300</v>
      </c>
      <c r="BI49" s="215">
        <v>6300</v>
      </c>
      <c r="BJ49" s="215">
        <v>6300</v>
      </c>
      <c r="BK49" s="198">
        <v>8100</v>
      </c>
      <c r="BL49" s="198">
        <v>8100</v>
      </c>
      <c r="BM49" s="198">
        <v>8100</v>
      </c>
    </row>
    <row r="50" spans="1:65">
      <c r="A50" s="107" t="s">
        <v>131</v>
      </c>
      <c r="B50" s="114" t="s">
        <v>224</v>
      </c>
      <c r="C50" s="83">
        <v>7100</v>
      </c>
      <c r="D50" s="83">
        <v>7100</v>
      </c>
      <c r="E50" s="83">
        <v>7100</v>
      </c>
      <c r="F50" s="83">
        <v>7200</v>
      </c>
      <c r="G50" s="83">
        <v>7200</v>
      </c>
      <c r="H50" s="83">
        <v>7200</v>
      </c>
      <c r="I50" s="83">
        <v>7800</v>
      </c>
      <c r="J50" s="83">
        <v>7800</v>
      </c>
      <c r="K50" s="83">
        <v>7800</v>
      </c>
      <c r="L50" s="173">
        <v>8000</v>
      </c>
      <c r="M50" s="173">
        <v>8000</v>
      </c>
      <c r="N50" s="173">
        <v>8000</v>
      </c>
      <c r="O50" s="200"/>
      <c r="P50" s="200"/>
      <c r="Q50" s="200"/>
      <c r="R50" s="174">
        <v>8000</v>
      </c>
      <c r="S50" s="174">
        <v>8000</v>
      </c>
      <c r="T50" s="174">
        <v>8000</v>
      </c>
      <c r="U50" s="173">
        <v>7800</v>
      </c>
      <c r="V50" s="173">
        <v>7800</v>
      </c>
      <c r="W50" s="173">
        <v>7800</v>
      </c>
      <c r="X50" s="184">
        <v>7800</v>
      </c>
      <c r="Y50" s="184">
        <v>7800</v>
      </c>
      <c r="Z50" s="184">
        <v>7800</v>
      </c>
      <c r="AA50" s="83">
        <v>8000</v>
      </c>
      <c r="AB50" s="83">
        <v>8000</v>
      </c>
      <c r="AC50" s="83">
        <v>8000</v>
      </c>
      <c r="AD50" s="83">
        <v>7800</v>
      </c>
      <c r="AE50" s="83">
        <v>7800</v>
      </c>
      <c r="AF50" s="83">
        <v>7800</v>
      </c>
      <c r="AG50" s="83">
        <v>7800</v>
      </c>
      <c r="AH50" s="83">
        <v>7800</v>
      </c>
      <c r="AI50" s="83">
        <v>7800</v>
      </c>
      <c r="AJ50" s="184">
        <v>7800</v>
      </c>
      <c r="AK50" s="184">
        <v>7800</v>
      </c>
      <c r="AL50" s="184">
        <v>7800</v>
      </c>
      <c r="AM50" s="175">
        <v>9800</v>
      </c>
      <c r="AN50" s="175">
        <v>9800</v>
      </c>
      <c r="AO50" s="176">
        <v>9800</v>
      </c>
      <c r="AP50" s="177">
        <v>8300</v>
      </c>
      <c r="AQ50" s="177">
        <v>8300</v>
      </c>
      <c r="AR50" s="177">
        <v>8300</v>
      </c>
      <c r="AS50" s="177">
        <v>8500</v>
      </c>
      <c r="AT50" s="177">
        <v>8500</v>
      </c>
      <c r="AU50" s="177">
        <v>8500</v>
      </c>
      <c r="AV50" s="175">
        <v>9800</v>
      </c>
      <c r="AW50" s="175">
        <v>9800</v>
      </c>
      <c r="AX50" s="176">
        <v>9800</v>
      </c>
      <c r="AY50" s="175">
        <v>9800</v>
      </c>
      <c r="AZ50" s="175">
        <v>9800</v>
      </c>
      <c r="BA50" s="176">
        <v>9800</v>
      </c>
      <c r="BB50" s="177">
        <v>9800</v>
      </c>
      <c r="BC50" s="177">
        <v>9800</v>
      </c>
      <c r="BD50" s="177">
        <v>9800</v>
      </c>
      <c r="BE50" s="177">
        <v>10800</v>
      </c>
      <c r="BF50" s="177">
        <v>10800</v>
      </c>
      <c r="BG50" s="177">
        <v>10800</v>
      </c>
      <c r="BH50" s="215">
        <v>6300</v>
      </c>
      <c r="BI50" s="215">
        <v>6300</v>
      </c>
      <c r="BJ50" s="215">
        <v>6300</v>
      </c>
      <c r="BK50" s="198">
        <v>8100</v>
      </c>
      <c r="BL50" s="198">
        <v>8100</v>
      </c>
      <c r="BM50" s="198">
        <v>8100</v>
      </c>
    </row>
    <row r="51" spans="1:65">
      <c r="A51" s="107" t="s">
        <v>132</v>
      </c>
      <c r="B51" s="114" t="s">
        <v>225</v>
      </c>
      <c r="C51" s="83">
        <v>7100</v>
      </c>
      <c r="D51" s="83">
        <v>7100</v>
      </c>
      <c r="E51" s="83">
        <v>7100</v>
      </c>
      <c r="F51" s="83">
        <v>7200</v>
      </c>
      <c r="G51" s="83">
        <v>7200</v>
      </c>
      <c r="H51" s="83">
        <v>7200</v>
      </c>
      <c r="I51" s="83">
        <v>7800</v>
      </c>
      <c r="J51" s="83">
        <v>7800</v>
      </c>
      <c r="K51" s="83">
        <v>7800</v>
      </c>
      <c r="L51" s="173">
        <v>8000</v>
      </c>
      <c r="M51" s="173">
        <v>8000</v>
      </c>
      <c r="N51" s="173">
        <v>8000</v>
      </c>
      <c r="O51" s="200"/>
      <c r="P51" s="200"/>
      <c r="Q51" s="200"/>
      <c r="R51" s="174">
        <v>8000</v>
      </c>
      <c r="S51" s="174">
        <v>8000</v>
      </c>
      <c r="T51" s="174">
        <v>8000</v>
      </c>
      <c r="U51" s="173">
        <v>7800</v>
      </c>
      <c r="V51" s="173">
        <v>7800</v>
      </c>
      <c r="W51" s="173">
        <v>7800</v>
      </c>
      <c r="X51" s="184">
        <v>7800</v>
      </c>
      <c r="Y51" s="184">
        <v>7800</v>
      </c>
      <c r="Z51" s="184">
        <v>7800</v>
      </c>
      <c r="AA51" s="83">
        <v>8000</v>
      </c>
      <c r="AB51" s="83">
        <v>8000</v>
      </c>
      <c r="AC51" s="83">
        <v>8000</v>
      </c>
      <c r="AD51" s="83">
        <v>7800</v>
      </c>
      <c r="AE51" s="83">
        <v>7800</v>
      </c>
      <c r="AF51" s="83">
        <v>7800</v>
      </c>
      <c r="AG51" s="83">
        <v>7800</v>
      </c>
      <c r="AH51" s="83">
        <v>7800</v>
      </c>
      <c r="AI51" s="83">
        <v>7800</v>
      </c>
      <c r="AJ51" s="184">
        <v>7800</v>
      </c>
      <c r="AK51" s="184">
        <v>7800</v>
      </c>
      <c r="AL51" s="184">
        <v>7800</v>
      </c>
      <c r="AM51" s="175">
        <v>9800</v>
      </c>
      <c r="AN51" s="175">
        <v>9800</v>
      </c>
      <c r="AO51" s="176">
        <v>9800</v>
      </c>
      <c r="AP51" s="177">
        <v>8300</v>
      </c>
      <c r="AQ51" s="177">
        <v>8300</v>
      </c>
      <c r="AR51" s="177">
        <v>8300</v>
      </c>
      <c r="AS51" s="177">
        <v>8500</v>
      </c>
      <c r="AT51" s="177">
        <v>8500</v>
      </c>
      <c r="AU51" s="177">
        <v>8500</v>
      </c>
      <c r="AV51" s="175">
        <v>9800</v>
      </c>
      <c r="AW51" s="175">
        <v>9800</v>
      </c>
      <c r="AX51" s="176">
        <v>9800</v>
      </c>
      <c r="AY51" s="175">
        <v>9800</v>
      </c>
      <c r="AZ51" s="175">
        <v>9800</v>
      </c>
      <c r="BA51" s="176">
        <v>9800</v>
      </c>
      <c r="BB51" s="177">
        <v>9800</v>
      </c>
      <c r="BC51" s="177">
        <v>9800</v>
      </c>
      <c r="BD51" s="177">
        <v>9800</v>
      </c>
      <c r="BE51" s="177">
        <v>10800</v>
      </c>
      <c r="BF51" s="177">
        <v>10800</v>
      </c>
      <c r="BG51" s="177">
        <v>10800</v>
      </c>
      <c r="BH51" s="215">
        <v>6300</v>
      </c>
      <c r="BI51" s="215">
        <v>6300</v>
      </c>
      <c r="BJ51" s="215">
        <v>6300</v>
      </c>
      <c r="BK51" s="198">
        <v>8100</v>
      </c>
      <c r="BL51" s="198">
        <v>8100</v>
      </c>
      <c r="BM51" s="198">
        <v>8100</v>
      </c>
    </row>
    <row r="52" spans="1:65">
      <c r="A52" s="107" t="s">
        <v>133</v>
      </c>
      <c r="B52" s="114" t="s">
        <v>226</v>
      </c>
      <c r="C52" s="83">
        <v>7100</v>
      </c>
      <c r="D52" s="83">
        <v>7100</v>
      </c>
      <c r="E52" s="83">
        <v>7100</v>
      </c>
      <c r="F52" s="83">
        <v>7200</v>
      </c>
      <c r="G52" s="83">
        <v>7200</v>
      </c>
      <c r="H52" s="83">
        <v>7200</v>
      </c>
      <c r="I52" s="83">
        <v>7800</v>
      </c>
      <c r="J52" s="83">
        <v>7800</v>
      </c>
      <c r="K52" s="83">
        <v>7800</v>
      </c>
      <c r="L52" s="173">
        <v>8000</v>
      </c>
      <c r="M52" s="173">
        <v>8000</v>
      </c>
      <c r="N52" s="173">
        <v>8000</v>
      </c>
      <c r="O52" s="200"/>
      <c r="P52" s="200"/>
      <c r="Q52" s="200"/>
      <c r="R52" s="174">
        <v>8000</v>
      </c>
      <c r="S52" s="174">
        <v>8000</v>
      </c>
      <c r="T52" s="174">
        <v>8000</v>
      </c>
      <c r="U52" s="173">
        <v>7800</v>
      </c>
      <c r="V52" s="173">
        <v>7800</v>
      </c>
      <c r="W52" s="173">
        <v>7800</v>
      </c>
      <c r="X52" s="184">
        <v>7800</v>
      </c>
      <c r="Y52" s="184">
        <v>7800</v>
      </c>
      <c r="Z52" s="184">
        <v>7800</v>
      </c>
      <c r="AA52" s="83">
        <v>8000</v>
      </c>
      <c r="AB52" s="83">
        <v>8000</v>
      </c>
      <c r="AC52" s="83">
        <v>8000</v>
      </c>
      <c r="AD52" s="83">
        <v>7800</v>
      </c>
      <c r="AE52" s="83">
        <v>7800</v>
      </c>
      <c r="AF52" s="83">
        <v>7800</v>
      </c>
      <c r="AG52" s="83">
        <v>7800</v>
      </c>
      <c r="AH52" s="83">
        <v>7800</v>
      </c>
      <c r="AI52" s="83">
        <v>7800</v>
      </c>
      <c r="AJ52" s="184">
        <v>7800</v>
      </c>
      <c r="AK52" s="184">
        <v>7800</v>
      </c>
      <c r="AL52" s="184">
        <v>7800</v>
      </c>
      <c r="AM52" s="175">
        <v>9800</v>
      </c>
      <c r="AN52" s="175">
        <v>9800</v>
      </c>
      <c r="AO52" s="176">
        <v>9800</v>
      </c>
      <c r="AP52" s="177">
        <v>8300</v>
      </c>
      <c r="AQ52" s="177">
        <v>8300</v>
      </c>
      <c r="AR52" s="177">
        <v>8300</v>
      </c>
      <c r="AS52" s="177">
        <v>8500</v>
      </c>
      <c r="AT52" s="177">
        <v>8500</v>
      </c>
      <c r="AU52" s="177">
        <v>8500</v>
      </c>
      <c r="AV52" s="175">
        <v>9800</v>
      </c>
      <c r="AW52" s="175">
        <v>9800</v>
      </c>
      <c r="AX52" s="176">
        <v>9800</v>
      </c>
      <c r="AY52" s="175">
        <v>9800</v>
      </c>
      <c r="AZ52" s="175">
        <v>9800</v>
      </c>
      <c r="BA52" s="176">
        <v>9800</v>
      </c>
      <c r="BB52" s="177">
        <v>9800</v>
      </c>
      <c r="BC52" s="177">
        <v>9800</v>
      </c>
      <c r="BD52" s="177">
        <v>9800</v>
      </c>
      <c r="BE52" s="177">
        <v>10800</v>
      </c>
      <c r="BF52" s="177">
        <v>10800</v>
      </c>
      <c r="BG52" s="177">
        <v>10800</v>
      </c>
      <c r="BH52" s="215">
        <v>6300</v>
      </c>
      <c r="BI52" s="215">
        <v>6300</v>
      </c>
      <c r="BJ52" s="215">
        <v>6300</v>
      </c>
      <c r="BK52" s="198">
        <v>8100</v>
      </c>
      <c r="BL52" s="198">
        <v>8100</v>
      </c>
      <c r="BM52" s="198">
        <v>8100</v>
      </c>
    </row>
    <row r="53" spans="1:65">
      <c r="A53" s="107" t="s">
        <v>134</v>
      </c>
      <c r="B53" s="114" t="s">
        <v>227</v>
      </c>
      <c r="C53" s="83">
        <v>7100</v>
      </c>
      <c r="D53" s="83">
        <v>7100</v>
      </c>
      <c r="E53" s="83">
        <v>7100</v>
      </c>
      <c r="F53" s="83">
        <v>7200</v>
      </c>
      <c r="G53" s="83">
        <v>7200</v>
      </c>
      <c r="H53" s="83">
        <v>7200</v>
      </c>
      <c r="I53" s="83">
        <v>7800</v>
      </c>
      <c r="J53" s="83">
        <v>7800</v>
      </c>
      <c r="K53" s="83">
        <v>7800</v>
      </c>
      <c r="L53" s="173">
        <v>8000</v>
      </c>
      <c r="M53" s="173">
        <v>8000</v>
      </c>
      <c r="N53" s="173">
        <v>8000</v>
      </c>
      <c r="O53" s="200"/>
      <c r="P53" s="200"/>
      <c r="Q53" s="200"/>
      <c r="R53" s="174">
        <v>8000</v>
      </c>
      <c r="S53" s="174">
        <v>8000</v>
      </c>
      <c r="T53" s="174">
        <v>8000</v>
      </c>
      <c r="U53" s="173">
        <v>7800</v>
      </c>
      <c r="V53" s="173">
        <v>7800</v>
      </c>
      <c r="W53" s="173">
        <v>7800</v>
      </c>
      <c r="X53" s="184">
        <v>7800</v>
      </c>
      <c r="Y53" s="184">
        <v>7800</v>
      </c>
      <c r="Z53" s="184">
        <v>7800</v>
      </c>
      <c r="AA53" s="83">
        <v>8000</v>
      </c>
      <c r="AB53" s="83">
        <v>8000</v>
      </c>
      <c r="AC53" s="83">
        <v>8000</v>
      </c>
      <c r="AD53" s="83">
        <v>7800</v>
      </c>
      <c r="AE53" s="83">
        <v>7800</v>
      </c>
      <c r="AF53" s="83">
        <v>7800</v>
      </c>
      <c r="AG53" s="83">
        <v>7800</v>
      </c>
      <c r="AH53" s="83">
        <v>7800</v>
      </c>
      <c r="AI53" s="83">
        <v>7800</v>
      </c>
      <c r="AJ53" s="184">
        <v>7800</v>
      </c>
      <c r="AK53" s="184">
        <v>7800</v>
      </c>
      <c r="AL53" s="184">
        <v>7800</v>
      </c>
      <c r="AM53" s="175">
        <v>9800</v>
      </c>
      <c r="AN53" s="175">
        <v>9800</v>
      </c>
      <c r="AO53" s="176">
        <v>9800</v>
      </c>
      <c r="AP53" s="177">
        <v>8300</v>
      </c>
      <c r="AQ53" s="177">
        <v>8300</v>
      </c>
      <c r="AR53" s="177">
        <v>8300</v>
      </c>
      <c r="AS53" s="177">
        <v>8500</v>
      </c>
      <c r="AT53" s="177">
        <v>8500</v>
      </c>
      <c r="AU53" s="177">
        <v>8500</v>
      </c>
      <c r="AV53" s="175">
        <v>9800</v>
      </c>
      <c r="AW53" s="175">
        <v>9800</v>
      </c>
      <c r="AX53" s="176">
        <v>9800</v>
      </c>
      <c r="AY53" s="175">
        <v>9800</v>
      </c>
      <c r="AZ53" s="175">
        <v>9800</v>
      </c>
      <c r="BA53" s="176">
        <v>9800</v>
      </c>
      <c r="BB53" s="177">
        <v>9800</v>
      </c>
      <c r="BC53" s="177">
        <v>9800</v>
      </c>
      <c r="BD53" s="177">
        <v>9800</v>
      </c>
      <c r="BE53" s="177">
        <v>10800</v>
      </c>
      <c r="BF53" s="177">
        <v>10800</v>
      </c>
      <c r="BG53" s="177">
        <v>10800</v>
      </c>
      <c r="BH53" s="215">
        <v>6300</v>
      </c>
      <c r="BI53" s="215">
        <v>6300</v>
      </c>
      <c r="BJ53" s="215">
        <v>6300</v>
      </c>
      <c r="BK53" s="198">
        <v>8100</v>
      </c>
      <c r="BL53" s="198">
        <v>8100</v>
      </c>
      <c r="BM53" s="198">
        <v>8100</v>
      </c>
    </row>
    <row r="54" spans="1:65">
      <c r="A54" s="107" t="s">
        <v>135</v>
      </c>
      <c r="B54" s="114" t="s">
        <v>228</v>
      </c>
      <c r="C54" s="83">
        <v>7100</v>
      </c>
      <c r="D54" s="83">
        <v>7100</v>
      </c>
      <c r="E54" s="83">
        <v>7100</v>
      </c>
      <c r="F54" s="83">
        <v>7200</v>
      </c>
      <c r="G54" s="83">
        <v>7200</v>
      </c>
      <c r="H54" s="83">
        <v>7200</v>
      </c>
      <c r="I54" s="83">
        <v>7800</v>
      </c>
      <c r="J54" s="83">
        <v>7800</v>
      </c>
      <c r="K54" s="83">
        <v>7800</v>
      </c>
      <c r="L54" s="173">
        <v>8000</v>
      </c>
      <c r="M54" s="173">
        <v>8000</v>
      </c>
      <c r="N54" s="173">
        <v>8000</v>
      </c>
      <c r="O54" s="200"/>
      <c r="P54" s="200"/>
      <c r="Q54" s="200"/>
      <c r="R54" s="174">
        <v>8000</v>
      </c>
      <c r="S54" s="174">
        <v>8000</v>
      </c>
      <c r="T54" s="174">
        <v>8000</v>
      </c>
      <c r="U54" s="173">
        <v>7800</v>
      </c>
      <c r="V54" s="173">
        <v>7800</v>
      </c>
      <c r="W54" s="173">
        <v>7800</v>
      </c>
      <c r="X54" s="184">
        <v>7800</v>
      </c>
      <c r="Y54" s="184">
        <v>7800</v>
      </c>
      <c r="Z54" s="184">
        <v>7800</v>
      </c>
      <c r="AA54" s="83">
        <v>8000</v>
      </c>
      <c r="AB54" s="83">
        <v>8000</v>
      </c>
      <c r="AC54" s="83">
        <v>8000</v>
      </c>
      <c r="AD54" s="83">
        <v>7800</v>
      </c>
      <c r="AE54" s="83">
        <v>7800</v>
      </c>
      <c r="AF54" s="83">
        <v>7800</v>
      </c>
      <c r="AG54" s="83">
        <v>7800</v>
      </c>
      <c r="AH54" s="83">
        <v>7800</v>
      </c>
      <c r="AI54" s="83">
        <v>7800</v>
      </c>
      <c r="AJ54" s="184">
        <v>7800</v>
      </c>
      <c r="AK54" s="184">
        <v>7800</v>
      </c>
      <c r="AL54" s="184">
        <v>7800</v>
      </c>
      <c r="AM54" s="175">
        <v>9800</v>
      </c>
      <c r="AN54" s="175">
        <v>9800</v>
      </c>
      <c r="AO54" s="176">
        <v>9800</v>
      </c>
      <c r="AP54" s="177">
        <v>8300</v>
      </c>
      <c r="AQ54" s="177">
        <v>8300</v>
      </c>
      <c r="AR54" s="177">
        <v>8300</v>
      </c>
      <c r="AS54" s="177">
        <v>8500</v>
      </c>
      <c r="AT54" s="177">
        <v>8500</v>
      </c>
      <c r="AU54" s="177">
        <v>8500</v>
      </c>
      <c r="AV54" s="175">
        <v>9800</v>
      </c>
      <c r="AW54" s="175">
        <v>9800</v>
      </c>
      <c r="AX54" s="176">
        <v>9800</v>
      </c>
      <c r="AY54" s="175">
        <v>9800</v>
      </c>
      <c r="AZ54" s="175">
        <v>9800</v>
      </c>
      <c r="BA54" s="176">
        <v>9800</v>
      </c>
      <c r="BB54" s="177">
        <v>9800</v>
      </c>
      <c r="BC54" s="177">
        <v>9800</v>
      </c>
      <c r="BD54" s="177">
        <v>9800</v>
      </c>
      <c r="BE54" s="177">
        <v>10800</v>
      </c>
      <c r="BF54" s="177">
        <v>10800</v>
      </c>
      <c r="BG54" s="177">
        <v>10800</v>
      </c>
      <c r="BH54" s="215">
        <v>6300</v>
      </c>
      <c r="BI54" s="215">
        <v>6300</v>
      </c>
      <c r="BJ54" s="215">
        <v>6300</v>
      </c>
      <c r="BK54" s="198">
        <v>8100</v>
      </c>
      <c r="BL54" s="198">
        <v>8100</v>
      </c>
      <c r="BM54" s="198">
        <v>8100</v>
      </c>
    </row>
    <row r="55" spans="1:65">
      <c r="A55" s="107" t="s">
        <v>136</v>
      </c>
      <c r="B55" s="114" t="s">
        <v>229</v>
      </c>
      <c r="C55" s="83">
        <v>7100</v>
      </c>
      <c r="D55" s="83">
        <v>7100</v>
      </c>
      <c r="E55" s="83">
        <v>7100</v>
      </c>
      <c r="F55" s="83">
        <v>7200</v>
      </c>
      <c r="G55" s="83">
        <v>7200</v>
      </c>
      <c r="H55" s="83">
        <v>7200</v>
      </c>
      <c r="I55" s="83">
        <v>7800</v>
      </c>
      <c r="J55" s="83">
        <v>7800</v>
      </c>
      <c r="K55" s="83">
        <v>7800</v>
      </c>
      <c r="L55" s="173">
        <v>8000</v>
      </c>
      <c r="M55" s="173">
        <v>8000</v>
      </c>
      <c r="N55" s="173">
        <v>8000</v>
      </c>
      <c r="O55" s="200"/>
      <c r="P55" s="200"/>
      <c r="Q55" s="200"/>
      <c r="R55" s="174">
        <v>8000</v>
      </c>
      <c r="S55" s="174">
        <v>8000</v>
      </c>
      <c r="T55" s="174">
        <v>8000</v>
      </c>
      <c r="U55" s="173">
        <v>7800</v>
      </c>
      <c r="V55" s="173">
        <v>7800</v>
      </c>
      <c r="W55" s="173">
        <v>7800</v>
      </c>
      <c r="X55" s="184">
        <v>7800</v>
      </c>
      <c r="Y55" s="184">
        <v>7800</v>
      </c>
      <c r="Z55" s="184">
        <v>7800</v>
      </c>
      <c r="AA55" s="83">
        <v>8000</v>
      </c>
      <c r="AB55" s="83">
        <v>8000</v>
      </c>
      <c r="AC55" s="83">
        <v>8000</v>
      </c>
      <c r="AD55" s="83">
        <v>7800</v>
      </c>
      <c r="AE55" s="83">
        <v>7800</v>
      </c>
      <c r="AF55" s="83">
        <v>7800</v>
      </c>
      <c r="AG55" s="83">
        <v>7800</v>
      </c>
      <c r="AH55" s="83">
        <v>7800</v>
      </c>
      <c r="AI55" s="83">
        <v>7800</v>
      </c>
      <c r="AJ55" s="184">
        <v>7800</v>
      </c>
      <c r="AK55" s="184">
        <v>7800</v>
      </c>
      <c r="AL55" s="184">
        <v>7800</v>
      </c>
      <c r="AM55" s="175">
        <v>9800</v>
      </c>
      <c r="AN55" s="175">
        <v>9800</v>
      </c>
      <c r="AO55" s="176">
        <v>9800</v>
      </c>
      <c r="AP55" s="177">
        <v>8300</v>
      </c>
      <c r="AQ55" s="177">
        <v>8300</v>
      </c>
      <c r="AR55" s="177">
        <v>8300</v>
      </c>
      <c r="AS55" s="177">
        <v>8500</v>
      </c>
      <c r="AT55" s="177">
        <v>8500</v>
      </c>
      <c r="AU55" s="177">
        <v>8500</v>
      </c>
      <c r="AV55" s="175">
        <v>9800</v>
      </c>
      <c r="AW55" s="175">
        <v>9800</v>
      </c>
      <c r="AX55" s="176">
        <v>9800</v>
      </c>
      <c r="AY55" s="175">
        <v>9800</v>
      </c>
      <c r="AZ55" s="175">
        <v>9800</v>
      </c>
      <c r="BA55" s="176">
        <v>9800</v>
      </c>
      <c r="BB55" s="177">
        <v>9800</v>
      </c>
      <c r="BC55" s="177">
        <v>9800</v>
      </c>
      <c r="BD55" s="177">
        <v>9800</v>
      </c>
      <c r="BE55" s="177">
        <v>10800</v>
      </c>
      <c r="BF55" s="177">
        <v>10800</v>
      </c>
      <c r="BG55" s="177">
        <v>10800</v>
      </c>
      <c r="BH55" s="215">
        <v>6300</v>
      </c>
      <c r="BI55" s="215">
        <v>6300</v>
      </c>
      <c r="BJ55" s="215">
        <v>6300</v>
      </c>
      <c r="BK55" s="198">
        <v>8100</v>
      </c>
      <c r="BL55" s="198">
        <v>8100</v>
      </c>
      <c r="BM55" s="198">
        <v>8100</v>
      </c>
    </row>
    <row r="56" spans="1:65">
      <c r="A56" s="107" t="s">
        <v>137</v>
      </c>
      <c r="B56" s="114" t="s">
        <v>230</v>
      </c>
      <c r="C56" s="83">
        <v>7100</v>
      </c>
      <c r="D56" s="83">
        <v>7100</v>
      </c>
      <c r="E56" s="83">
        <v>7100</v>
      </c>
      <c r="F56" s="83">
        <v>7200</v>
      </c>
      <c r="G56" s="83">
        <v>7200</v>
      </c>
      <c r="H56" s="83">
        <v>7200</v>
      </c>
      <c r="I56" s="83">
        <v>7800</v>
      </c>
      <c r="J56" s="83">
        <v>7800</v>
      </c>
      <c r="K56" s="83">
        <v>7800</v>
      </c>
      <c r="L56" s="173">
        <v>8000</v>
      </c>
      <c r="M56" s="173">
        <v>8000</v>
      </c>
      <c r="N56" s="173">
        <v>8000</v>
      </c>
      <c r="O56" s="200"/>
      <c r="P56" s="200"/>
      <c r="Q56" s="200"/>
      <c r="R56" s="174">
        <v>8000</v>
      </c>
      <c r="S56" s="174">
        <v>8000</v>
      </c>
      <c r="T56" s="174">
        <v>8000</v>
      </c>
      <c r="U56" s="173">
        <v>7800</v>
      </c>
      <c r="V56" s="173">
        <v>7800</v>
      </c>
      <c r="W56" s="173">
        <v>7800</v>
      </c>
      <c r="X56" s="184">
        <v>7800</v>
      </c>
      <c r="Y56" s="184">
        <v>7800</v>
      </c>
      <c r="Z56" s="184">
        <v>7800</v>
      </c>
      <c r="AA56" s="83">
        <v>8000</v>
      </c>
      <c r="AB56" s="83">
        <v>8000</v>
      </c>
      <c r="AC56" s="83">
        <v>8000</v>
      </c>
      <c r="AD56" s="83">
        <v>7800</v>
      </c>
      <c r="AE56" s="83">
        <v>7800</v>
      </c>
      <c r="AF56" s="83">
        <v>7800</v>
      </c>
      <c r="AG56" s="83">
        <v>7800</v>
      </c>
      <c r="AH56" s="83">
        <v>7800</v>
      </c>
      <c r="AI56" s="83">
        <v>7800</v>
      </c>
      <c r="AJ56" s="184">
        <v>7800</v>
      </c>
      <c r="AK56" s="184">
        <v>7800</v>
      </c>
      <c r="AL56" s="184">
        <v>7800</v>
      </c>
      <c r="AM56" s="175">
        <v>9800</v>
      </c>
      <c r="AN56" s="175">
        <v>9800</v>
      </c>
      <c r="AO56" s="176">
        <v>9800</v>
      </c>
      <c r="AP56" s="177">
        <v>8300</v>
      </c>
      <c r="AQ56" s="177">
        <v>8300</v>
      </c>
      <c r="AR56" s="177">
        <v>8300</v>
      </c>
      <c r="AS56" s="177">
        <v>8500</v>
      </c>
      <c r="AT56" s="177">
        <v>8500</v>
      </c>
      <c r="AU56" s="177">
        <v>8500</v>
      </c>
      <c r="AV56" s="175">
        <v>9800</v>
      </c>
      <c r="AW56" s="175">
        <v>9800</v>
      </c>
      <c r="AX56" s="176">
        <v>9800</v>
      </c>
      <c r="AY56" s="175">
        <v>9800</v>
      </c>
      <c r="AZ56" s="175">
        <v>9800</v>
      </c>
      <c r="BA56" s="176">
        <v>9800</v>
      </c>
      <c r="BB56" s="177">
        <v>9800</v>
      </c>
      <c r="BC56" s="177">
        <v>9800</v>
      </c>
      <c r="BD56" s="177">
        <v>9800</v>
      </c>
      <c r="BE56" s="177">
        <v>10800</v>
      </c>
      <c r="BF56" s="177">
        <v>10800</v>
      </c>
      <c r="BG56" s="177">
        <v>10800</v>
      </c>
      <c r="BH56" s="215">
        <v>6300</v>
      </c>
      <c r="BI56" s="215">
        <v>6300</v>
      </c>
      <c r="BJ56" s="215">
        <v>6300</v>
      </c>
      <c r="BK56" s="198">
        <v>8100</v>
      </c>
      <c r="BL56" s="198">
        <v>8100</v>
      </c>
      <c r="BM56" s="198">
        <v>8100</v>
      </c>
    </row>
    <row r="57" spans="1:65">
      <c r="A57" s="107" t="s">
        <v>138</v>
      </c>
      <c r="B57" s="114" t="s">
        <v>157</v>
      </c>
      <c r="C57" s="83">
        <v>7100</v>
      </c>
      <c r="D57" s="83">
        <v>7100</v>
      </c>
      <c r="E57" s="83">
        <v>7100</v>
      </c>
      <c r="F57" s="83">
        <v>7200</v>
      </c>
      <c r="G57" s="83">
        <v>7200</v>
      </c>
      <c r="H57" s="83">
        <v>7200</v>
      </c>
      <c r="I57" s="83">
        <v>7800</v>
      </c>
      <c r="J57" s="83">
        <v>7800</v>
      </c>
      <c r="K57" s="83">
        <v>7800</v>
      </c>
      <c r="L57" s="173">
        <v>8000</v>
      </c>
      <c r="M57" s="173">
        <v>8000</v>
      </c>
      <c r="N57" s="173">
        <v>8000</v>
      </c>
      <c r="O57" s="200"/>
      <c r="P57" s="200"/>
      <c r="Q57" s="200"/>
      <c r="R57" s="174">
        <v>8000</v>
      </c>
      <c r="S57" s="174">
        <v>8000</v>
      </c>
      <c r="T57" s="174">
        <v>8000</v>
      </c>
      <c r="U57" s="173">
        <v>7800</v>
      </c>
      <c r="V57" s="173">
        <v>7800</v>
      </c>
      <c r="W57" s="173">
        <v>7800</v>
      </c>
      <c r="X57" s="184">
        <v>7800</v>
      </c>
      <c r="Y57" s="184">
        <v>7800</v>
      </c>
      <c r="Z57" s="184">
        <v>7800</v>
      </c>
      <c r="AA57" s="83">
        <v>8000</v>
      </c>
      <c r="AB57" s="83">
        <v>8000</v>
      </c>
      <c r="AC57" s="83">
        <v>8000</v>
      </c>
      <c r="AD57" s="83">
        <v>7800</v>
      </c>
      <c r="AE57" s="83">
        <v>7800</v>
      </c>
      <c r="AF57" s="83">
        <v>7800</v>
      </c>
      <c r="AG57" s="83">
        <v>7800</v>
      </c>
      <c r="AH57" s="83">
        <v>7800</v>
      </c>
      <c r="AI57" s="83">
        <v>7800</v>
      </c>
      <c r="AJ57" s="184">
        <v>7800</v>
      </c>
      <c r="AK57" s="184">
        <v>7800</v>
      </c>
      <c r="AL57" s="184">
        <v>7800</v>
      </c>
      <c r="AM57" s="175">
        <v>9800</v>
      </c>
      <c r="AN57" s="175">
        <v>9800</v>
      </c>
      <c r="AO57" s="176">
        <v>9800</v>
      </c>
      <c r="AP57" s="177">
        <v>8300</v>
      </c>
      <c r="AQ57" s="177">
        <v>8300</v>
      </c>
      <c r="AR57" s="177">
        <v>8300</v>
      </c>
      <c r="AS57" s="177">
        <v>8500</v>
      </c>
      <c r="AT57" s="177">
        <v>8500</v>
      </c>
      <c r="AU57" s="177">
        <v>8500</v>
      </c>
      <c r="AV57" s="175">
        <v>9800</v>
      </c>
      <c r="AW57" s="175">
        <v>9800</v>
      </c>
      <c r="AX57" s="176">
        <v>9800</v>
      </c>
      <c r="AY57" s="175">
        <v>9800</v>
      </c>
      <c r="AZ57" s="175">
        <v>9800</v>
      </c>
      <c r="BA57" s="176">
        <v>9800</v>
      </c>
      <c r="BB57" s="177">
        <v>9800</v>
      </c>
      <c r="BC57" s="177">
        <v>9800</v>
      </c>
      <c r="BD57" s="177">
        <v>9800</v>
      </c>
      <c r="BE57" s="177">
        <v>10800</v>
      </c>
      <c r="BF57" s="177">
        <v>10800</v>
      </c>
      <c r="BG57" s="177">
        <v>10800</v>
      </c>
      <c r="BH57" s="215">
        <v>6300</v>
      </c>
      <c r="BI57" s="215">
        <v>6300</v>
      </c>
      <c r="BJ57" s="215">
        <v>6300</v>
      </c>
      <c r="BK57" s="198">
        <v>8100</v>
      </c>
      <c r="BL57" s="198">
        <v>8100</v>
      </c>
      <c r="BM57" s="198">
        <v>8100</v>
      </c>
    </row>
    <row r="58" spans="1:65">
      <c r="A58" s="115" t="s">
        <v>139</v>
      </c>
      <c r="B58" s="116" t="s">
        <v>231</v>
      </c>
      <c r="C58" s="83">
        <v>7000</v>
      </c>
      <c r="D58" s="83">
        <v>7000</v>
      </c>
      <c r="E58" s="83">
        <v>7000</v>
      </c>
      <c r="F58" s="83">
        <v>7100</v>
      </c>
      <c r="G58" s="83">
        <v>7100</v>
      </c>
      <c r="H58" s="83">
        <v>7100</v>
      </c>
      <c r="I58" s="83">
        <v>7700</v>
      </c>
      <c r="J58" s="83">
        <v>7700</v>
      </c>
      <c r="K58" s="83">
        <v>7700</v>
      </c>
      <c r="L58" s="173">
        <v>7900</v>
      </c>
      <c r="M58" s="173">
        <v>7900</v>
      </c>
      <c r="N58" s="173">
        <v>7900</v>
      </c>
      <c r="O58" s="200"/>
      <c r="P58" s="200"/>
      <c r="Q58" s="200"/>
      <c r="R58" s="174">
        <v>7900</v>
      </c>
      <c r="S58" s="174">
        <v>7900</v>
      </c>
      <c r="T58" s="174">
        <v>7900</v>
      </c>
      <c r="U58" s="173">
        <v>7700</v>
      </c>
      <c r="V58" s="173">
        <v>7700</v>
      </c>
      <c r="W58" s="173">
        <v>7700</v>
      </c>
      <c r="X58" s="184">
        <v>7700</v>
      </c>
      <c r="Y58" s="184">
        <v>7700</v>
      </c>
      <c r="Z58" s="184">
        <v>7700</v>
      </c>
      <c r="AA58" s="83">
        <v>7900</v>
      </c>
      <c r="AB58" s="83">
        <v>7900</v>
      </c>
      <c r="AC58" s="83">
        <v>7900</v>
      </c>
      <c r="AD58" s="83">
        <v>7700</v>
      </c>
      <c r="AE58" s="83">
        <v>7700</v>
      </c>
      <c r="AF58" s="83">
        <v>7700</v>
      </c>
      <c r="AG58" s="83">
        <v>7700</v>
      </c>
      <c r="AH58" s="83">
        <v>7700</v>
      </c>
      <c r="AI58" s="83">
        <v>7700</v>
      </c>
      <c r="AJ58" s="184">
        <v>7700</v>
      </c>
      <c r="AK58" s="184">
        <v>7700</v>
      </c>
      <c r="AL58" s="184">
        <v>7700</v>
      </c>
      <c r="AM58" s="175">
        <v>9700</v>
      </c>
      <c r="AN58" s="175">
        <v>9700</v>
      </c>
      <c r="AO58" s="176">
        <v>9700</v>
      </c>
      <c r="AP58" s="177">
        <v>8200</v>
      </c>
      <c r="AQ58" s="177">
        <v>8200</v>
      </c>
      <c r="AR58" s="177">
        <v>8200</v>
      </c>
      <c r="AS58" s="177">
        <v>8400</v>
      </c>
      <c r="AT58" s="177">
        <v>8400</v>
      </c>
      <c r="AU58" s="177">
        <v>8400</v>
      </c>
      <c r="AV58" s="175">
        <v>9700</v>
      </c>
      <c r="AW58" s="175">
        <v>9700</v>
      </c>
      <c r="AX58" s="176">
        <v>9700</v>
      </c>
      <c r="AY58" s="175">
        <v>9700</v>
      </c>
      <c r="AZ58" s="175">
        <v>9700</v>
      </c>
      <c r="BA58" s="176">
        <v>9700</v>
      </c>
      <c r="BB58" s="177">
        <v>9700</v>
      </c>
      <c r="BC58" s="177">
        <v>9700</v>
      </c>
      <c r="BD58" s="177">
        <v>9700</v>
      </c>
      <c r="BE58" s="177">
        <v>10700</v>
      </c>
      <c r="BF58" s="177">
        <v>10700</v>
      </c>
      <c r="BG58" s="177">
        <v>10700</v>
      </c>
      <c r="BH58" s="215">
        <v>6200</v>
      </c>
      <c r="BI58" s="215">
        <v>6200</v>
      </c>
      <c r="BJ58" s="215">
        <v>6200</v>
      </c>
      <c r="BK58" s="198">
        <v>8000</v>
      </c>
      <c r="BL58" s="198">
        <v>8000</v>
      </c>
      <c r="BM58" s="198">
        <v>8000</v>
      </c>
    </row>
    <row r="59" spans="1:65">
      <c r="A59" s="115" t="s">
        <v>140</v>
      </c>
      <c r="B59" s="116" t="s">
        <v>232</v>
      </c>
      <c r="C59" s="83">
        <v>7000</v>
      </c>
      <c r="D59" s="83">
        <v>7000</v>
      </c>
      <c r="E59" s="83">
        <v>7000</v>
      </c>
      <c r="F59" s="83">
        <v>7100</v>
      </c>
      <c r="G59" s="83">
        <v>7100</v>
      </c>
      <c r="H59" s="83">
        <v>7100</v>
      </c>
      <c r="I59" s="83">
        <v>7700</v>
      </c>
      <c r="J59" s="83">
        <v>7700</v>
      </c>
      <c r="K59" s="83">
        <v>7700</v>
      </c>
      <c r="L59" s="173">
        <v>7900</v>
      </c>
      <c r="M59" s="173">
        <v>7900</v>
      </c>
      <c r="N59" s="173">
        <v>7900</v>
      </c>
      <c r="O59" s="200"/>
      <c r="P59" s="200"/>
      <c r="Q59" s="200"/>
      <c r="R59" s="174">
        <v>7900</v>
      </c>
      <c r="S59" s="174">
        <v>7900</v>
      </c>
      <c r="T59" s="174">
        <v>7900</v>
      </c>
      <c r="U59" s="173">
        <v>7700</v>
      </c>
      <c r="V59" s="173">
        <v>7700</v>
      </c>
      <c r="W59" s="173">
        <v>7700</v>
      </c>
      <c r="X59" s="184">
        <v>7700</v>
      </c>
      <c r="Y59" s="184">
        <v>7700</v>
      </c>
      <c r="Z59" s="184">
        <v>7700</v>
      </c>
      <c r="AA59" s="83">
        <v>7900</v>
      </c>
      <c r="AB59" s="83">
        <v>7900</v>
      </c>
      <c r="AC59" s="83">
        <v>7900</v>
      </c>
      <c r="AD59" s="83">
        <v>7700</v>
      </c>
      <c r="AE59" s="83">
        <v>7700</v>
      </c>
      <c r="AF59" s="83">
        <v>7700</v>
      </c>
      <c r="AG59" s="83">
        <v>7700</v>
      </c>
      <c r="AH59" s="83">
        <v>7700</v>
      </c>
      <c r="AI59" s="83">
        <v>7700</v>
      </c>
      <c r="AJ59" s="184">
        <v>7700</v>
      </c>
      <c r="AK59" s="184">
        <v>7700</v>
      </c>
      <c r="AL59" s="184">
        <v>7700</v>
      </c>
      <c r="AM59" s="175">
        <v>9700</v>
      </c>
      <c r="AN59" s="175">
        <v>9700</v>
      </c>
      <c r="AO59" s="176">
        <v>9700</v>
      </c>
      <c r="AP59" s="177">
        <v>8200</v>
      </c>
      <c r="AQ59" s="177">
        <v>8200</v>
      </c>
      <c r="AR59" s="177">
        <v>8200</v>
      </c>
      <c r="AS59" s="177">
        <v>8400</v>
      </c>
      <c r="AT59" s="177">
        <v>8400</v>
      </c>
      <c r="AU59" s="177">
        <v>8400</v>
      </c>
      <c r="AV59" s="175">
        <v>9700</v>
      </c>
      <c r="AW59" s="175">
        <v>9700</v>
      </c>
      <c r="AX59" s="176">
        <v>9700</v>
      </c>
      <c r="AY59" s="175">
        <v>9700</v>
      </c>
      <c r="AZ59" s="175">
        <v>9700</v>
      </c>
      <c r="BA59" s="176">
        <v>9700</v>
      </c>
      <c r="BB59" s="177">
        <v>9700</v>
      </c>
      <c r="BC59" s="177">
        <v>9700</v>
      </c>
      <c r="BD59" s="177">
        <v>9700</v>
      </c>
      <c r="BE59" s="177">
        <v>10700</v>
      </c>
      <c r="BF59" s="177">
        <v>10700</v>
      </c>
      <c r="BG59" s="177">
        <v>10700</v>
      </c>
      <c r="BH59" s="215">
        <v>6200</v>
      </c>
      <c r="BI59" s="215">
        <v>6200</v>
      </c>
      <c r="BJ59" s="215">
        <v>6200</v>
      </c>
      <c r="BK59" s="198">
        <v>8000</v>
      </c>
      <c r="BL59" s="198">
        <v>8000</v>
      </c>
      <c r="BM59" s="198">
        <v>8000</v>
      </c>
    </row>
    <row r="60" spans="1:65">
      <c r="A60" s="115" t="s">
        <v>141</v>
      </c>
      <c r="B60" s="116" t="s">
        <v>233</v>
      </c>
      <c r="C60" s="83">
        <v>7000</v>
      </c>
      <c r="D60" s="83">
        <v>7000</v>
      </c>
      <c r="E60" s="83">
        <v>7000</v>
      </c>
      <c r="F60" s="83">
        <v>7100</v>
      </c>
      <c r="G60" s="83">
        <v>7100</v>
      </c>
      <c r="H60" s="83">
        <v>7100</v>
      </c>
      <c r="I60" s="83">
        <v>7700</v>
      </c>
      <c r="J60" s="83">
        <v>7700</v>
      </c>
      <c r="K60" s="83">
        <v>7700</v>
      </c>
      <c r="L60" s="173">
        <v>7900</v>
      </c>
      <c r="M60" s="173">
        <v>7900</v>
      </c>
      <c r="N60" s="173">
        <v>7900</v>
      </c>
      <c r="O60" s="200"/>
      <c r="P60" s="200"/>
      <c r="Q60" s="200"/>
      <c r="R60" s="174">
        <v>7900</v>
      </c>
      <c r="S60" s="174">
        <v>7900</v>
      </c>
      <c r="T60" s="174">
        <v>7900</v>
      </c>
      <c r="U60" s="173">
        <v>7700</v>
      </c>
      <c r="V60" s="173">
        <v>7700</v>
      </c>
      <c r="W60" s="173">
        <v>7700</v>
      </c>
      <c r="X60" s="184">
        <v>7700</v>
      </c>
      <c r="Y60" s="184">
        <v>7700</v>
      </c>
      <c r="Z60" s="184">
        <v>7700</v>
      </c>
      <c r="AA60" s="83">
        <v>7900</v>
      </c>
      <c r="AB60" s="83">
        <v>7900</v>
      </c>
      <c r="AC60" s="83">
        <v>7900</v>
      </c>
      <c r="AD60" s="83">
        <v>7700</v>
      </c>
      <c r="AE60" s="83">
        <v>7700</v>
      </c>
      <c r="AF60" s="83">
        <v>7700</v>
      </c>
      <c r="AG60" s="83">
        <v>7700</v>
      </c>
      <c r="AH60" s="83">
        <v>7700</v>
      </c>
      <c r="AI60" s="83">
        <v>7700</v>
      </c>
      <c r="AJ60" s="184">
        <v>7700</v>
      </c>
      <c r="AK60" s="184">
        <v>7700</v>
      </c>
      <c r="AL60" s="184">
        <v>7700</v>
      </c>
      <c r="AM60" s="175">
        <v>9700</v>
      </c>
      <c r="AN60" s="175">
        <v>9700</v>
      </c>
      <c r="AO60" s="176">
        <v>9700</v>
      </c>
      <c r="AP60" s="177">
        <v>8200</v>
      </c>
      <c r="AQ60" s="177">
        <v>8200</v>
      </c>
      <c r="AR60" s="177">
        <v>8200</v>
      </c>
      <c r="AS60" s="177">
        <v>8400</v>
      </c>
      <c r="AT60" s="177">
        <v>8400</v>
      </c>
      <c r="AU60" s="177">
        <v>8400</v>
      </c>
      <c r="AV60" s="175">
        <v>9700</v>
      </c>
      <c r="AW60" s="175">
        <v>9700</v>
      </c>
      <c r="AX60" s="176">
        <v>9700</v>
      </c>
      <c r="AY60" s="175">
        <v>9700</v>
      </c>
      <c r="AZ60" s="175">
        <v>9700</v>
      </c>
      <c r="BA60" s="176">
        <v>9700</v>
      </c>
      <c r="BB60" s="177">
        <v>9700</v>
      </c>
      <c r="BC60" s="177">
        <v>9700</v>
      </c>
      <c r="BD60" s="177">
        <v>9700</v>
      </c>
      <c r="BE60" s="177">
        <v>10700</v>
      </c>
      <c r="BF60" s="177">
        <v>10700</v>
      </c>
      <c r="BG60" s="177">
        <v>10700</v>
      </c>
      <c r="BH60" s="215">
        <v>6200</v>
      </c>
      <c r="BI60" s="215">
        <v>6200</v>
      </c>
      <c r="BJ60" s="215">
        <v>6200</v>
      </c>
      <c r="BK60" s="198">
        <v>8000</v>
      </c>
      <c r="BL60" s="198">
        <v>8000</v>
      </c>
      <c r="BM60" s="198">
        <v>8000</v>
      </c>
    </row>
    <row r="61" spans="1:65">
      <c r="A61" s="115" t="s">
        <v>142</v>
      </c>
      <c r="B61" s="116" t="s">
        <v>234</v>
      </c>
      <c r="C61" s="83">
        <v>7000</v>
      </c>
      <c r="D61" s="83">
        <v>7000</v>
      </c>
      <c r="E61" s="83">
        <v>7000</v>
      </c>
      <c r="F61" s="83">
        <v>7100</v>
      </c>
      <c r="G61" s="83">
        <v>7100</v>
      </c>
      <c r="H61" s="83">
        <v>7100</v>
      </c>
      <c r="I61" s="83">
        <v>7700</v>
      </c>
      <c r="J61" s="83">
        <v>7700</v>
      </c>
      <c r="K61" s="83">
        <v>7700</v>
      </c>
      <c r="L61" s="173">
        <v>7900</v>
      </c>
      <c r="M61" s="173">
        <v>7900</v>
      </c>
      <c r="N61" s="173">
        <v>7900</v>
      </c>
      <c r="O61" s="200"/>
      <c r="P61" s="200"/>
      <c r="Q61" s="200"/>
      <c r="R61" s="174">
        <v>7900</v>
      </c>
      <c r="S61" s="174">
        <v>7900</v>
      </c>
      <c r="T61" s="174">
        <v>7900</v>
      </c>
      <c r="U61" s="173">
        <v>7700</v>
      </c>
      <c r="V61" s="173">
        <v>7700</v>
      </c>
      <c r="W61" s="173">
        <v>7700</v>
      </c>
      <c r="X61" s="184">
        <v>7700</v>
      </c>
      <c r="Y61" s="184">
        <v>7700</v>
      </c>
      <c r="Z61" s="184">
        <v>7700</v>
      </c>
      <c r="AA61" s="83">
        <v>7900</v>
      </c>
      <c r="AB61" s="83">
        <v>7900</v>
      </c>
      <c r="AC61" s="83">
        <v>7900</v>
      </c>
      <c r="AD61" s="83">
        <v>7700</v>
      </c>
      <c r="AE61" s="83">
        <v>7700</v>
      </c>
      <c r="AF61" s="83">
        <v>7700</v>
      </c>
      <c r="AG61" s="83">
        <v>7700</v>
      </c>
      <c r="AH61" s="83">
        <v>7700</v>
      </c>
      <c r="AI61" s="83">
        <v>7700</v>
      </c>
      <c r="AJ61" s="184">
        <v>7700</v>
      </c>
      <c r="AK61" s="184">
        <v>7700</v>
      </c>
      <c r="AL61" s="184">
        <v>7700</v>
      </c>
      <c r="AM61" s="175">
        <v>9700</v>
      </c>
      <c r="AN61" s="175">
        <v>9700</v>
      </c>
      <c r="AO61" s="176">
        <v>9700</v>
      </c>
      <c r="AP61" s="177">
        <v>8200</v>
      </c>
      <c r="AQ61" s="177">
        <v>8200</v>
      </c>
      <c r="AR61" s="177">
        <v>8200</v>
      </c>
      <c r="AS61" s="177">
        <v>8400</v>
      </c>
      <c r="AT61" s="177">
        <v>8400</v>
      </c>
      <c r="AU61" s="177">
        <v>8400</v>
      </c>
      <c r="AV61" s="175">
        <v>9700</v>
      </c>
      <c r="AW61" s="175">
        <v>9700</v>
      </c>
      <c r="AX61" s="176">
        <v>9700</v>
      </c>
      <c r="AY61" s="175">
        <v>9700</v>
      </c>
      <c r="AZ61" s="175">
        <v>9700</v>
      </c>
      <c r="BA61" s="176">
        <v>9700</v>
      </c>
      <c r="BB61" s="177">
        <v>9700</v>
      </c>
      <c r="BC61" s="177">
        <v>9700</v>
      </c>
      <c r="BD61" s="177">
        <v>9700</v>
      </c>
      <c r="BE61" s="177">
        <v>10700</v>
      </c>
      <c r="BF61" s="177">
        <v>10700</v>
      </c>
      <c r="BG61" s="177">
        <v>10700</v>
      </c>
      <c r="BH61" s="215">
        <v>6200</v>
      </c>
      <c r="BI61" s="215">
        <v>6200</v>
      </c>
      <c r="BJ61" s="215">
        <v>6200</v>
      </c>
      <c r="BK61" s="198">
        <v>8000</v>
      </c>
      <c r="BL61" s="198">
        <v>8000</v>
      </c>
      <c r="BM61" s="198">
        <v>8000</v>
      </c>
    </row>
    <row r="62" spans="1:65">
      <c r="A62" s="115" t="s">
        <v>143</v>
      </c>
      <c r="B62" s="116" t="s">
        <v>235</v>
      </c>
      <c r="C62" s="83">
        <v>7000</v>
      </c>
      <c r="D62" s="83">
        <v>7000</v>
      </c>
      <c r="E62" s="83">
        <v>7000</v>
      </c>
      <c r="F62" s="83">
        <v>7100</v>
      </c>
      <c r="G62" s="83">
        <v>7100</v>
      </c>
      <c r="H62" s="83">
        <v>7100</v>
      </c>
      <c r="I62" s="83">
        <v>7700</v>
      </c>
      <c r="J62" s="83">
        <v>7700</v>
      </c>
      <c r="K62" s="83">
        <v>7700</v>
      </c>
      <c r="L62" s="173">
        <v>7900</v>
      </c>
      <c r="M62" s="173">
        <v>7900</v>
      </c>
      <c r="N62" s="173">
        <v>7900</v>
      </c>
      <c r="O62" s="200"/>
      <c r="P62" s="200"/>
      <c r="Q62" s="200"/>
      <c r="R62" s="174">
        <v>7900</v>
      </c>
      <c r="S62" s="174">
        <v>7900</v>
      </c>
      <c r="T62" s="174">
        <v>7900</v>
      </c>
      <c r="U62" s="173">
        <v>7700</v>
      </c>
      <c r="V62" s="173">
        <v>7700</v>
      </c>
      <c r="W62" s="173">
        <v>7700</v>
      </c>
      <c r="X62" s="184">
        <v>7700</v>
      </c>
      <c r="Y62" s="184">
        <v>7700</v>
      </c>
      <c r="Z62" s="184">
        <v>7700</v>
      </c>
      <c r="AA62" s="83">
        <v>7900</v>
      </c>
      <c r="AB62" s="83">
        <v>7900</v>
      </c>
      <c r="AC62" s="83">
        <v>7900</v>
      </c>
      <c r="AD62" s="83">
        <v>7700</v>
      </c>
      <c r="AE62" s="83">
        <v>7700</v>
      </c>
      <c r="AF62" s="83">
        <v>7700</v>
      </c>
      <c r="AG62" s="83">
        <v>7700</v>
      </c>
      <c r="AH62" s="83">
        <v>7700</v>
      </c>
      <c r="AI62" s="83">
        <v>7700</v>
      </c>
      <c r="AJ62" s="184">
        <v>7700</v>
      </c>
      <c r="AK62" s="184">
        <v>7700</v>
      </c>
      <c r="AL62" s="184">
        <v>7700</v>
      </c>
      <c r="AM62" s="175">
        <v>9700</v>
      </c>
      <c r="AN62" s="175">
        <v>9700</v>
      </c>
      <c r="AO62" s="176">
        <v>9700</v>
      </c>
      <c r="AP62" s="177">
        <v>8200</v>
      </c>
      <c r="AQ62" s="177">
        <v>8200</v>
      </c>
      <c r="AR62" s="177">
        <v>8200</v>
      </c>
      <c r="AS62" s="177">
        <v>8400</v>
      </c>
      <c r="AT62" s="177">
        <v>8400</v>
      </c>
      <c r="AU62" s="177">
        <v>8400</v>
      </c>
      <c r="AV62" s="175">
        <v>9700</v>
      </c>
      <c r="AW62" s="175">
        <v>9700</v>
      </c>
      <c r="AX62" s="176">
        <v>9700</v>
      </c>
      <c r="AY62" s="175">
        <v>9700</v>
      </c>
      <c r="AZ62" s="175">
        <v>9700</v>
      </c>
      <c r="BA62" s="176">
        <v>9700</v>
      </c>
      <c r="BB62" s="177">
        <v>9700</v>
      </c>
      <c r="BC62" s="177">
        <v>9700</v>
      </c>
      <c r="BD62" s="177">
        <v>9700</v>
      </c>
      <c r="BE62" s="177">
        <v>10700</v>
      </c>
      <c r="BF62" s="177">
        <v>10700</v>
      </c>
      <c r="BG62" s="177">
        <v>10700</v>
      </c>
      <c r="BH62" s="215">
        <v>6200</v>
      </c>
      <c r="BI62" s="215">
        <v>6200</v>
      </c>
      <c r="BJ62" s="215">
        <v>6200</v>
      </c>
      <c r="BK62" s="198">
        <v>8000</v>
      </c>
      <c r="BL62" s="198">
        <v>8000</v>
      </c>
      <c r="BM62" s="198">
        <v>8000</v>
      </c>
    </row>
    <row r="63" spans="1:65">
      <c r="A63" s="115" t="s">
        <v>144</v>
      </c>
      <c r="B63" s="116" t="s">
        <v>236</v>
      </c>
      <c r="C63" s="83">
        <v>7000</v>
      </c>
      <c r="D63" s="83">
        <v>7000</v>
      </c>
      <c r="E63" s="83">
        <v>7000</v>
      </c>
      <c r="F63" s="83">
        <v>7100</v>
      </c>
      <c r="G63" s="83">
        <v>7100</v>
      </c>
      <c r="H63" s="83">
        <v>7100</v>
      </c>
      <c r="I63" s="83">
        <v>7700</v>
      </c>
      <c r="J63" s="83">
        <v>7700</v>
      </c>
      <c r="K63" s="83">
        <v>7700</v>
      </c>
      <c r="L63" s="173">
        <v>7900</v>
      </c>
      <c r="M63" s="173">
        <v>7900</v>
      </c>
      <c r="N63" s="173">
        <v>7900</v>
      </c>
      <c r="O63" s="200"/>
      <c r="P63" s="200"/>
      <c r="Q63" s="200"/>
      <c r="R63" s="174">
        <v>7900</v>
      </c>
      <c r="S63" s="174">
        <v>7900</v>
      </c>
      <c r="T63" s="174">
        <v>7900</v>
      </c>
      <c r="U63" s="173">
        <v>7700</v>
      </c>
      <c r="V63" s="173">
        <v>7700</v>
      </c>
      <c r="W63" s="173">
        <v>7700</v>
      </c>
      <c r="X63" s="184">
        <v>7700</v>
      </c>
      <c r="Y63" s="184">
        <v>7700</v>
      </c>
      <c r="Z63" s="184">
        <v>7700</v>
      </c>
      <c r="AA63" s="83">
        <v>7900</v>
      </c>
      <c r="AB63" s="83">
        <v>7900</v>
      </c>
      <c r="AC63" s="83">
        <v>7900</v>
      </c>
      <c r="AD63" s="83">
        <v>7700</v>
      </c>
      <c r="AE63" s="83">
        <v>7700</v>
      </c>
      <c r="AF63" s="83">
        <v>7700</v>
      </c>
      <c r="AG63" s="83">
        <v>7700</v>
      </c>
      <c r="AH63" s="83">
        <v>7700</v>
      </c>
      <c r="AI63" s="83">
        <v>7700</v>
      </c>
      <c r="AJ63" s="184">
        <v>7700</v>
      </c>
      <c r="AK63" s="184">
        <v>7700</v>
      </c>
      <c r="AL63" s="184">
        <v>7700</v>
      </c>
      <c r="AM63" s="175">
        <v>9700</v>
      </c>
      <c r="AN63" s="175">
        <v>9700</v>
      </c>
      <c r="AO63" s="176">
        <v>9700</v>
      </c>
      <c r="AP63" s="177">
        <v>8200</v>
      </c>
      <c r="AQ63" s="177">
        <v>8200</v>
      </c>
      <c r="AR63" s="177">
        <v>8200</v>
      </c>
      <c r="AS63" s="177">
        <v>8400</v>
      </c>
      <c r="AT63" s="177">
        <v>8400</v>
      </c>
      <c r="AU63" s="177">
        <v>8400</v>
      </c>
      <c r="AV63" s="175">
        <v>9700</v>
      </c>
      <c r="AW63" s="175">
        <v>9700</v>
      </c>
      <c r="AX63" s="176">
        <v>9700</v>
      </c>
      <c r="AY63" s="175">
        <v>9700</v>
      </c>
      <c r="AZ63" s="175">
        <v>9700</v>
      </c>
      <c r="BA63" s="176">
        <v>9700</v>
      </c>
      <c r="BB63" s="177">
        <v>9700</v>
      </c>
      <c r="BC63" s="177">
        <v>9700</v>
      </c>
      <c r="BD63" s="177">
        <v>9700</v>
      </c>
      <c r="BE63" s="177">
        <v>10700</v>
      </c>
      <c r="BF63" s="177">
        <v>10700</v>
      </c>
      <c r="BG63" s="177">
        <v>10700</v>
      </c>
      <c r="BH63" s="215">
        <v>6200</v>
      </c>
      <c r="BI63" s="215">
        <v>6200</v>
      </c>
      <c r="BJ63" s="215">
        <v>6200</v>
      </c>
      <c r="BK63" s="198">
        <v>8000</v>
      </c>
      <c r="BL63" s="198">
        <v>8000</v>
      </c>
      <c r="BM63" s="198">
        <v>8000</v>
      </c>
    </row>
    <row r="64" spans="1:65">
      <c r="A64" s="115" t="s">
        <v>145</v>
      </c>
      <c r="B64" s="116" t="s">
        <v>237</v>
      </c>
      <c r="C64" s="83">
        <v>7100</v>
      </c>
      <c r="D64" s="83">
        <v>7100</v>
      </c>
      <c r="E64" s="83">
        <v>7100</v>
      </c>
      <c r="F64" s="83">
        <v>7200</v>
      </c>
      <c r="G64" s="83">
        <v>7200</v>
      </c>
      <c r="H64" s="83">
        <v>7200</v>
      </c>
      <c r="I64" s="83">
        <v>7800</v>
      </c>
      <c r="J64" s="83">
        <v>7800</v>
      </c>
      <c r="K64" s="83">
        <v>7800</v>
      </c>
      <c r="L64" s="173">
        <v>8000</v>
      </c>
      <c r="M64" s="173">
        <v>8000</v>
      </c>
      <c r="N64" s="173">
        <v>8000</v>
      </c>
      <c r="O64" s="200"/>
      <c r="P64" s="200"/>
      <c r="Q64" s="200"/>
      <c r="R64" s="174">
        <v>8000</v>
      </c>
      <c r="S64" s="174">
        <v>8000</v>
      </c>
      <c r="T64" s="174">
        <v>8000</v>
      </c>
      <c r="U64" s="173">
        <v>7800</v>
      </c>
      <c r="V64" s="173">
        <v>7800</v>
      </c>
      <c r="W64" s="173">
        <v>7800</v>
      </c>
      <c r="X64" s="184">
        <v>7800</v>
      </c>
      <c r="Y64" s="184">
        <v>7800</v>
      </c>
      <c r="Z64" s="184">
        <v>7800</v>
      </c>
      <c r="AA64" s="83">
        <v>8000</v>
      </c>
      <c r="AB64" s="83">
        <v>8000</v>
      </c>
      <c r="AC64" s="83">
        <v>8000</v>
      </c>
      <c r="AD64" s="83">
        <v>7800</v>
      </c>
      <c r="AE64" s="83">
        <v>7800</v>
      </c>
      <c r="AF64" s="83">
        <v>7800</v>
      </c>
      <c r="AG64" s="83">
        <v>7800</v>
      </c>
      <c r="AH64" s="83">
        <v>7800</v>
      </c>
      <c r="AI64" s="83">
        <v>7800</v>
      </c>
      <c r="AJ64" s="184">
        <v>7800</v>
      </c>
      <c r="AK64" s="184">
        <v>7800</v>
      </c>
      <c r="AL64" s="184">
        <v>7800</v>
      </c>
      <c r="AM64" s="175">
        <v>9800</v>
      </c>
      <c r="AN64" s="175">
        <v>9800</v>
      </c>
      <c r="AO64" s="176">
        <v>9800</v>
      </c>
      <c r="AP64" s="177">
        <v>8300</v>
      </c>
      <c r="AQ64" s="177">
        <v>8300</v>
      </c>
      <c r="AR64" s="177">
        <v>8300</v>
      </c>
      <c r="AS64" s="177">
        <v>8500</v>
      </c>
      <c r="AT64" s="177">
        <v>8500</v>
      </c>
      <c r="AU64" s="177">
        <v>8500</v>
      </c>
      <c r="AV64" s="175">
        <v>9800</v>
      </c>
      <c r="AW64" s="175">
        <v>9800</v>
      </c>
      <c r="AX64" s="176">
        <v>9800</v>
      </c>
      <c r="AY64" s="175">
        <v>9800</v>
      </c>
      <c r="AZ64" s="175">
        <v>9800</v>
      </c>
      <c r="BA64" s="176">
        <v>9800</v>
      </c>
      <c r="BB64" s="177">
        <v>9800</v>
      </c>
      <c r="BC64" s="177">
        <v>9800</v>
      </c>
      <c r="BD64" s="177">
        <v>9800</v>
      </c>
      <c r="BE64" s="177">
        <v>10800</v>
      </c>
      <c r="BF64" s="177">
        <v>10800</v>
      </c>
      <c r="BG64" s="177">
        <v>10800</v>
      </c>
      <c r="BH64" s="215">
        <v>6300</v>
      </c>
      <c r="BI64" s="215">
        <v>6300</v>
      </c>
      <c r="BJ64" s="215">
        <v>6300</v>
      </c>
      <c r="BK64" s="198">
        <v>8100</v>
      </c>
      <c r="BL64" s="198">
        <v>8100</v>
      </c>
      <c r="BM64" s="198">
        <v>8100</v>
      </c>
    </row>
    <row r="65" spans="1:65">
      <c r="A65" s="115" t="s">
        <v>146</v>
      </c>
      <c r="B65" s="116" t="s">
        <v>238</v>
      </c>
      <c r="C65" s="83">
        <v>7100</v>
      </c>
      <c r="D65" s="83">
        <v>7100</v>
      </c>
      <c r="E65" s="83">
        <v>7100</v>
      </c>
      <c r="F65" s="83">
        <v>7200</v>
      </c>
      <c r="G65" s="83">
        <v>7200</v>
      </c>
      <c r="H65" s="83">
        <v>7200</v>
      </c>
      <c r="I65" s="83">
        <v>7800</v>
      </c>
      <c r="J65" s="83">
        <v>7800</v>
      </c>
      <c r="K65" s="83">
        <v>7800</v>
      </c>
      <c r="L65" s="173">
        <v>8000</v>
      </c>
      <c r="M65" s="173">
        <v>8000</v>
      </c>
      <c r="N65" s="173">
        <v>8000</v>
      </c>
      <c r="O65" s="200"/>
      <c r="P65" s="200"/>
      <c r="Q65" s="200"/>
      <c r="R65" s="174">
        <v>8000</v>
      </c>
      <c r="S65" s="174">
        <v>8000</v>
      </c>
      <c r="T65" s="174">
        <v>8000</v>
      </c>
      <c r="U65" s="173">
        <v>7800</v>
      </c>
      <c r="V65" s="173">
        <v>7800</v>
      </c>
      <c r="W65" s="173">
        <v>7800</v>
      </c>
      <c r="X65" s="184">
        <v>7800</v>
      </c>
      <c r="Y65" s="184">
        <v>7800</v>
      </c>
      <c r="Z65" s="184">
        <v>7800</v>
      </c>
      <c r="AA65" s="83">
        <v>8000</v>
      </c>
      <c r="AB65" s="83">
        <v>8000</v>
      </c>
      <c r="AC65" s="83">
        <v>8000</v>
      </c>
      <c r="AD65" s="83">
        <v>7800</v>
      </c>
      <c r="AE65" s="83">
        <v>7800</v>
      </c>
      <c r="AF65" s="83">
        <v>7800</v>
      </c>
      <c r="AG65" s="83">
        <v>7800</v>
      </c>
      <c r="AH65" s="83">
        <v>7800</v>
      </c>
      <c r="AI65" s="83">
        <v>7800</v>
      </c>
      <c r="AJ65" s="184">
        <v>7800</v>
      </c>
      <c r="AK65" s="184">
        <v>7800</v>
      </c>
      <c r="AL65" s="184">
        <v>7800</v>
      </c>
      <c r="AM65" s="175">
        <v>9800</v>
      </c>
      <c r="AN65" s="175">
        <v>9800</v>
      </c>
      <c r="AO65" s="176">
        <v>9800</v>
      </c>
      <c r="AP65" s="177">
        <v>8300</v>
      </c>
      <c r="AQ65" s="177">
        <v>8300</v>
      </c>
      <c r="AR65" s="177">
        <v>8300</v>
      </c>
      <c r="AS65" s="177">
        <v>8500</v>
      </c>
      <c r="AT65" s="177">
        <v>8500</v>
      </c>
      <c r="AU65" s="177">
        <v>8500</v>
      </c>
      <c r="AV65" s="175">
        <v>9800</v>
      </c>
      <c r="AW65" s="175">
        <v>9800</v>
      </c>
      <c r="AX65" s="176">
        <v>9800</v>
      </c>
      <c r="AY65" s="175">
        <v>9800</v>
      </c>
      <c r="AZ65" s="175">
        <v>9800</v>
      </c>
      <c r="BA65" s="176">
        <v>9800</v>
      </c>
      <c r="BB65" s="177">
        <v>9800</v>
      </c>
      <c r="BC65" s="177">
        <v>9800</v>
      </c>
      <c r="BD65" s="177">
        <v>9800</v>
      </c>
      <c r="BE65" s="177">
        <v>10800</v>
      </c>
      <c r="BF65" s="177">
        <v>10800</v>
      </c>
      <c r="BG65" s="177">
        <v>10800</v>
      </c>
      <c r="BH65" s="215">
        <v>6300</v>
      </c>
      <c r="BI65" s="215">
        <v>6300</v>
      </c>
      <c r="BJ65" s="215">
        <v>6300</v>
      </c>
      <c r="BK65" s="198">
        <v>8100</v>
      </c>
      <c r="BL65" s="198">
        <v>8100</v>
      </c>
      <c r="BM65" s="198">
        <v>8100</v>
      </c>
    </row>
    <row r="66" spans="1:65">
      <c r="A66" s="115" t="s">
        <v>147</v>
      </c>
      <c r="B66" s="116" t="s">
        <v>239</v>
      </c>
      <c r="C66" s="83">
        <v>7200</v>
      </c>
      <c r="D66" s="83">
        <v>7200</v>
      </c>
      <c r="E66" s="83">
        <v>7200</v>
      </c>
      <c r="F66" s="83">
        <v>7300</v>
      </c>
      <c r="G66" s="83">
        <v>7300</v>
      </c>
      <c r="H66" s="83">
        <v>7300</v>
      </c>
      <c r="I66" s="83">
        <v>7900</v>
      </c>
      <c r="J66" s="83">
        <v>7900</v>
      </c>
      <c r="K66" s="83">
        <v>7900</v>
      </c>
      <c r="L66" s="173">
        <v>8100</v>
      </c>
      <c r="M66" s="173">
        <v>8100</v>
      </c>
      <c r="N66" s="173">
        <v>8100</v>
      </c>
      <c r="O66" s="200"/>
      <c r="P66" s="200"/>
      <c r="Q66" s="200"/>
      <c r="R66" s="174">
        <v>8100</v>
      </c>
      <c r="S66" s="174">
        <v>8100</v>
      </c>
      <c r="T66" s="174">
        <v>8100</v>
      </c>
      <c r="U66" s="173">
        <v>7900</v>
      </c>
      <c r="V66" s="173">
        <v>7900</v>
      </c>
      <c r="W66" s="173">
        <v>7900</v>
      </c>
      <c r="X66" s="184">
        <v>7900</v>
      </c>
      <c r="Y66" s="184">
        <v>7900</v>
      </c>
      <c r="Z66" s="184">
        <v>7900</v>
      </c>
      <c r="AA66" s="83">
        <v>8100</v>
      </c>
      <c r="AB66" s="83">
        <v>8100</v>
      </c>
      <c r="AC66" s="83">
        <v>8100</v>
      </c>
      <c r="AD66" s="83">
        <v>7900</v>
      </c>
      <c r="AE66" s="83">
        <v>7900</v>
      </c>
      <c r="AF66" s="83">
        <v>7900</v>
      </c>
      <c r="AG66" s="83">
        <v>7900</v>
      </c>
      <c r="AH66" s="83">
        <v>7900</v>
      </c>
      <c r="AI66" s="83">
        <v>7900</v>
      </c>
      <c r="AJ66" s="184">
        <v>7900</v>
      </c>
      <c r="AK66" s="184">
        <v>7900</v>
      </c>
      <c r="AL66" s="184">
        <v>7900</v>
      </c>
      <c r="AM66" s="175">
        <v>9900</v>
      </c>
      <c r="AN66" s="175">
        <v>9900</v>
      </c>
      <c r="AO66" s="176">
        <v>9900</v>
      </c>
      <c r="AP66" s="177">
        <v>8400</v>
      </c>
      <c r="AQ66" s="177">
        <v>8400</v>
      </c>
      <c r="AR66" s="177">
        <v>8400</v>
      </c>
      <c r="AS66" s="177">
        <v>8600</v>
      </c>
      <c r="AT66" s="177">
        <v>8600</v>
      </c>
      <c r="AU66" s="177">
        <v>8600</v>
      </c>
      <c r="AV66" s="175">
        <v>9900</v>
      </c>
      <c r="AW66" s="175">
        <v>9900</v>
      </c>
      <c r="AX66" s="176">
        <v>9900</v>
      </c>
      <c r="AY66" s="175">
        <v>9900</v>
      </c>
      <c r="AZ66" s="175">
        <v>9900</v>
      </c>
      <c r="BA66" s="176">
        <v>9900</v>
      </c>
      <c r="BB66" s="177">
        <v>9900</v>
      </c>
      <c r="BC66" s="177">
        <v>9900</v>
      </c>
      <c r="BD66" s="177">
        <v>9900</v>
      </c>
      <c r="BE66" s="177">
        <v>10900</v>
      </c>
      <c r="BF66" s="177">
        <v>10900</v>
      </c>
      <c r="BG66" s="177">
        <v>10900</v>
      </c>
      <c r="BH66" s="215">
        <v>6400</v>
      </c>
      <c r="BI66" s="215">
        <v>6400</v>
      </c>
      <c r="BJ66" s="215">
        <v>6400</v>
      </c>
      <c r="BK66" s="198">
        <v>8200</v>
      </c>
      <c r="BL66" s="198">
        <v>8200</v>
      </c>
      <c r="BM66" s="198">
        <v>8200</v>
      </c>
    </row>
    <row r="67" spans="1:65">
      <c r="A67" s="115" t="s">
        <v>148</v>
      </c>
      <c r="B67" s="116" t="s">
        <v>149</v>
      </c>
      <c r="C67" s="83">
        <v>7200</v>
      </c>
      <c r="D67" s="83">
        <v>7200</v>
      </c>
      <c r="E67" s="83">
        <v>7200</v>
      </c>
      <c r="F67" s="83">
        <v>7300</v>
      </c>
      <c r="G67" s="83">
        <v>7300</v>
      </c>
      <c r="H67" s="83">
        <v>7300</v>
      </c>
      <c r="I67" s="83">
        <v>7900</v>
      </c>
      <c r="J67" s="83">
        <v>7900</v>
      </c>
      <c r="K67" s="83">
        <v>7900</v>
      </c>
      <c r="L67" s="173">
        <v>8100</v>
      </c>
      <c r="M67" s="173">
        <v>8100</v>
      </c>
      <c r="N67" s="173">
        <v>8100</v>
      </c>
      <c r="O67" s="200"/>
      <c r="P67" s="200"/>
      <c r="Q67" s="200"/>
      <c r="R67" s="174">
        <v>8100</v>
      </c>
      <c r="S67" s="174">
        <v>8100</v>
      </c>
      <c r="T67" s="174">
        <v>8100</v>
      </c>
      <c r="U67" s="173">
        <v>7900</v>
      </c>
      <c r="V67" s="173">
        <v>7900</v>
      </c>
      <c r="W67" s="173">
        <v>7900</v>
      </c>
      <c r="X67" s="184">
        <v>7900</v>
      </c>
      <c r="Y67" s="184">
        <v>7900</v>
      </c>
      <c r="Z67" s="184">
        <v>7900</v>
      </c>
      <c r="AA67" s="83">
        <v>8100</v>
      </c>
      <c r="AB67" s="83">
        <v>8100</v>
      </c>
      <c r="AC67" s="83">
        <v>8100</v>
      </c>
      <c r="AD67" s="83">
        <v>7900</v>
      </c>
      <c r="AE67" s="83">
        <v>7900</v>
      </c>
      <c r="AF67" s="83">
        <v>7900</v>
      </c>
      <c r="AG67" s="83">
        <v>7900</v>
      </c>
      <c r="AH67" s="83">
        <v>7900</v>
      </c>
      <c r="AI67" s="83">
        <v>7900</v>
      </c>
      <c r="AJ67" s="184">
        <v>7900</v>
      </c>
      <c r="AK67" s="184">
        <v>7900</v>
      </c>
      <c r="AL67" s="184">
        <v>7900</v>
      </c>
      <c r="AM67" s="175">
        <v>9900</v>
      </c>
      <c r="AN67" s="175">
        <v>9900</v>
      </c>
      <c r="AO67" s="176">
        <v>9900</v>
      </c>
      <c r="AP67" s="177">
        <v>8400</v>
      </c>
      <c r="AQ67" s="177">
        <v>8400</v>
      </c>
      <c r="AR67" s="177">
        <v>8400</v>
      </c>
      <c r="AS67" s="177">
        <v>8600</v>
      </c>
      <c r="AT67" s="177">
        <v>8600</v>
      </c>
      <c r="AU67" s="177">
        <v>8600</v>
      </c>
      <c r="AV67" s="175">
        <v>9900</v>
      </c>
      <c r="AW67" s="175">
        <v>9900</v>
      </c>
      <c r="AX67" s="176">
        <v>9900</v>
      </c>
      <c r="AY67" s="175">
        <v>9900</v>
      </c>
      <c r="AZ67" s="175">
        <v>9900</v>
      </c>
      <c r="BA67" s="176">
        <v>9900</v>
      </c>
      <c r="BB67" s="177">
        <v>9900</v>
      </c>
      <c r="BC67" s="177">
        <v>9900</v>
      </c>
      <c r="BD67" s="177">
        <v>9900</v>
      </c>
      <c r="BE67" s="177">
        <v>10900</v>
      </c>
      <c r="BF67" s="177">
        <v>10900</v>
      </c>
      <c r="BG67" s="177">
        <v>10900</v>
      </c>
      <c r="BH67" s="215">
        <v>6400</v>
      </c>
      <c r="BI67" s="215">
        <v>6400</v>
      </c>
      <c r="BJ67" s="215">
        <v>6400</v>
      </c>
      <c r="BK67" s="198">
        <v>8200</v>
      </c>
      <c r="BL67" s="198">
        <v>8200</v>
      </c>
      <c r="BM67" s="198">
        <v>8200</v>
      </c>
    </row>
    <row r="68" spans="1:65">
      <c r="A68" s="115" t="s">
        <v>171</v>
      </c>
      <c r="B68" s="116" t="s">
        <v>172</v>
      </c>
      <c r="C68" s="83">
        <v>7015</v>
      </c>
      <c r="D68" s="83">
        <v>7100</v>
      </c>
      <c r="E68" s="83">
        <v>7100</v>
      </c>
      <c r="F68" s="83">
        <v>7115</v>
      </c>
      <c r="G68" s="83">
        <v>7200</v>
      </c>
      <c r="H68" s="83">
        <v>7200</v>
      </c>
      <c r="I68" s="83">
        <v>7715</v>
      </c>
      <c r="J68" s="83">
        <v>7800</v>
      </c>
      <c r="K68" s="83">
        <v>7800</v>
      </c>
      <c r="L68" s="173">
        <v>7915</v>
      </c>
      <c r="M68" s="173">
        <v>8000</v>
      </c>
      <c r="N68" s="173">
        <v>8000</v>
      </c>
      <c r="O68" s="200"/>
      <c r="P68" s="200"/>
      <c r="Q68" s="200"/>
      <c r="R68" s="174">
        <v>7915</v>
      </c>
      <c r="S68" s="174">
        <v>8000</v>
      </c>
      <c r="T68" s="174">
        <v>8000</v>
      </c>
      <c r="U68" s="173">
        <v>7715</v>
      </c>
      <c r="V68" s="173">
        <v>7800</v>
      </c>
      <c r="W68" s="173">
        <v>7800</v>
      </c>
      <c r="X68" s="184">
        <v>7715</v>
      </c>
      <c r="Y68" s="184">
        <v>7800</v>
      </c>
      <c r="Z68" s="184">
        <v>7800</v>
      </c>
      <c r="AA68" s="83">
        <v>7915</v>
      </c>
      <c r="AB68" s="83">
        <v>8000</v>
      </c>
      <c r="AC68" s="83">
        <v>8000</v>
      </c>
      <c r="AD68" s="83">
        <v>7715</v>
      </c>
      <c r="AE68" s="83">
        <v>7800</v>
      </c>
      <c r="AF68" s="83">
        <v>7800</v>
      </c>
      <c r="AG68" s="83">
        <v>7715</v>
      </c>
      <c r="AH68" s="83">
        <v>7800</v>
      </c>
      <c r="AI68" s="83">
        <v>7800</v>
      </c>
      <c r="AJ68" s="184">
        <v>7715</v>
      </c>
      <c r="AK68" s="184">
        <v>7800</v>
      </c>
      <c r="AL68" s="184">
        <v>7800</v>
      </c>
      <c r="AM68" s="175">
        <v>9715</v>
      </c>
      <c r="AN68" s="175">
        <v>9800</v>
      </c>
      <c r="AO68" s="176">
        <v>9800</v>
      </c>
      <c r="AP68" s="177">
        <v>8215</v>
      </c>
      <c r="AQ68" s="177">
        <v>8300</v>
      </c>
      <c r="AR68" s="177">
        <v>8300</v>
      </c>
      <c r="AS68" s="177">
        <v>8415</v>
      </c>
      <c r="AT68" s="177">
        <v>8500</v>
      </c>
      <c r="AU68" s="177">
        <v>8500</v>
      </c>
      <c r="AV68" s="175">
        <v>9715</v>
      </c>
      <c r="AW68" s="175">
        <v>9800</v>
      </c>
      <c r="AX68" s="176">
        <v>9800</v>
      </c>
      <c r="AY68" s="175">
        <v>9715</v>
      </c>
      <c r="AZ68" s="175">
        <v>9800</v>
      </c>
      <c r="BA68" s="176">
        <v>9800</v>
      </c>
      <c r="BB68" s="177">
        <v>9715</v>
      </c>
      <c r="BC68" s="177">
        <v>9800</v>
      </c>
      <c r="BD68" s="177">
        <v>9800</v>
      </c>
      <c r="BE68" s="177">
        <v>10715</v>
      </c>
      <c r="BF68" s="177">
        <v>10800</v>
      </c>
      <c r="BG68" s="177">
        <v>10800</v>
      </c>
      <c r="BH68" s="215">
        <v>6215</v>
      </c>
      <c r="BI68" s="215">
        <v>6300</v>
      </c>
      <c r="BJ68" s="215">
        <v>6300</v>
      </c>
      <c r="BK68" s="198">
        <v>8015</v>
      </c>
      <c r="BL68" s="198">
        <v>8100</v>
      </c>
      <c r="BM68" s="198">
        <v>8100</v>
      </c>
    </row>
    <row r="69" spans="1:65">
      <c r="A69" s="113" t="s">
        <v>67</v>
      </c>
      <c r="B69" s="117" t="s">
        <v>68</v>
      </c>
      <c r="C69" s="83">
        <v>7000</v>
      </c>
      <c r="D69" s="83">
        <v>7000</v>
      </c>
      <c r="E69" s="83">
        <v>7000</v>
      </c>
      <c r="F69" s="83">
        <v>7100</v>
      </c>
      <c r="G69" s="83">
        <v>7100</v>
      </c>
      <c r="H69" s="83">
        <v>7100</v>
      </c>
      <c r="I69" s="83">
        <v>7700</v>
      </c>
      <c r="J69" s="83">
        <v>7700</v>
      </c>
      <c r="K69" s="83">
        <v>7700</v>
      </c>
      <c r="L69" s="173">
        <v>7900</v>
      </c>
      <c r="M69" s="173">
        <v>7900</v>
      </c>
      <c r="N69" s="173">
        <v>7900</v>
      </c>
      <c r="O69" s="200"/>
      <c r="P69" s="200"/>
      <c r="Q69" s="200"/>
      <c r="R69" s="174">
        <v>7900</v>
      </c>
      <c r="S69" s="174">
        <v>7900</v>
      </c>
      <c r="T69" s="174">
        <v>7900</v>
      </c>
      <c r="U69" s="173">
        <v>7700</v>
      </c>
      <c r="V69" s="173">
        <v>7700</v>
      </c>
      <c r="W69" s="173">
        <v>7700</v>
      </c>
      <c r="X69" s="184">
        <v>7700</v>
      </c>
      <c r="Y69" s="184">
        <v>7700</v>
      </c>
      <c r="Z69" s="184">
        <v>7700</v>
      </c>
      <c r="AA69" s="83">
        <v>7900</v>
      </c>
      <c r="AB69" s="83">
        <v>7900</v>
      </c>
      <c r="AC69" s="83">
        <v>7900</v>
      </c>
      <c r="AD69" s="83">
        <v>7700</v>
      </c>
      <c r="AE69" s="83">
        <v>7700</v>
      </c>
      <c r="AF69" s="83">
        <v>7700</v>
      </c>
      <c r="AG69" s="83">
        <v>7700</v>
      </c>
      <c r="AH69" s="83">
        <v>7700</v>
      </c>
      <c r="AI69" s="83">
        <v>7700</v>
      </c>
      <c r="AJ69" s="184">
        <v>7700</v>
      </c>
      <c r="AK69" s="184">
        <v>7700</v>
      </c>
      <c r="AL69" s="184">
        <v>7700</v>
      </c>
      <c r="AM69" s="175">
        <v>9700</v>
      </c>
      <c r="AN69" s="175">
        <v>9700</v>
      </c>
      <c r="AO69" s="176">
        <v>9700</v>
      </c>
      <c r="AP69" s="177">
        <v>8200</v>
      </c>
      <c r="AQ69" s="177">
        <v>8200</v>
      </c>
      <c r="AR69" s="177">
        <v>8200</v>
      </c>
      <c r="AS69" s="177">
        <v>8400</v>
      </c>
      <c r="AT69" s="177">
        <v>8400</v>
      </c>
      <c r="AU69" s="177">
        <v>8400</v>
      </c>
      <c r="AV69" s="175">
        <v>9700</v>
      </c>
      <c r="AW69" s="175">
        <v>9700</v>
      </c>
      <c r="AX69" s="176">
        <v>9700</v>
      </c>
      <c r="AY69" s="175">
        <v>9700</v>
      </c>
      <c r="AZ69" s="175">
        <v>9700</v>
      </c>
      <c r="BA69" s="176">
        <v>9700</v>
      </c>
      <c r="BB69" s="177">
        <v>9700</v>
      </c>
      <c r="BC69" s="177">
        <v>9700</v>
      </c>
      <c r="BD69" s="177">
        <v>9700</v>
      </c>
      <c r="BE69" s="177">
        <v>10700</v>
      </c>
      <c r="BF69" s="177">
        <v>10700</v>
      </c>
      <c r="BG69" s="177">
        <v>10700</v>
      </c>
      <c r="BH69" s="215">
        <v>6200</v>
      </c>
      <c r="BI69" s="215">
        <v>6200</v>
      </c>
      <c r="BJ69" s="215">
        <v>6200</v>
      </c>
      <c r="BK69" s="198">
        <v>8000</v>
      </c>
      <c r="BL69" s="198">
        <v>8000</v>
      </c>
      <c r="BM69" s="198">
        <v>8000</v>
      </c>
    </row>
    <row r="70" spans="1:65">
      <c r="A70" s="113" t="s">
        <v>69</v>
      </c>
      <c r="B70" s="118" t="s">
        <v>70</v>
      </c>
      <c r="C70" s="83">
        <v>7000</v>
      </c>
      <c r="D70" s="83">
        <v>7000</v>
      </c>
      <c r="E70" s="83">
        <v>7000</v>
      </c>
      <c r="F70" s="83">
        <v>7100</v>
      </c>
      <c r="G70" s="83">
        <v>7100</v>
      </c>
      <c r="H70" s="83">
        <v>7100</v>
      </c>
      <c r="I70" s="83">
        <v>7700</v>
      </c>
      <c r="J70" s="83">
        <v>7700</v>
      </c>
      <c r="K70" s="83">
        <v>7700</v>
      </c>
      <c r="L70" s="173">
        <v>7900</v>
      </c>
      <c r="M70" s="173">
        <v>7900</v>
      </c>
      <c r="N70" s="173">
        <v>7900</v>
      </c>
      <c r="O70" s="200"/>
      <c r="P70" s="200"/>
      <c r="Q70" s="200"/>
      <c r="R70" s="174">
        <v>7900</v>
      </c>
      <c r="S70" s="174">
        <v>7900</v>
      </c>
      <c r="T70" s="174">
        <v>7900</v>
      </c>
      <c r="U70" s="173">
        <v>7700</v>
      </c>
      <c r="V70" s="173">
        <v>7700</v>
      </c>
      <c r="W70" s="173">
        <v>7700</v>
      </c>
      <c r="X70" s="184">
        <v>7700</v>
      </c>
      <c r="Y70" s="184">
        <v>7700</v>
      </c>
      <c r="Z70" s="184">
        <v>7700</v>
      </c>
      <c r="AA70" s="83">
        <v>7900</v>
      </c>
      <c r="AB70" s="83">
        <v>7900</v>
      </c>
      <c r="AC70" s="83">
        <v>7900</v>
      </c>
      <c r="AD70" s="83">
        <v>7700</v>
      </c>
      <c r="AE70" s="83">
        <v>7700</v>
      </c>
      <c r="AF70" s="83">
        <v>7700</v>
      </c>
      <c r="AG70" s="83">
        <v>7700</v>
      </c>
      <c r="AH70" s="83">
        <v>7700</v>
      </c>
      <c r="AI70" s="83">
        <v>7700</v>
      </c>
      <c r="AJ70" s="184">
        <v>7700</v>
      </c>
      <c r="AK70" s="184">
        <v>7700</v>
      </c>
      <c r="AL70" s="184">
        <v>7700</v>
      </c>
      <c r="AM70" s="175">
        <v>9700</v>
      </c>
      <c r="AN70" s="175">
        <v>9700</v>
      </c>
      <c r="AO70" s="176">
        <v>9700</v>
      </c>
      <c r="AP70" s="177">
        <v>8200</v>
      </c>
      <c r="AQ70" s="177">
        <v>8200</v>
      </c>
      <c r="AR70" s="177">
        <v>8200</v>
      </c>
      <c r="AS70" s="177">
        <v>8400</v>
      </c>
      <c r="AT70" s="177">
        <v>8400</v>
      </c>
      <c r="AU70" s="177">
        <v>8400</v>
      </c>
      <c r="AV70" s="175">
        <v>9700</v>
      </c>
      <c r="AW70" s="175">
        <v>9700</v>
      </c>
      <c r="AX70" s="176">
        <v>9700</v>
      </c>
      <c r="AY70" s="175">
        <v>9700</v>
      </c>
      <c r="AZ70" s="175">
        <v>9700</v>
      </c>
      <c r="BA70" s="176">
        <v>9700</v>
      </c>
      <c r="BB70" s="177">
        <v>9700</v>
      </c>
      <c r="BC70" s="177">
        <v>9700</v>
      </c>
      <c r="BD70" s="177">
        <v>9700</v>
      </c>
      <c r="BE70" s="177">
        <v>10700</v>
      </c>
      <c r="BF70" s="177">
        <v>10700</v>
      </c>
      <c r="BG70" s="177">
        <v>10700</v>
      </c>
      <c r="BH70" s="215">
        <v>6200</v>
      </c>
      <c r="BI70" s="215">
        <v>6200</v>
      </c>
      <c r="BJ70" s="215">
        <v>6200</v>
      </c>
      <c r="BK70" s="198">
        <v>8000</v>
      </c>
      <c r="BL70" s="198">
        <v>8000</v>
      </c>
      <c r="BM70" s="198">
        <v>8000</v>
      </c>
    </row>
    <row r="71" spans="1:65">
      <c r="A71" s="113" t="s">
        <v>71</v>
      </c>
      <c r="B71" s="119" t="s">
        <v>72</v>
      </c>
      <c r="C71" s="83">
        <v>7100</v>
      </c>
      <c r="D71" s="83">
        <v>7125</v>
      </c>
      <c r="E71" s="83">
        <v>7165</v>
      </c>
      <c r="F71" s="83">
        <v>7200</v>
      </c>
      <c r="G71" s="83">
        <v>7225</v>
      </c>
      <c r="H71" s="83">
        <v>7265</v>
      </c>
      <c r="I71" s="83">
        <v>7800</v>
      </c>
      <c r="J71" s="83">
        <v>7825</v>
      </c>
      <c r="K71" s="83">
        <v>7865</v>
      </c>
      <c r="L71" s="173">
        <v>8000</v>
      </c>
      <c r="M71" s="173">
        <v>8025</v>
      </c>
      <c r="N71" s="173">
        <v>8065</v>
      </c>
      <c r="O71" s="200"/>
      <c r="P71" s="200"/>
      <c r="Q71" s="200"/>
      <c r="R71" s="174">
        <v>8000</v>
      </c>
      <c r="S71" s="174">
        <v>8025</v>
      </c>
      <c r="T71" s="174">
        <v>8065</v>
      </c>
      <c r="U71" s="173">
        <v>7800</v>
      </c>
      <c r="V71" s="173">
        <v>7825</v>
      </c>
      <c r="W71" s="173">
        <v>7865</v>
      </c>
      <c r="X71" s="184">
        <v>7800</v>
      </c>
      <c r="Y71" s="184">
        <v>7825</v>
      </c>
      <c r="Z71" s="184">
        <v>7865</v>
      </c>
      <c r="AA71" s="83">
        <v>8000</v>
      </c>
      <c r="AB71" s="83">
        <v>8025</v>
      </c>
      <c r="AC71" s="83">
        <v>8065</v>
      </c>
      <c r="AD71" s="83">
        <v>7800</v>
      </c>
      <c r="AE71" s="83">
        <v>7825</v>
      </c>
      <c r="AF71" s="83">
        <v>7865</v>
      </c>
      <c r="AG71" s="83">
        <v>7800</v>
      </c>
      <c r="AH71" s="83">
        <v>7825</v>
      </c>
      <c r="AI71" s="83">
        <v>7865</v>
      </c>
      <c r="AJ71" s="184">
        <v>7800</v>
      </c>
      <c r="AK71" s="184">
        <v>7825</v>
      </c>
      <c r="AL71" s="184">
        <v>7865</v>
      </c>
      <c r="AM71" s="175">
        <v>9800</v>
      </c>
      <c r="AN71" s="175">
        <v>9825</v>
      </c>
      <c r="AO71" s="176">
        <v>9865</v>
      </c>
      <c r="AP71" s="177">
        <v>8300</v>
      </c>
      <c r="AQ71" s="177">
        <v>8325</v>
      </c>
      <c r="AR71" s="177">
        <v>8365</v>
      </c>
      <c r="AS71" s="177">
        <v>8500</v>
      </c>
      <c r="AT71" s="177">
        <v>8525</v>
      </c>
      <c r="AU71" s="177">
        <v>8565</v>
      </c>
      <c r="AV71" s="175">
        <v>9800</v>
      </c>
      <c r="AW71" s="175">
        <v>9825</v>
      </c>
      <c r="AX71" s="176">
        <v>9865</v>
      </c>
      <c r="AY71" s="175">
        <v>9800</v>
      </c>
      <c r="AZ71" s="175">
        <v>9825</v>
      </c>
      <c r="BA71" s="176">
        <v>9865</v>
      </c>
      <c r="BB71" s="177">
        <v>9800</v>
      </c>
      <c r="BC71" s="177">
        <v>9825</v>
      </c>
      <c r="BD71" s="177">
        <v>9865</v>
      </c>
      <c r="BE71" s="177">
        <v>10800</v>
      </c>
      <c r="BF71" s="177">
        <v>10825</v>
      </c>
      <c r="BG71" s="177">
        <v>10865</v>
      </c>
      <c r="BH71" s="215">
        <v>6300</v>
      </c>
      <c r="BI71" s="215">
        <v>6325</v>
      </c>
      <c r="BJ71" s="215">
        <v>6365</v>
      </c>
      <c r="BK71" s="198">
        <v>8100</v>
      </c>
      <c r="BL71" s="198">
        <v>8125</v>
      </c>
      <c r="BM71" s="198">
        <v>8165</v>
      </c>
    </row>
    <row r="72" spans="1:65">
      <c r="A72" s="91" t="s">
        <v>73</v>
      </c>
      <c r="B72" s="92" t="s">
        <v>74</v>
      </c>
      <c r="C72" s="83">
        <v>7000</v>
      </c>
      <c r="D72" s="83">
        <v>7000</v>
      </c>
      <c r="E72" s="83">
        <v>7000</v>
      </c>
      <c r="F72" s="83">
        <v>7100</v>
      </c>
      <c r="G72" s="83">
        <v>7100</v>
      </c>
      <c r="H72" s="83">
        <v>7100</v>
      </c>
      <c r="I72" s="83">
        <v>7700</v>
      </c>
      <c r="J72" s="83">
        <v>7700</v>
      </c>
      <c r="K72" s="83">
        <v>7700</v>
      </c>
      <c r="L72" s="173">
        <v>7900</v>
      </c>
      <c r="M72" s="173">
        <v>7900</v>
      </c>
      <c r="N72" s="173">
        <v>7900</v>
      </c>
      <c r="O72" s="200"/>
      <c r="P72" s="200"/>
      <c r="Q72" s="200"/>
      <c r="R72" s="174">
        <v>7900</v>
      </c>
      <c r="S72" s="174">
        <v>7900</v>
      </c>
      <c r="T72" s="174">
        <v>7900</v>
      </c>
      <c r="U72" s="173">
        <v>7700</v>
      </c>
      <c r="V72" s="173">
        <v>7700</v>
      </c>
      <c r="W72" s="173">
        <v>7700</v>
      </c>
      <c r="X72" s="184">
        <v>7700</v>
      </c>
      <c r="Y72" s="184">
        <v>7700</v>
      </c>
      <c r="Z72" s="184">
        <v>7700</v>
      </c>
      <c r="AA72" s="83">
        <v>7900</v>
      </c>
      <c r="AB72" s="83">
        <v>7900</v>
      </c>
      <c r="AC72" s="83">
        <v>7900</v>
      </c>
      <c r="AD72" s="83">
        <v>7700</v>
      </c>
      <c r="AE72" s="83">
        <v>7700</v>
      </c>
      <c r="AF72" s="83">
        <v>7700</v>
      </c>
      <c r="AG72" s="83">
        <v>7700</v>
      </c>
      <c r="AH72" s="83">
        <v>7700</v>
      </c>
      <c r="AI72" s="83">
        <v>7700</v>
      </c>
      <c r="AJ72" s="184">
        <v>7700</v>
      </c>
      <c r="AK72" s="184">
        <v>7700</v>
      </c>
      <c r="AL72" s="184">
        <v>7700</v>
      </c>
      <c r="AM72" s="175">
        <v>9700</v>
      </c>
      <c r="AN72" s="175">
        <v>9700</v>
      </c>
      <c r="AO72" s="176">
        <v>9700</v>
      </c>
      <c r="AP72" s="177">
        <v>8200</v>
      </c>
      <c r="AQ72" s="177">
        <v>8200</v>
      </c>
      <c r="AR72" s="177">
        <v>8200</v>
      </c>
      <c r="AS72" s="177">
        <v>8400</v>
      </c>
      <c r="AT72" s="177">
        <v>8400</v>
      </c>
      <c r="AU72" s="177">
        <v>8400</v>
      </c>
      <c r="AV72" s="175">
        <v>9700</v>
      </c>
      <c r="AW72" s="175">
        <v>9700</v>
      </c>
      <c r="AX72" s="176">
        <v>9700</v>
      </c>
      <c r="AY72" s="175">
        <v>9700</v>
      </c>
      <c r="AZ72" s="175">
        <v>9700</v>
      </c>
      <c r="BA72" s="176">
        <v>9700</v>
      </c>
      <c r="BB72" s="177">
        <v>9700</v>
      </c>
      <c r="BC72" s="177">
        <v>9700</v>
      </c>
      <c r="BD72" s="177">
        <v>9700</v>
      </c>
      <c r="BE72" s="177">
        <v>10700</v>
      </c>
      <c r="BF72" s="177">
        <v>10700</v>
      </c>
      <c r="BG72" s="177">
        <v>10700</v>
      </c>
      <c r="BH72" s="215">
        <v>6200</v>
      </c>
      <c r="BI72" s="215">
        <v>6200</v>
      </c>
      <c r="BJ72" s="215">
        <v>6200</v>
      </c>
      <c r="BK72" s="198">
        <v>8000</v>
      </c>
      <c r="BL72" s="198">
        <v>8000</v>
      </c>
      <c r="BM72" s="198">
        <v>8000</v>
      </c>
    </row>
    <row r="73" spans="1:65">
      <c r="A73" s="91" t="s">
        <v>75</v>
      </c>
      <c r="B73" s="92" t="s">
        <v>76</v>
      </c>
      <c r="C73" s="83">
        <v>7000</v>
      </c>
      <c r="D73" s="83">
        <v>7000</v>
      </c>
      <c r="E73" s="83">
        <v>7000</v>
      </c>
      <c r="F73" s="83">
        <v>7100</v>
      </c>
      <c r="G73" s="83">
        <v>7100</v>
      </c>
      <c r="H73" s="83">
        <v>7100</v>
      </c>
      <c r="I73" s="83">
        <v>7700</v>
      </c>
      <c r="J73" s="83">
        <v>7700</v>
      </c>
      <c r="K73" s="83">
        <v>7700</v>
      </c>
      <c r="L73" s="173">
        <v>7900</v>
      </c>
      <c r="M73" s="173">
        <v>7900</v>
      </c>
      <c r="N73" s="173">
        <v>7900</v>
      </c>
      <c r="O73" s="200"/>
      <c r="P73" s="200"/>
      <c r="Q73" s="200"/>
      <c r="R73" s="174">
        <v>7900</v>
      </c>
      <c r="S73" s="174">
        <v>7900</v>
      </c>
      <c r="T73" s="174">
        <v>7900</v>
      </c>
      <c r="U73" s="173">
        <v>7700</v>
      </c>
      <c r="V73" s="173">
        <v>7700</v>
      </c>
      <c r="W73" s="173">
        <v>7700</v>
      </c>
      <c r="X73" s="184">
        <v>7700</v>
      </c>
      <c r="Y73" s="184">
        <v>7700</v>
      </c>
      <c r="Z73" s="184">
        <v>7700</v>
      </c>
      <c r="AA73" s="83">
        <v>7900</v>
      </c>
      <c r="AB73" s="83">
        <v>7900</v>
      </c>
      <c r="AC73" s="83">
        <v>7900</v>
      </c>
      <c r="AD73" s="83">
        <v>7700</v>
      </c>
      <c r="AE73" s="83">
        <v>7700</v>
      </c>
      <c r="AF73" s="83">
        <v>7700</v>
      </c>
      <c r="AG73" s="83">
        <v>7700</v>
      </c>
      <c r="AH73" s="83">
        <v>7700</v>
      </c>
      <c r="AI73" s="83">
        <v>7700</v>
      </c>
      <c r="AJ73" s="184">
        <v>7700</v>
      </c>
      <c r="AK73" s="184">
        <v>7700</v>
      </c>
      <c r="AL73" s="184">
        <v>7700</v>
      </c>
      <c r="AM73" s="175">
        <v>9700</v>
      </c>
      <c r="AN73" s="175">
        <v>9700</v>
      </c>
      <c r="AO73" s="176">
        <v>9700</v>
      </c>
      <c r="AP73" s="177">
        <v>8200</v>
      </c>
      <c r="AQ73" s="177">
        <v>8200</v>
      </c>
      <c r="AR73" s="177">
        <v>8200</v>
      </c>
      <c r="AS73" s="177">
        <v>8400</v>
      </c>
      <c r="AT73" s="177">
        <v>8400</v>
      </c>
      <c r="AU73" s="177">
        <v>8400</v>
      </c>
      <c r="AV73" s="175">
        <v>9700</v>
      </c>
      <c r="AW73" s="175">
        <v>9700</v>
      </c>
      <c r="AX73" s="176">
        <v>9700</v>
      </c>
      <c r="AY73" s="175">
        <v>9700</v>
      </c>
      <c r="AZ73" s="175">
        <v>9700</v>
      </c>
      <c r="BA73" s="176">
        <v>9700</v>
      </c>
      <c r="BB73" s="177">
        <v>9700</v>
      </c>
      <c r="BC73" s="177">
        <v>9700</v>
      </c>
      <c r="BD73" s="177">
        <v>9700</v>
      </c>
      <c r="BE73" s="177">
        <v>10700</v>
      </c>
      <c r="BF73" s="177">
        <v>10700</v>
      </c>
      <c r="BG73" s="177">
        <v>10700</v>
      </c>
      <c r="BH73" s="215">
        <v>6200</v>
      </c>
      <c r="BI73" s="215">
        <v>6200</v>
      </c>
      <c r="BJ73" s="215">
        <v>6200</v>
      </c>
      <c r="BK73" s="198">
        <v>8000</v>
      </c>
      <c r="BL73" s="198">
        <v>8000</v>
      </c>
      <c r="BM73" s="198">
        <v>8000</v>
      </c>
    </row>
    <row r="74" spans="1:65">
      <c r="A74" s="91" t="s">
        <v>174</v>
      </c>
      <c r="B74" s="92" t="s">
        <v>175</v>
      </c>
      <c r="C74" s="83">
        <v>7000</v>
      </c>
      <c r="D74" s="83">
        <v>7100</v>
      </c>
      <c r="E74" s="83">
        <v>7100</v>
      </c>
      <c r="F74" s="83">
        <v>7100</v>
      </c>
      <c r="G74" s="83">
        <v>7200</v>
      </c>
      <c r="H74" s="83">
        <v>7200</v>
      </c>
      <c r="I74" s="83">
        <v>7700</v>
      </c>
      <c r="J74" s="83">
        <v>7800</v>
      </c>
      <c r="K74" s="83">
        <v>7800</v>
      </c>
      <c r="L74" s="173">
        <v>7900</v>
      </c>
      <c r="M74" s="173">
        <v>8000</v>
      </c>
      <c r="N74" s="173">
        <v>8000</v>
      </c>
      <c r="O74" s="200"/>
      <c r="P74" s="200"/>
      <c r="Q74" s="200"/>
      <c r="R74" s="174">
        <v>7900</v>
      </c>
      <c r="S74" s="174">
        <v>8000</v>
      </c>
      <c r="T74" s="174">
        <v>8000</v>
      </c>
      <c r="U74" s="173">
        <v>7700</v>
      </c>
      <c r="V74" s="173">
        <v>7800</v>
      </c>
      <c r="W74" s="173">
        <v>7800</v>
      </c>
      <c r="X74" s="184">
        <v>7700</v>
      </c>
      <c r="Y74" s="184">
        <v>7800</v>
      </c>
      <c r="Z74" s="184">
        <v>7800</v>
      </c>
      <c r="AA74" s="83">
        <v>7900</v>
      </c>
      <c r="AB74" s="83">
        <v>8000</v>
      </c>
      <c r="AC74" s="83">
        <v>8000</v>
      </c>
      <c r="AD74" s="83">
        <v>7700</v>
      </c>
      <c r="AE74" s="83">
        <v>7800</v>
      </c>
      <c r="AF74" s="83">
        <v>7800</v>
      </c>
      <c r="AG74" s="83">
        <v>7700</v>
      </c>
      <c r="AH74" s="83">
        <v>7800</v>
      </c>
      <c r="AI74" s="83">
        <v>7800</v>
      </c>
      <c r="AJ74" s="184">
        <v>7700</v>
      </c>
      <c r="AK74" s="184">
        <v>7800</v>
      </c>
      <c r="AL74" s="184">
        <v>7800</v>
      </c>
      <c r="AM74" s="175">
        <v>9700</v>
      </c>
      <c r="AN74" s="175">
        <v>9800</v>
      </c>
      <c r="AO74" s="176">
        <v>9800</v>
      </c>
      <c r="AP74" s="177">
        <v>8200</v>
      </c>
      <c r="AQ74" s="177">
        <v>8300</v>
      </c>
      <c r="AR74" s="177">
        <v>8300</v>
      </c>
      <c r="AS74" s="177">
        <v>8400</v>
      </c>
      <c r="AT74" s="177">
        <v>8500</v>
      </c>
      <c r="AU74" s="177">
        <v>8500</v>
      </c>
      <c r="AV74" s="175">
        <v>9700</v>
      </c>
      <c r="AW74" s="175">
        <v>9800</v>
      </c>
      <c r="AX74" s="176">
        <v>9800</v>
      </c>
      <c r="AY74" s="175">
        <v>9700</v>
      </c>
      <c r="AZ74" s="175">
        <v>9800</v>
      </c>
      <c r="BA74" s="176">
        <v>9800</v>
      </c>
      <c r="BB74" s="177">
        <v>9700</v>
      </c>
      <c r="BC74" s="177">
        <v>9800</v>
      </c>
      <c r="BD74" s="177">
        <v>9800</v>
      </c>
      <c r="BE74" s="177">
        <v>10700</v>
      </c>
      <c r="BF74" s="177">
        <v>10800</v>
      </c>
      <c r="BG74" s="177">
        <v>10800</v>
      </c>
      <c r="BH74" s="215">
        <v>6200</v>
      </c>
      <c r="BI74" s="215">
        <v>6300</v>
      </c>
      <c r="BJ74" s="215">
        <v>6300</v>
      </c>
      <c r="BK74" s="198">
        <v>8000</v>
      </c>
      <c r="BL74" s="198">
        <v>8100</v>
      </c>
      <c r="BM74" s="198">
        <v>8100</v>
      </c>
    </row>
    <row r="75" spans="1:65">
      <c r="A75" s="92" t="s">
        <v>176</v>
      </c>
      <c r="B75" s="92" t="s">
        <v>177</v>
      </c>
      <c r="C75" s="83">
        <v>6980</v>
      </c>
      <c r="D75" s="83">
        <v>7050</v>
      </c>
      <c r="E75" s="83">
        <v>7050</v>
      </c>
      <c r="F75" s="83">
        <v>7080</v>
      </c>
      <c r="G75" s="83">
        <v>7150</v>
      </c>
      <c r="H75" s="83">
        <v>7150</v>
      </c>
      <c r="I75" s="83">
        <v>7680</v>
      </c>
      <c r="J75" s="83">
        <v>7750</v>
      </c>
      <c r="K75" s="83">
        <v>7750</v>
      </c>
      <c r="L75" s="173">
        <v>7880</v>
      </c>
      <c r="M75" s="173">
        <v>7950</v>
      </c>
      <c r="N75" s="173">
        <v>7950</v>
      </c>
      <c r="O75" s="200"/>
      <c r="P75" s="200"/>
      <c r="Q75" s="200"/>
      <c r="R75" s="174">
        <v>7880</v>
      </c>
      <c r="S75" s="174">
        <v>7950</v>
      </c>
      <c r="T75" s="174">
        <v>7950</v>
      </c>
      <c r="U75" s="173">
        <v>7680</v>
      </c>
      <c r="V75" s="173">
        <v>7750</v>
      </c>
      <c r="W75" s="173">
        <v>7750</v>
      </c>
      <c r="X75" s="184">
        <v>7680</v>
      </c>
      <c r="Y75" s="184">
        <v>7750</v>
      </c>
      <c r="Z75" s="184">
        <v>7750</v>
      </c>
      <c r="AA75" s="83">
        <v>7880</v>
      </c>
      <c r="AB75" s="83">
        <v>7950</v>
      </c>
      <c r="AC75" s="83">
        <v>7950</v>
      </c>
      <c r="AD75" s="83">
        <v>7680</v>
      </c>
      <c r="AE75" s="83">
        <v>7750</v>
      </c>
      <c r="AF75" s="83">
        <v>7750</v>
      </c>
      <c r="AG75" s="83">
        <v>7680</v>
      </c>
      <c r="AH75" s="83">
        <v>7750</v>
      </c>
      <c r="AI75" s="83">
        <v>7750</v>
      </c>
      <c r="AJ75" s="184">
        <v>7680</v>
      </c>
      <c r="AK75" s="184">
        <v>7750</v>
      </c>
      <c r="AL75" s="184">
        <v>7750</v>
      </c>
      <c r="AM75" s="175">
        <v>9680</v>
      </c>
      <c r="AN75" s="175">
        <v>9750</v>
      </c>
      <c r="AO75" s="176">
        <v>9750</v>
      </c>
      <c r="AP75" s="177">
        <v>8180</v>
      </c>
      <c r="AQ75" s="177">
        <v>8250</v>
      </c>
      <c r="AR75" s="177">
        <v>8250</v>
      </c>
      <c r="AS75" s="177">
        <v>8380</v>
      </c>
      <c r="AT75" s="177">
        <v>8450</v>
      </c>
      <c r="AU75" s="177">
        <v>8450</v>
      </c>
      <c r="AV75" s="175">
        <v>9680</v>
      </c>
      <c r="AW75" s="175">
        <v>9750</v>
      </c>
      <c r="AX75" s="176">
        <v>9750</v>
      </c>
      <c r="AY75" s="175">
        <v>9680</v>
      </c>
      <c r="AZ75" s="175">
        <v>9750</v>
      </c>
      <c r="BA75" s="176">
        <v>9750</v>
      </c>
      <c r="BB75" s="177">
        <v>9680</v>
      </c>
      <c r="BC75" s="177">
        <v>9750</v>
      </c>
      <c r="BD75" s="177">
        <v>9750</v>
      </c>
      <c r="BE75" s="177">
        <v>10680</v>
      </c>
      <c r="BF75" s="177">
        <v>10750</v>
      </c>
      <c r="BG75" s="177">
        <v>10750</v>
      </c>
      <c r="BH75" s="215">
        <v>6180</v>
      </c>
      <c r="BI75" s="215">
        <v>6250</v>
      </c>
      <c r="BJ75" s="215">
        <v>6250</v>
      </c>
      <c r="BK75" s="198">
        <v>7980</v>
      </c>
      <c r="BL75" s="198">
        <v>8050</v>
      </c>
      <c r="BM75" s="198">
        <v>8050</v>
      </c>
    </row>
    <row r="76" spans="1:65">
      <c r="A76" s="92" t="s">
        <v>178</v>
      </c>
      <c r="B76" s="92" t="s">
        <v>179</v>
      </c>
      <c r="C76" s="83">
        <v>7080</v>
      </c>
      <c r="D76" s="83">
        <v>7130</v>
      </c>
      <c r="E76" s="83">
        <v>7130</v>
      </c>
      <c r="F76" s="83">
        <v>7180</v>
      </c>
      <c r="G76" s="83">
        <v>7230</v>
      </c>
      <c r="H76" s="83">
        <v>7230</v>
      </c>
      <c r="I76" s="83">
        <v>7780</v>
      </c>
      <c r="J76" s="83">
        <v>7830</v>
      </c>
      <c r="K76" s="83">
        <v>7830</v>
      </c>
      <c r="L76" s="173">
        <v>7980</v>
      </c>
      <c r="M76" s="173">
        <v>8030</v>
      </c>
      <c r="N76" s="173">
        <v>8030</v>
      </c>
      <c r="O76" s="200"/>
      <c r="P76" s="200"/>
      <c r="Q76" s="200"/>
      <c r="R76" s="174">
        <v>7980</v>
      </c>
      <c r="S76" s="174">
        <v>8030</v>
      </c>
      <c r="T76" s="174">
        <v>8030</v>
      </c>
      <c r="U76" s="173">
        <v>7780</v>
      </c>
      <c r="V76" s="173">
        <v>7830</v>
      </c>
      <c r="W76" s="173">
        <v>7830</v>
      </c>
      <c r="X76" s="184">
        <v>7780</v>
      </c>
      <c r="Y76" s="184">
        <v>7830</v>
      </c>
      <c r="Z76" s="184">
        <v>7830</v>
      </c>
      <c r="AA76" s="83">
        <v>7980</v>
      </c>
      <c r="AB76" s="83">
        <v>8030</v>
      </c>
      <c r="AC76" s="83">
        <v>8030</v>
      </c>
      <c r="AD76" s="83">
        <v>7780</v>
      </c>
      <c r="AE76" s="83">
        <v>7830</v>
      </c>
      <c r="AF76" s="83">
        <v>7830</v>
      </c>
      <c r="AG76" s="83">
        <v>7780</v>
      </c>
      <c r="AH76" s="83">
        <v>7830</v>
      </c>
      <c r="AI76" s="83">
        <v>7830</v>
      </c>
      <c r="AJ76" s="184">
        <v>7780</v>
      </c>
      <c r="AK76" s="184">
        <v>7830</v>
      </c>
      <c r="AL76" s="184">
        <v>7830</v>
      </c>
      <c r="AM76" s="175">
        <v>9780</v>
      </c>
      <c r="AN76" s="175">
        <v>9830</v>
      </c>
      <c r="AO76" s="176">
        <v>9830</v>
      </c>
      <c r="AP76" s="177">
        <v>8280</v>
      </c>
      <c r="AQ76" s="177">
        <v>8330</v>
      </c>
      <c r="AR76" s="177">
        <v>8330</v>
      </c>
      <c r="AS76" s="177">
        <v>8480</v>
      </c>
      <c r="AT76" s="177">
        <v>8530</v>
      </c>
      <c r="AU76" s="177">
        <v>8530</v>
      </c>
      <c r="AV76" s="175">
        <v>9780</v>
      </c>
      <c r="AW76" s="175">
        <v>9830</v>
      </c>
      <c r="AX76" s="176">
        <v>9830</v>
      </c>
      <c r="AY76" s="175">
        <v>9780</v>
      </c>
      <c r="AZ76" s="175">
        <v>9830</v>
      </c>
      <c r="BA76" s="176">
        <v>9830</v>
      </c>
      <c r="BB76" s="177">
        <v>9780</v>
      </c>
      <c r="BC76" s="177">
        <v>9830</v>
      </c>
      <c r="BD76" s="177">
        <v>9830</v>
      </c>
      <c r="BE76" s="177">
        <v>10780</v>
      </c>
      <c r="BF76" s="177">
        <v>10830</v>
      </c>
      <c r="BG76" s="177">
        <v>10830</v>
      </c>
      <c r="BH76" s="215">
        <v>6280</v>
      </c>
      <c r="BI76" s="215">
        <v>6330</v>
      </c>
      <c r="BJ76" s="215">
        <v>6330</v>
      </c>
      <c r="BK76" s="198">
        <v>8080</v>
      </c>
      <c r="BL76" s="198">
        <v>8130</v>
      </c>
      <c r="BM76" s="198">
        <v>8130</v>
      </c>
    </row>
    <row r="77" spans="1:65">
      <c r="A77" s="92" t="s">
        <v>180</v>
      </c>
      <c r="B77" s="92" t="s">
        <v>181</v>
      </c>
      <c r="C77" s="83">
        <v>6950</v>
      </c>
      <c r="D77" s="83">
        <v>7020</v>
      </c>
      <c r="E77" s="83">
        <v>7020</v>
      </c>
      <c r="F77" s="83">
        <v>7050</v>
      </c>
      <c r="G77" s="83">
        <v>7120</v>
      </c>
      <c r="H77" s="83">
        <v>7120</v>
      </c>
      <c r="I77" s="83">
        <v>7650</v>
      </c>
      <c r="J77" s="83">
        <v>7720</v>
      </c>
      <c r="K77" s="83">
        <v>7720</v>
      </c>
      <c r="L77" s="173">
        <v>7850</v>
      </c>
      <c r="M77" s="173">
        <v>7920</v>
      </c>
      <c r="N77" s="173">
        <v>7920</v>
      </c>
      <c r="O77" s="200"/>
      <c r="P77" s="200"/>
      <c r="Q77" s="200"/>
      <c r="R77" s="174">
        <v>7850</v>
      </c>
      <c r="S77" s="174">
        <v>7920</v>
      </c>
      <c r="T77" s="174">
        <v>7920</v>
      </c>
      <c r="U77" s="173">
        <v>7650</v>
      </c>
      <c r="V77" s="173">
        <v>7720</v>
      </c>
      <c r="W77" s="173">
        <v>7720</v>
      </c>
      <c r="X77" s="184">
        <v>7650</v>
      </c>
      <c r="Y77" s="184">
        <v>7720</v>
      </c>
      <c r="Z77" s="184">
        <v>7720</v>
      </c>
      <c r="AA77" s="83">
        <v>7850</v>
      </c>
      <c r="AB77" s="83">
        <v>7920</v>
      </c>
      <c r="AC77" s="83">
        <v>7920</v>
      </c>
      <c r="AD77" s="83">
        <v>7650</v>
      </c>
      <c r="AE77" s="83">
        <v>7720</v>
      </c>
      <c r="AF77" s="83">
        <v>7720</v>
      </c>
      <c r="AG77" s="83">
        <v>7650</v>
      </c>
      <c r="AH77" s="83">
        <v>7720</v>
      </c>
      <c r="AI77" s="83">
        <v>7720</v>
      </c>
      <c r="AJ77" s="184">
        <v>7650</v>
      </c>
      <c r="AK77" s="184">
        <v>7720</v>
      </c>
      <c r="AL77" s="184">
        <v>7720</v>
      </c>
      <c r="AM77" s="175">
        <v>9650</v>
      </c>
      <c r="AN77" s="175">
        <v>9720</v>
      </c>
      <c r="AO77" s="176">
        <v>9720</v>
      </c>
      <c r="AP77" s="177">
        <v>8150</v>
      </c>
      <c r="AQ77" s="177">
        <v>8220</v>
      </c>
      <c r="AR77" s="177">
        <v>8220</v>
      </c>
      <c r="AS77" s="177">
        <v>8350</v>
      </c>
      <c r="AT77" s="177">
        <v>8420</v>
      </c>
      <c r="AU77" s="177">
        <v>8420</v>
      </c>
      <c r="AV77" s="175">
        <v>9650</v>
      </c>
      <c r="AW77" s="175">
        <v>9720</v>
      </c>
      <c r="AX77" s="176">
        <v>9720</v>
      </c>
      <c r="AY77" s="175">
        <v>9650</v>
      </c>
      <c r="AZ77" s="175">
        <v>9720</v>
      </c>
      <c r="BA77" s="176">
        <v>9720</v>
      </c>
      <c r="BB77" s="177">
        <v>9650</v>
      </c>
      <c r="BC77" s="177">
        <v>9720</v>
      </c>
      <c r="BD77" s="177">
        <v>9720</v>
      </c>
      <c r="BE77" s="177">
        <v>10650</v>
      </c>
      <c r="BF77" s="177">
        <v>10720</v>
      </c>
      <c r="BG77" s="177">
        <v>10720</v>
      </c>
      <c r="BH77" s="215">
        <v>6150</v>
      </c>
      <c r="BI77" s="215">
        <v>6220</v>
      </c>
      <c r="BJ77" s="215">
        <v>6220</v>
      </c>
      <c r="BK77" s="198">
        <v>7950</v>
      </c>
      <c r="BL77" s="198">
        <v>8020</v>
      </c>
      <c r="BM77" s="198">
        <v>8020</v>
      </c>
    </row>
    <row r="78" spans="1:65">
      <c r="A78" s="92" t="s">
        <v>182</v>
      </c>
      <c r="B78" s="92" t="s">
        <v>183</v>
      </c>
      <c r="C78" s="83">
        <v>7300</v>
      </c>
      <c r="D78" s="83">
        <v>7550</v>
      </c>
      <c r="E78" s="83">
        <v>7550</v>
      </c>
      <c r="F78" s="83">
        <v>7400</v>
      </c>
      <c r="G78" s="83">
        <v>7650</v>
      </c>
      <c r="H78" s="83">
        <v>7650</v>
      </c>
      <c r="I78" s="83">
        <v>8000</v>
      </c>
      <c r="J78" s="83">
        <v>8250</v>
      </c>
      <c r="K78" s="83">
        <v>8250</v>
      </c>
      <c r="L78" s="173">
        <v>8200</v>
      </c>
      <c r="M78" s="173">
        <v>8450</v>
      </c>
      <c r="N78" s="173">
        <v>8450</v>
      </c>
      <c r="O78" s="200"/>
      <c r="P78" s="200"/>
      <c r="Q78" s="200"/>
      <c r="R78" s="174">
        <v>8200</v>
      </c>
      <c r="S78" s="174">
        <v>8450</v>
      </c>
      <c r="T78" s="174">
        <v>8450</v>
      </c>
      <c r="U78" s="173">
        <v>8000</v>
      </c>
      <c r="V78" s="173">
        <v>8250</v>
      </c>
      <c r="W78" s="173">
        <v>8250</v>
      </c>
      <c r="X78" s="184">
        <v>8000</v>
      </c>
      <c r="Y78" s="184">
        <v>8250</v>
      </c>
      <c r="Z78" s="184">
        <v>8250</v>
      </c>
      <c r="AA78" s="83">
        <v>8200</v>
      </c>
      <c r="AB78" s="83">
        <v>8450</v>
      </c>
      <c r="AC78" s="83">
        <v>8450</v>
      </c>
      <c r="AD78" s="83">
        <v>8000</v>
      </c>
      <c r="AE78" s="83">
        <v>8250</v>
      </c>
      <c r="AF78" s="83">
        <v>8250</v>
      </c>
      <c r="AG78" s="83">
        <v>8000</v>
      </c>
      <c r="AH78" s="83">
        <v>8250</v>
      </c>
      <c r="AI78" s="83">
        <v>8250</v>
      </c>
      <c r="AJ78" s="184">
        <v>8000</v>
      </c>
      <c r="AK78" s="184">
        <v>8250</v>
      </c>
      <c r="AL78" s="184">
        <v>8250</v>
      </c>
      <c r="AM78" s="175">
        <v>10000</v>
      </c>
      <c r="AN78" s="175">
        <v>10250</v>
      </c>
      <c r="AO78" s="176">
        <v>10250</v>
      </c>
      <c r="AP78" s="177">
        <v>8500</v>
      </c>
      <c r="AQ78" s="177">
        <v>8750</v>
      </c>
      <c r="AR78" s="177">
        <v>8750</v>
      </c>
      <c r="AS78" s="177">
        <v>8700</v>
      </c>
      <c r="AT78" s="177">
        <v>8950</v>
      </c>
      <c r="AU78" s="177">
        <v>8950</v>
      </c>
      <c r="AV78" s="175">
        <v>10000</v>
      </c>
      <c r="AW78" s="175">
        <v>10250</v>
      </c>
      <c r="AX78" s="176">
        <v>10250</v>
      </c>
      <c r="AY78" s="175">
        <v>10000</v>
      </c>
      <c r="AZ78" s="175">
        <v>10250</v>
      </c>
      <c r="BA78" s="176">
        <v>10250</v>
      </c>
      <c r="BB78" s="177">
        <v>10000</v>
      </c>
      <c r="BC78" s="177">
        <v>10250</v>
      </c>
      <c r="BD78" s="177">
        <v>10250</v>
      </c>
      <c r="BE78" s="177">
        <v>11000</v>
      </c>
      <c r="BF78" s="177">
        <v>11250</v>
      </c>
      <c r="BG78" s="177">
        <v>11250</v>
      </c>
      <c r="BH78" s="215">
        <v>6500</v>
      </c>
      <c r="BI78" s="215">
        <v>6750</v>
      </c>
      <c r="BJ78" s="215">
        <v>6750</v>
      </c>
      <c r="BK78" s="198">
        <v>8300</v>
      </c>
      <c r="BL78" s="198">
        <v>8550</v>
      </c>
      <c r="BM78" s="198">
        <v>8550</v>
      </c>
    </row>
    <row r="82" spans="1:21" ht="18.5">
      <c r="A82" s="73" t="s">
        <v>302</v>
      </c>
      <c r="B82" s="74"/>
      <c r="C82" s="75"/>
      <c r="D82" s="75"/>
      <c r="E82" s="75"/>
      <c r="F82" s="75"/>
      <c r="G82" s="80"/>
      <c r="H82" s="80"/>
      <c r="I82" s="80"/>
      <c r="J82" s="76"/>
      <c r="K82" s="59"/>
      <c r="L82" s="59"/>
      <c r="M82" s="59"/>
      <c r="N82" s="6"/>
      <c r="O82" s="6"/>
      <c r="P82" s="6"/>
      <c r="Q82" s="6"/>
      <c r="R82" s="6"/>
      <c r="S82" s="6"/>
      <c r="T82" s="6"/>
      <c r="U82" s="6"/>
    </row>
    <row r="83" spans="1:21" ht="18.5">
      <c r="A83" s="77" t="s">
        <v>167</v>
      </c>
      <c r="B83" s="78"/>
      <c r="C83" s="79"/>
      <c r="D83" s="79"/>
      <c r="E83" s="79"/>
      <c r="F83" s="77"/>
      <c r="G83" s="77"/>
      <c r="H83" s="77"/>
      <c r="I83" s="77"/>
      <c r="J83" s="77"/>
      <c r="K83" s="77"/>
      <c r="L83" s="77"/>
      <c r="M83" s="77"/>
      <c r="N83" s="6"/>
      <c r="O83" s="6"/>
      <c r="P83" s="6"/>
      <c r="Q83" s="6"/>
      <c r="R83" s="6"/>
      <c r="S83" s="6"/>
      <c r="T83" s="6"/>
      <c r="U83" s="6"/>
    </row>
    <row r="84" spans="1:21">
      <c r="A84" s="5"/>
      <c r="B84" s="6"/>
      <c r="C84" s="42"/>
      <c r="D84" s="42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ht="18.5">
      <c r="A85" s="45" t="s">
        <v>77</v>
      </c>
      <c r="B85" s="6"/>
      <c r="C85" s="8"/>
      <c r="D85" s="8"/>
      <c r="E85" s="8"/>
      <c r="F85" s="8"/>
      <c r="P85" s="8"/>
      <c r="Q85" s="8"/>
      <c r="R85" s="8"/>
      <c r="S85" s="8"/>
      <c r="T85" s="8"/>
      <c r="U85" s="8"/>
    </row>
    <row r="86" spans="1:21" ht="21">
      <c r="A86" s="35" t="s">
        <v>339</v>
      </c>
      <c r="B86" s="33"/>
      <c r="C86" s="34"/>
      <c r="D86" s="34"/>
      <c r="E86" s="34"/>
      <c r="F86" s="34"/>
      <c r="P86" s="8"/>
      <c r="Q86" s="8"/>
      <c r="R86" s="8"/>
      <c r="S86" s="8"/>
      <c r="T86" s="8"/>
      <c r="U86" s="8"/>
    </row>
    <row r="87" spans="1:21" ht="65.25" customHeight="1">
      <c r="A87" s="313" t="s">
        <v>173</v>
      </c>
      <c r="B87" s="313"/>
      <c r="C87" s="313"/>
      <c r="D87" s="313"/>
      <c r="E87" s="313"/>
      <c r="F87" s="313"/>
      <c r="P87" s="8"/>
      <c r="Q87" s="8"/>
      <c r="R87" s="8"/>
      <c r="S87" s="8"/>
      <c r="T87" s="8"/>
      <c r="U87" s="8"/>
    </row>
    <row r="88" spans="1:21" ht="9" customHeight="1">
      <c r="A88" s="58" t="s">
        <v>111</v>
      </c>
      <c r="B88" s="59"/>
      <c r="C88" s="60"/>
      <c r="D88" s="60"/>
      <c r="E88" s="60"/>
      <c r="F88" s="60"/>
      <c r="P88" s="8"/>
      <c r="Q88" s="8"/>
      <c r="R88" s="8"/>
      <c r="S88" s="8"/>
      <c r="T88" s="8"/>
      <c r="U88" s="8"/>
    </row>
    <row r="89" spans="1:21" ht="28.5">
      <c r="A89" s="84" t="s">
        <v>111</v>
      </c>
      <c r="B89" s="85"/>
      <c r="C89" s="85"/>
      <c r="D89" s="85"/>
      <c r="E89" s="85"/>
      <c r="F89" s="86"/>
      <c r="G89" s="87"/>
      <c r="H89" s="87"/>
      <c r="P89" s="8"/>
      <c r="Q89" s="8"/>
      <c r="R89" s="8"/>
      <c r="S89" s="8"/>
      <c r="T89" s="8"/>
      <c r="U89" s="8"/>
    </row>
    <row r="90" spans="1:21" ht="28.5">
      <c r="A90" s="84" t="s">
        <v>353</v>
      </c>
      <c r="B90" s="85"/>
      <c r="C90" s="85"/>
      <c r="D90" s="85"/>
      <c r="E90" s="85"/>
      <c r="F90" s="86"/>
      <c r="G90" s="87"/>
      <c r="H90" s="87"/>
      <c r="P90" s="8"/>
      <c r="Q90" s="8"/>
      <c r="R90" s="8"/>
      <c r="S90" s="8"/>
      <c r="T90" s="8"/>
      <c r="U90" s="8"/>
    </row>
    <row r="91" spans="1:21" ht="18.5">
      <c r="A91" s="252" t="s">
        <v>340</v>
      </c>
      <c r="B91" s="253"/>
      <c r="C91" s="254"/>
      <c r="D91" s="254"/>
      <c r="E91" s="254"/>
      <c r="F91" s="254"/>
      <c r="G91" s="255"/>
      <c r="H91" s="255"/>
      <c r="I91" s="256"/>
      <c r="J91" s="256"/>
      <c r="K91" s="256"/>
      <c r="L91" s="256"/>
      <c r="M91" s="256"/>
      <c r="N91" s="50"/>
      <c r="O91" s="50"/>
      <c r="P91" s="51"/>
      <c r="Q91" s="51"/>
      <c r="R91" s="51"/>
      <c r="S91" s="51"/>
      <c r="T91" s="51"/>
      <c r="U91" s="51"/>
    </row>
    <row r="92" spans="1:21" ht="18.5">
      <c r="A92" s="252" t="s">
        <v>341</v>
      </c>
      <c r="B92" s="253"/>
      <c r="C92" s="254"/>
      <c r="D92" s="254"/>
      <c r="E92" s="254"/>
      <c r="F92" s="254"/>
      <c r="G92" s="255"/>
      <c r="H92" s="255"/>
      <c r="I92" s="256"/>
      <c r="J92" s="256"/>
      <c r="K92" s="256"/>
      <c r="L92" s="256"/>
      <c r="M92" s="256"/>
      <c r="N92" s="50"/>
      <c r="O92" s="50"/>
      <c r="P92" s="51"/>
      <c r="Q92" s="51"/>
      <c r="R92" s="51"/>
      <c r="S92" s="51"/>
      <c r="T92" s="51"/>
      <c r="U92" s="51"/>
    </row>
    <row r="93" spans="1:21" ht="18.5">
      <c r="A93" s="252" t="s">
        <v>342</v>
      </c>
      <c r="B93" s="253"/>
      <c r="C93" s="254"/>
      <c r="D93" s="254"/>
      <c r="E93" s="254"/>
      <c r="F93" s="254"/>
      <c r="G93" s="255"/>
      <c r="H93" s="255"/>
      <c r="I93" s="256"/>
      <c r="J93" s="256"/>
      <c r="K93" s="256"/>
      <c r="L93" s="256"/>
      <c r="M93" s="256"/>
      <c r="N93" s="50"/>
      <c r="O93" s="50"/>
      <c r="P93" s="51"/>
      <c r="Q93" s="51"/>
      <c r="R93" s="51"/>
      <c r="S93" s="51"/>
      <c r="T93" s="51"/>
      <c r="U93" s="51"/>
    </row>
    <row r="94" spans="1:21" ht="18.5">
      <c r="A94" s="252"/>
      <c r="B94" s="253"/>
      <c r="C94" s="254"/>
      <c r="D94" s="254"/>
      <c r="E94" s="254"/>
      <c r="F94" s="254"/>
      <c r="G94" s="255"/>
      <c r="H94" s="255"/>
      <c r="I94" s="256"/>
      <c r="J94" s="256"/>
      <c r="K94" s="256"/>
      <c r="L94" s="256"/>
      <c r="M94" s="256"/>
      <c r="N94" s="50"/>
      <c r="O94" s="50"/>
      <c r="P94" s="51"/>
      <c r="Q94" s="51"/>
      <c r="R94" s="51"/>
      <c r="S94" s="51"/>
      <c r="T94" s="51"/>
      <c r="U94" s="51"/>
    </row>
    <row r="95" spans="1:21" s="8" customFormat="1" ht="31.5" customHeight="1">
      <c r="A95" s="269" t="s">
        <v>474</v>
      </c>
      <c r="B95" s="269"/>
    </row>
    <row r="96" spans="1:21" ht="34.5" customHeight="1">
      <c r="P96" s="8"/>
      <c r="Q96" s="8"/>
      <c r="R96" s="8"/>
      <c r="S96" s="8"/>
      <c r="T96" s="8"/>
      <c r="U96" s="8"/>
    </row>
    <row r="97" spans="1:21" ht="18.5">
      <c r="A97" s="52"/>
      <c r="B97" s="53"/>
    </row>
    <row r="98" spans="1:21" ht="18.5">
      <c r="A98" s="202" t="s">
        <v>272</v>
      </c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1"/>
      <c r="M98" s="201"/>
      <c r="N98" s="201"/>
      <c r="O98" s="201"/>
      <c r="P98" s="201"/>
      <c r="Q98" s="201"/>
      <c r="R98" s="201"/>
      <c r="S98" s="201"/>
      <c r="T98" s="201"/>
      <c r="U98" s="201"/>
    </row>
    <row r="99" spans="1:21" ht="18.5">
      <c r="A99" s="202" t="s">
        <v>311</v>
      </c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1"/>
      <c r="M99" s="201"/>
      <c r="N99" s="201"/>
      <c r="O99" s="201"/>
      <c r="P99" s="201"/>
      <c r="Q99" s="201"/>
      <c r="R99" s="201"/>
      <c r="S99" s="201"/>
      <c r="T99" s="201"/>
      <c r="U99" s="201"/>
    </row>
    <row r="100" spans="1:21" ht="18.5">
      <c r="A100" s="203" t="s">
        <v>313</v>
      </c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1"/>
      <c r="M100" s="201"/>
      <c r="N100" s="201"/>
      <c r="O100" s="201"/>
      <c r="P100" s="201"/>
      <c r="Q100" s="201"/>
      <c r="R100" s="201"/>
      <c r="S100" s="201"/>
      <c r="T100" s="201"/>
      <c r="U100" s="201"/>
    </row>
    <row r="101" spans="1:21" ht="18.5">
      <c r="A101" s="204" t="s">
        <v>312</v>
      </c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1"/>
      <c r="M101" s="201"/>
      <c r="N101" s="201"/>
      <c r="O101" s="201"/>
      <c r="P101" s="201"/>
      <c r="Q101" s="201"/>
      <c r="R101" s="201"/>
      <c r="S101" s="201"/>
      <c r="T101" s="201"/>
      <c r="U101" s="201"/>
    </row>
    <row r="102" spans="1:21">
      <c r="A102" s="201"/>
      <c r="B102" s="201"/>
      <c r="C102" s="201"/>
      <c r="D102" s="201"/>
      <c r="E102" s="201"/>
      <c r="F102" s="201"/>
      <c r="G102" s="201"/>
      <c r="H102" s="201"/>
      <c r="I102" s="201"/>
      <c r="J102" s="201"/>
      <c r="K102" s="201"/>
      <c r="L102" s="201"/>
      <c r="M102" s="201"/>
      <c r="N102" s="201"/>
      <c r="O102" s="201"/>
      <c r="P102" s="201"/>
      <c r="Q102" s="201"/>
      <c r="R102" s="201"/>
      <c r="S102" s="201"/>
      <c r="T102" s="201"/>
      <c r="U102" s="201"/>
    </row>
    <row r="103" spans="1:21">
      <c r="A103" s="201"/>
      <c r="B103" s="201"/>
      <c r="C103" s="201"/>
      <c r="D103" s="201"/>
      <c r="E103" s="201"/>
      <c r="F103" s="201"/>
      <c r="G103" s="201"/>
      <c r="H103" s="201"/>
      <c r="I103" s="201"/>
      <c r="J103" s="201"/>
      <c r="K103" s="201"/>
      <c r="L103" s="201"/>
      <c r="M103" s="201"/>
      <c r="N103" s="201"/>
      <c r="O103" s="201"/>
      <c r="P103" s="201"/>
      <c r="Q103" s="201"/>
      <c r="R103" s="201"/>
      <c r="S103" s="201"/>
      <c r="T103" s="201"/>
      <c r="U103" s="201"/>
    </row>
  </sheetData>
  <mergeCells count="48">
    <mergeCell ref="AM8:AO8"/>
    <mergeCell ref="AJ8:AL8"/>
    <mergeCell ref="BB7:BD7"/>
    <mergeCell ref="BE7:BG7"/>
    <mergeCell ref="AV7:AX7"/>
    <mergeCell ref="AY7:BA7"/>
    <mergeCell ref="AV8:AX8"/>
    <mergeCell ref="AY8:BA8"/>
    <mergeCell ref="AS7:AU7"/>
    <mergeCell ref="AS8:AU8"/>
    <mergeCell ref="BH7:BJ7"/>
    <mergeCell ref="BB8:BD8"/>
    <mergeCell ref="BE8:BG8"/>
    <mergeCell ref="BH8:BJ8"/>
    <mergeCell ref="AP8:AR8"/>
    <mergeCell ref="A87:F87"/>
    <mergeCell ref="X8:Z8"/>
    <mergeCell ref="C7:E7"/>
    <mergeCell ref="F7:H7"/>
    <mergeCell ref="I7:K7"/>
    <mergeCell ref="L7:N7"/>
    <mergeCell ref="O7:Q7"/>
    <mergeCell ref="AA8:AC8"/>
    <mergeCell ref="AD8:AF8"/>
    <mergeCell ref="AG8:AI8"/>
    <mergeCell ref="C8:E8"/>
    <mergeCell ref="F8:H8"/>
    <mergeCell ref="I8:K8"/>
    <mergeCell ref="R8:T8"/>
    <mergeCell ref="U8:W8"/>
    <mergeCell ref="L8:N8"/>
    <mergeCell ref="O8:Q8"/>
    <mergeCell ref="BK7:BM7"/>
    <mergeCell ref="BK8:BM8"/>
    <mergeCell ref="A4:B4"/>
    <mergeCell ref="X5:Z5"/>
    <mergeCell ref="R7:T7"/>
    <mergeCell ref="AP5:AR5"/>
    <mergeCell ref="AP7:AR7"/>
    <mergeCell ref="AM7:AO7"/>
    <mergeCell ref="C6:AL6"/>
    <mergeCell ref="U7:W7"/>
    <mergeCell ref="X7:Z7"/>
    <mergeCell ref="AA7:AC7"/>
    <mergeCell ref="AD7:AF7"/>
    <mergeCell ref="AG7:AI7"/>
    <mergeCell ref="AJ7:AL7"/>
    <mergeCell ref="AG5:A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34"/>
  <sheetViews>
    <sheetView zoomScale="82" zoomScaleNormal="82" workbookViewId="0">
      <selection activeCell="A41" sqref="A41"/>
    </sheetView>
  </sheetViews>
  <sheetFormatPr defaultRowHeight="14.5"/>
  <cols>
    <col min="1" max="1" width="40.54296875" customWidth="1"/>
    <col min="2" max="2" width="25.1796875" customWidth="1"/>
    <col min="3" max="3" width="37" customWidth="1"/>
    <col min="4" max="4" width="38.1796875" customWidth="1"/>
    <col min="5" max="5" width="30.453125" customWidth="1"/>
    <col min="6" max="6" width="28" customWidth="1"/>
    <col min="7" max="7" width="12.54296875" style="39" customWidth="1"/>
  </cols>
  <sheetData>
    <row r="1" spans="1:7" ht="18.5">
      <c r="A1" s="1" t="s">
        <v>0</v>
      </c>
      <c r="B1" s="2"/>
      <c r="C1" s="3"/>
      <c r="D1" s="3"/>
      <c r="E1" s="3"/>
      <c r="F1" s="3"/>
      <c r="G1" s="55"/>
    </row>
    <row r="2" spans="1:7">
      <c r="A2" s="4"/>
      <c r="B2" s="2"/>
      <c r="C2" s="3"/>
      <c r="D2" s="3"/>
      <c r="E2" s="3"/>
      <c r="F2" s="3"/>
      <c r="G2" s="55"/>
    </row>
    <row r="3" spans="1:7">
      <c r="A3" s="5"/>
      <c r="B3" s="6"/>
      <c r="C3" s="7" t="s">
        <v>1</v>
      </c>
      <c r="D3" s="7" t="s">
        <v>2</v>
      </c>
      <c r="E3" s="8"/>
      <c r="F3" s="8"/>
    </row>
    <row r="4" spans="1:7" ht="27" customHeight="1">
      <c r="A4" s="274" t="s">
        <v>3</v>
      </c>
      <c r="B4" s="274"/>
      <c r="C4" s="88">
        <f>CSE!C4</f>
        <v>46249</v>
      </c>
      <c r="D4" s="89">
        <f>CSE!D4</f>
        <v>46255</v>
      </c>
      <c r="E4" s="8"/>
      <c r="F4" s="8"/>
    </row>
    <row r="5" spans="1:7">
      <c r="A5" s="5"/>
      <c r="B5" s="6"/>
      <c r="C5" s="6"/>
      <c r="D5" s="6"/>
      <c r="E5" s="6"/>
      <c r="F5" s="6"/>
    </row>
    <row r="6" spans="1:7" ht="22.9" customHeight="1">
      <c r="A6" s="5"/>
      <c r="B6" s="5"/>
      <c r="C6" s="41" t="s">
        <v>5</v>
      </c>
      <c r="D6" s="41" t="s">
        <v>150</v>
      </c>
      <c r="E6" s="56"/>
      <c r="G6"/>
    </row>
    <row r="7" spans="1:7" ht="22.9" customHeight="1">
      <c r="A7" s="9"/>
      <c r="B7" s="10"/>
      <c r="C7" s="54" t="s">
        <v>8</v>
      </c>
      <c r="D7" s="54" t="s">
        <v>9</v>
      </c>
      <c r="E7" s="56"/>
      <c r="G7"/>
    </row>
    <row r="8" spans="1:7" ht="22.9" customHeight="1">
      <c r="A8" s="11" t="s">
        <v>10</v>
      </c>
      <c r="B8" s="12" t="s">
        <v>11</v>
      </c>
      <c r="C8" s="13" t="s">
        <v>153</v>
      </c>
      <c r="D8" s="13" t="s">
        <v>153</v>
      </c>
      <c r="E8" s="39"/>
      <c r="G8"/>
    </row>
    <row r="9" spans="1:7">
      <c r="A9" s="69" t="s">
        <v>163</v>
      </c>
      <c r="B9" s="70" t="s">
        <v>164</v>
      </c>
      <c r="C9" s="120">
        <v>5800</v>
      </c>
      <c r="D9" s="124">
        <v>5900</v>
      </c>
      <c r="E9" s="44"/>
      <c r="G9"/>
    </row>
    <row r="10" spans="1:7">
      <c r="A10" s="195" t="s">
        <v>303</v>
      </c>
      <c r="B10" s="70" t="s">
        <v>299</v>
      </c>
      <c r="C10" s="120">
        <v>5800</v>
      </c>
      <c r="D10" s="124">
        <v>5900</v>
      </c>
      <c r="E10" s="196"/>
      <c r="G10"/>
    </row>
    <row r="11" spans="1:7">
      <c r="A11" s="71" t="s">
        <v>17</v>
      </c>
      <c r="B11" s="72" t="s">
        <v>18</v>
      </c>
      <c r="C11" s="122">
        <v>5800</v>
      </c>
      <c r="D11" s="122">
        <v>5900</v>
      </c>
      <c r="E11" s="44"/>
      <c r="G11"/>
    </row>
    <row r="12" spans="1:7">
      <c r="A12" s="71" t="s">
        <v>19</v>
      </c>
      <c r="B12" s="72" t="s">
        <v>20</v>
      </c>
      <c r="C12" s="122">
        <v>5800</v>
      </c>
      <c r="D12" s="122">
        <v>5900</v>
      </c>
      <c r="E12" s="44"/>
      <c r="G12"/>
    </row>
    <row r="13" spans="1:7">
      <c r="A13" s="14" t="s">
        <v>15</v>
      </c>
      <c r="B13" s="15" t="s">
        <v>16</v>
      </c>
      <c r="C13" s="121">
        <v>5800</v>
      </c>
      <c r="D13" s="121">
        <v>5900</v>
      </c>
      <c r="E13" s="43"/>
      <c r="G13"/>
    </row>
    <row r="14" spans="1:7">
      <c r="A14" s="14" t="s">
        <v>27</v>
      </c>
      <c r="B14" s="15" t="s">
        <v>28</v>
      </c>
      <c r="C14" s="121">
        <v>5900</v>
      </c>
      <c r="D14" s="121">
        <v>6000</v>
      </c>
      <c r="E14" s="43"/>
      <c r="G14"/>
    </row>
    <row r="15" spans="1:7">
      <c r="A15" s="67" t="s">
        <v>165</v>
      </c>
      <c r="B15" s="68" t="s">
        <v>166</v>
      </c>
      <c r="C15" s="123">
        <v>5950</v>
      </c>
      <c r="D15" s="123">
        <v>6050</v>
      </c>
      <c r="E15" s="81"/>
      <c r="G15"/>
    </row>
    <row r="16" spans="1:7">
      <c r="A16" s="14" t="s">
        <v>118</v>
      </c>
      <c r="B16" s="15" t="s">
        <v>119</v>
      </c>
      <c r="C16" s="121">
        <v>5900</v>
      </c>
      <c r="D16" s="121">
        <v>6000</v>
      </c>
      <c r="E16" s="43"/>
      <c r="G16"/>
    </row>
    <row r="17" spans="1:9">
      <c r="A17" s="14" t="s">
        <v>120</v>
      </c>
      <c r="B17" s="15" t="s">
        <v>154</v>
      </c>
      <c r="C17" s="121">
        <v>5900</v>
      </c>
      <c r="D17" s="121">
        <v>6000</v>
      </c>
      <c r="E17" s="43"/>
      <c r="G17"/>
    </row>
    <row r="18" spans="1:9">
      <c r="A18" s="14" t="s">
        <v>155</v>
      </c>
      <c r="B18" s="15" t="s">
        <v>156</v>
      </c>
      <c r="C18" s="121">
        <v>5900</v>
      </c>
      <c r="D18" s="121">
        <v>6000</v>
      </c>
      <c r="E18" s="43"/>
      <c r="G18"/>
    </row>
    <row r="19" spans="1:9">
      <c r="A19" s="14" t="s">
        <v>122</v>
      </c>
      <c r="B19" s="15" t="s">
        <v>123</v>
      </c>
      <c r="C19" s="121">
        <v>5900</v>
      </c>
      <c r="D19" s="121">
        <v>6000</v>
      </c>
      <c r="E19" s="43"/>
      <c r="G19"/>
    </row>
    <row r="20" spans="1:9">
      <c r="A20" s="14" t="s">
        <v>31</v>
      </c>
      <c r="B20" s="15" t="s">
        <v>32</v>
      </c>
      <c r="C20" s="121">
        <v>5900</v>
      </c>
      <c r="D20" s="121">
        <v>6000</v>
      </c>
      <c r="E20" s="43"/>
      <c r="G20"/>
    </row>
    <row r="21" spans="1:9">
      <c r="A21" s="14" t="s">
        <v>33</v>
      </c>
      <c r="B21" s="16" t="s">
        <v>34</v>
      </c>
      <c r="C21" s="121">
        <v>5900</v>
      </c>
      <c r="D21" s="121">
        <v>6000</v>
      </c>
      <c r="E21" s="43"/>
      <c r="G21"/>
    </row>
    <row r="22" spans="1:9">
      <c r="A22" s="14" t="s">
        <v>37</v>
      </c>
      <c r="B22" s="15" t="s">
        <v>38</v>
      </c>
      <c r="C22" s="121">
        <v>5900</v>
      </c>
      <c r="D22" s="121">
        <v>6000</v>
      </c>
      <c r="E22" s="43"/>
      <c r="G22"/>
    </row>
    <row r="23" spans="1:9">
      <c r="A23" s="36" t="s">
        <v>49</v>
      </c>
      <c r="B23" s="36" t="s">
        <v>50</v>
      </c>
      <c r="C23" s="121">
        <v>5900</v>
      </c>
      <c r="D23" s="121">
        <v>6000</v>
      </c>
      <c r="E23" s="43"/>
      <c r="G23"/>
    </row>
    <row r="24" spans="1:9">
      <c r="A24" s="36" t="s">
        <v>51</v>
      </c>
      <c r="B24" s="36" t="s">
        <v>52</v>
      </c>
      <c r="C24" s="121">
        <v>5900</v>
      </c>
      <c r="D24" s="121">
        <v>6000</v>
      </c>
      <c r="E24" s="43"/>
      <c r="G24"/>
    </row>
    <row r="25" spans="1:9">
      <c r="A25" s="36" t="s">
        <v>57</v>
      </c>
      <c r="B25" s="36" t="s">
        <v>58</v>
      </c>
      <c r="C25" s="121">
        <v>6000</v>
      </c>
      <c r="D25" s="121">
        <v>6100</v>
      </c>
      <c r="E25" s="43"/>
      <c r="G25"/>
    </row>
    <row r="26" spans="1:9">
      <c r="G26"/>
    </row>
    <row r="27" spans="1:9" ht="43.4" customHeight="1">
      <c r="A27" s="73" t="s">
        <v>302</v>
      </c>
      <c r="B27" s="62"/>
      <c r="C27" s="63"/>
      <c r="D27" s="63"/>
      <c r="E27" s="63"/>
      <c r="F27" s="63"/>
      <c r="G27" s="61"/>
      <c r="H27" s="61"/>
      <c r="I27" s="61"/>
    </row>
    <row r="28" spans="1:9" ht="38.15" customHeight="1">
      <c r="A28" s="64" t="s">
        <v>167</v>
      </c>
      <c r="B28" s="65"/>
      <c r="C28" s="66"/>
      <c r="D28" s="66"/>
      <c r="E28" s="66"/>
      <c r="F28" s="64"/>
      <c r="G28" s="64"/>
      <c r="H28" s="64"/>
      <c r="I28" s="8"/>
    </row>
    <row r="30" spans="1:9" ht="18.5">
      <c r="A30" s="45" t="s">
        <v>77</v>
      </c>
      <c r="B30" s="6"/>
      <c r="C30" s="8"/>
      <c r="D30" s="8"/>
      <c r="E30" s="8"/>
      <c r="F30" s="8"/>
    </row>
    <row r="31" spans="1:9" ht="48" customHeight="1">
      <c r="A31" s="35" t="s">
        <v>343</v>
      </c>
      <c r="B31" s="33"/>
      <c r="C31" s="34"/>
      <c r="D31" s="34"/>
      <c r="E31" s="34"/>
      <c r="F31" s="34"/>
    </row>
    <row r="32" spans="1:9" ht="60.65" customHeight="1">
      <c r="A32" s="313" t="s">
        <v>173</v>
      </c>
      <c r="B32" s="313"/>
      <c r="C32" s="313"/>
      <c r="D32" s="313"/>
      <c r="E32" s="313"/>
      <c r="F32" s="313"/>
    </row>
    <row r="33" spans="1:21" ht="41.25" customHeight="1">
      <c r="A33" s="269" t="s">
        <v>474</v>
      </c>
      <c r="G33"/>
    </row>
    <row r="34" spans="1:21" ht="44.25" customHeight="1">
      <c r="A34" s="84" t="s">
        <v>332</v>
      </c>
      <c r="B34" s="157"/>
      <c r="C34" s="157"/>
      <c r="D34" s="157"/>
      <c r="E34" s="157"/>
      <c r="F34" s="158"/>
      <c r="G34" s="159"/>
      <c r="H34" s="159"/>
      <c r="I34" s="158"/>
      <c r="J34" s="158"/>
      <c r="K34" s="158"/>
      <c r="P34" s="8"/>
      <c r="Q34" s="8"/>
      <c r="R34" s="8"/>
      <c r="S34" s="8"/>
      <c r="T34" s="8"/>
      <c r="U34" s="8"/>
    </row>
  </sheetData>
  <mergeCells count="2">
    <mergeCell ref="A4:B4"/>
    <mergeCell ref="A32:F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256A-1FAE-4781-AB3B-854863BEB1EA}">
  <sheetPr codeName="Sheet3"/>
  <dimension ref="A1:T97"/>
  <sheetViews>
    <sheetView zoomScale="78" zoomScaleNormal="78" workbookViewId="0">
      <selection activeCell="A100" sqref="A100"/>
    </sheetView>
  </sheetViews>
  <sheetFormatPr defaultRowHeight="14.5"/>
  <cols>
    <col min="1" max="2" width="22.7265625" customWidth="1"/>
    <col min="3" max="3" width="18.26953125" customWidth="1"/>
    <col min="4" max="4" width="15.54296875" customWidth="1"/>
    <col min="5" max="5" width="12.453125" customWidth="1"/>
    <col min="6" max="6" width="16.1796875" customWidth="1"/>
    <col min="7" max="7" width="14.453125" customWidth="1"/>
    <col min="8" max="8" width="12.453125" customWidth="1"/>
  </cols>
  <sheetData>
    <row r="1" spans="1:11" ht="18.5">
      <c r="A1" s="1" t="s">
        <v>0</v>
      </c>
      <c r="B1" s="2"/>
      <c r="C1" s="3"/>
      <c r="D1" s="3"/>
    </row>
    <row r="2" spans="1:11">
      <c r="A2" s="4"/>
      <c r="B2" s="2"/>
      <c r="C2" s="3"/>
      <c r="D2" s="3"/>
    </row>
    <row r="3" spans="1:11">
      <c r="A3" s="5"/>
      <c r="B3" s="6"/>
      <c r="C3" s="7" t="s">
        <v>1</v>
      </c>
      <c r="D3" s="7" t="s">
        <v>2</v>
      </c>
    </row>
    <row r="4" spans="1:11" ht="33" customHeight="1">
      <c r="A4" s="274" t="s">
        <v>3</v>
      </c>
      <c r="B4" s="274"/>
      <c r="C4" s="88">
        <f>CSE!C4</f>
        <v>46249</v>
      </c>
      <c r="D4" s="89">
        <f>CSE!D4</f>
        <v>46255</v>
      </c>
      <c r="K4" s="164" t="s">
        <v>111</v>
      </c>
    </row>
    <row r="5" spans="1:11">
      <c r="C5" s="164" t="s">
        <v>111</v>
      </c>
    </row>
    <row r="6" spans="1:11">
      <c r="C6" s="317" t="s">
        <v>114</v>
      </c>
      <c r="D6" s="295"/>
      <c r="E6" s="296"/>
      <c r="F6" s="317" t="s">
        <v>115</v>
      </c>
      <c r="G6" s="295"/>
      <c r="H6" s="296"/>
    </row>
    <row r="7" spans="1:11">
      <c r="C7" s="300" t="s">
        <v>151</v>
      </c>
      <c r="D7" s="301"/>
      <c r="E7" s="301"/>
      <c r="F7" s="300" t="s">
        <v>152</v>
      </c>
      <c r="G7" s="301"/>
      <c r="H7" s="301"/>
    </row>
    <row r="8" spans="1:11">
      <c r="A8" s="102" t="s">
        <v>10</v>
      </c>
      <c r="B8" s="103" t="s">
        <v>11</v>
      </c>
      <c r="C8" s="104" t="s">
        <v>12</v>
      </c>
      <c r="D8" s="104" t="s">
        <v>13</v>
      </c>
      <c r="E8" s="104" t="s">
        <v>14</v>
      </c>
      <c r="F8" s="104" t="s">
        <v>12</v>
      </c>
      <c r="G8" s="104" t="s">
        <v>13</v>
      </c>
      <c r="H8" s="104" t="s">
        <v>14</v>
      </c>
    </row>
    <row r="9" spans="1:11">
      <c r="A9" s="105" t="s">
        <v>163</v>
      </c>
      <c r="B9" s="106" t="s">
        <v>164</v>
      </c>
      <c r="C9" s="82">
        <v>8600</v>
      </c>
      <c r="D9" s="82">
        <v>8600</v>
      </c>
      <c r="E9" s="82">
        <v>8600</v>
      </c>
      <c r="F9" s="82">
        <v>8600</v>
      </c>
      <c r="G9" s="82">
        <v>8600</v>
      </c>
      <c r="H9" s="82">
        <v>8600</v>
      </c>
    </row>
    <row r="10" spans="1:11">
      <c r="A10" s="105" t="s">
        <v>303</v>
      </c>
      <c r="B10" s="106" t="s">
        <v>299</v>
      </c>
      <c r="C10" s="82">
        <v>8600</v>
      </c>
      <c r="D10" s="82">
        <v>8600</v>
      </c>
      <c r="E10" s="82">
        <v>8600</v>
      </c>
      <c r="F10" s="82">
        <v>8600</v>
      </c>
      <c r="G10" s="82">
        <v>8600</v>
      </c>
      <c r="H10" s="82">
        <v>8600</v>
      </c>
    </row>
    <row r="11" spans="1:11">
      <c r="A11" s="107" t="s">
        <v>15</v>
      </c>
      <c r="B11" s="108" t="s">
        <v>16</v>
      </c>
      <c r="C11" s="83">
        <v>8600</v>
      </c>
      <c r="D11" s="83">
        <v>8600</v>
      </c>
      <c r="E11" s="83">
        <v>8600</v>
      </c>
      <c r="F11" s="83">
        <v>8600</v>
      </c>
      <c r="G11" s="83">
        <v>8600</v>
      </c>
      <c r="H11" s="83">
        <v>8600</v>
      </c>
    </row>
    <row r="12" spans="1:11">
      <c r="A12" s="109" t="s">
        <v>17</v>
      </c>
      <c r="B12" s="110" t="s">
        <v>18</v>
      </c>
      <c r="C12" s="83">
        <v>8650</v>
      </c>
      <c r="D12" s="83">
        <v>8600</v>
      </c>
      <c r="E12" s="83">
        <v>8600</v>
      </c>
      <c r="F12" s="83">
        <v>8650</v>
      </c>
      <c r="G12" s="83">
        <v>8600</v>
      </c>
      <c r="H12" s="83">
        <v>8600</v>
      </c>
    </row>
    <row r="13" spans="1:11">
      <c r="A13" s="109" t="s">
        <v>19</v>
      </c>
      <c r="B13" s="110" t="s">
        <v>20</v>
      </c>
      <c r="C13" s="83">
        <v>8650</v>
      </c>
      <c r="D13" s="83">
        <v>8600</v>
      </c>
      <c r="E13" s="83">
        <v>8600</v>
      </c>
      <c r="F13" s="83">
        <v>8650</v>
      </c>
      <c r="G13" s="83">
        <v>8600</v>
      </c>
      <c r="H13" s="83">
        <v>8600</v>
      </c>
    </row>
    <row r="14" spans="1:11">
      <c r="A14" s="107" t="s">
        <v>116</v>
      </c>
      <c r="B14" s="108" t="s">
        <v>212</v>
      </c>
      <c r="C14" s="83">
        <v>8700</v>
      </c>
      <c r="D14" s="83">
        <v>8800</v>
      </c>
      <c r="E14" s="83">
        <v>8800</v>
      </c>
      <c r="F14" s="83">
        <v>8700</v>
      </c>
      <c r="G14" s="83">
        <v>8800</v>
      </c>
      <c r="H14" s="83">
        <v>8800</v>
      </c>
    </row>
    <row r="15" spans="1:11">
      <c r="A15" s="107" t="s">
        <v>117</v>
      </c>
      <c r="B15" s="108" t="s">
        <v>213</v>
      </c>
      <c r="C15" s="83">
        <v>8700</v>
      </c>
      <c r="D15" s="83">
        <v>8800</v>
      </c>
      <c r="E15" s="83">
        <v>8800</v>
      </c>
      <c r="F15" s="83">
        <v>8700</v>
      </c>
      <c r="G15" s="83">
        <v>8800</v>
      </c>
      <c r="H15" s="83">
        <v>8800</v>
      </c>
    </row>
    <row r="16" spans="1:11">
      <c r="A16" s="107" t="s">
        <v>27</v>
      </c>
      <c r="B16" s="108" t="s">
        <v>28</v>
      </c>
      <c r="C16" s="83">
        <v>8650</v>
      </c>
      <c r="D16" s="83">
        <v>8700</v>
      </c>
      <c r="E16" s="83">
        <v>8700</v>
      </c>
      <c r="F16" s="83">
        <v>8650</v>
      </c>
      <c r="G16" s="83">
        <v>8700</v>
      </c>
      <c r="H16" s="83">
        <v>8700</v>
      </c>
    </row>
    <row r="17" spans="1:8">
      <c r="A17" s="111" t="s">
        <v>165</v>
      </c>
      <c r="B17" s="112" t="s">
        <v>166</v>
      </c>
      <c r="C17" s="90">
        <v>8675</v>
      </c>
      <c r="D17" s="90">
        <v>8750</v>
      </c>
      <c r="E17" s="90">
        <v>8750</v>
      </c>
      <c r="F17" s="90">
        <v>8675</v>
      </c>
      <c r="G17" s="90">
        <v>8750</v>
      </c>
      <c r="H17" s="90">
        <v>8750</v>
      </c>
    </row>
    <row r="18" spans="1:8">
      <c r="A18" s="107" t="s">
        <v>29</v>
      </c>
      <c r="B18" s="108" t="s">
        <v>30</v>
      </c>
      <c r="C18" s="83">
        <v>8700</v>
      </c>
      <c r="D18" s="83">
        <v>8850</v>
      </c>
      <c r="E18" s="83">
        <v>8850</v>
      </c>
      <c r="F18" s="83">
        <v>8700</v>
      </c>
      <c r="G18" s="83">
        <v>8850</v>
      </c>
      <c r="H18" s="83">
        <v>8850</v>
      </c>
    </row>
    <row r="19" spans="1:8">
      <c r="A19" s="107" t="s">
        <v>118</v>
      </c>
      <c r="B19" s="108" t="s">
        <v>214</v>
      </c>
      <c r="C19" s="83">
        <v>8650</v>
      </c>
      <c r="D19" s="83">
        <v>8700</v>
      </c>
      <c r="E19" s="83">
        <v>8700</v>
      </c>
      <c r="F19" s="83">
        <v>8650</v>
      </c>
      <c r="G19" s="83">
        <v>8700</v>
      </c>
      <c r="H19" s="83">
        <v>8700</v>
      </c>
    </row>
    <row r="20" spans="1:8">
      <c r="A20" s="107" t="s">
        <v>120</v>
      </c>
      <c r="B20" s="108" t="s">
        <v>215</v>
      </c>
      <c r="C20" s="83">
        <v>8650</v>
      </c>
      <c r="D20" s="83">
        <v>8700</v>
      </c>
      <c r="E20" s="83">
        <v>8700</v>
      </c>
      <c r="F20" s="83">
        <v>8650</v>
      </c>
      <c r="G20" s="83">
        <v>8700</v>
      </c>
      <c r="H20" s="83">
        <v>8700</v>
      </c>
    </row>
    <row r="21" spans="1:8">
      <c r="A21" s="107" t="s">
        <v>121</v>
      </c>
      <c r="B21" s="108" t="s">
        <v>156</v>
      </c>
      <c r="C21" s="83">
        <v>8650</v>
      </c>
      <c r="D21" s="83">
        <v>8700</v>
      </c>
      <c r="E21" s="83">
        <v>8700</v>
      </c>
      <c r="F21" s="83">
        <v>8650</v>
      </c>
      <c r="G21" s="83">
        <v>8700</v>
      </c>
      <c r="H21" s="83">
        <v>8700</v>
      </c>
    </row>
    <row r="22" spans="1:8">
      <c r="A22" s="107" t="s">
        <v>122</v>
      </c>
      <c r="B22" s="108" t="s">
        <v>216</v>
      </c>
      <c r="C22" s="83">
        <v>8650</v>
      </c>
      <c r="D22" s="83">
        <v>8700</v>
      </c>
      <c r="E22" s="83">
        <v>8700</v>
      </c>
      <c r="F22" s="83">
        <v>8650</v>
      </c>
      <c r="G22" s="83">
        <v>8700</v>
      </c>
      <c r="H22" s="83">
        <v>8700</v>
      </c>
    </row>
    <row r="23" spans="1:8">
      <c r="A23" s="107" t="s">
        <v>31</v>
      </c>
      <c r="B23" s="108" t="s">
        <v>32</v>
      </c>
      <c r="C23" s="83">
        <v>8650</v>
      </c>
      <c r="D23" s="83">
        <v>8700</v>
      </c>
      <c r="E23" s="83">
        <v>8700</v>
      </c>
      <c r="F23" s="83">
        <v>8650</v>
      </c>
      <c r="G23" s="83">
        <v>8700</v>
      </c>
      <c r="H23" s="83">
        <v>8700</v>
      </c>
    </row>
    <row r="24" spans="1:8">
      <c r="A24" s="107" t="s">
        <v>124</v>
      </c>
      <c r="B24" s="108" t="s">
        <v>217</v>
      </c>
      <c r="C24" s="83">
        <v>8800</v>
      </c>
      <c r="D24" s="83">
        <v>9000</v>
      </c>
      <c r="E24" s="83">
        <v>9000</v>
      </c>
      <c r="F24" s="83">
        <v>8800</v>
      </c>
      <c r="G24" s="83">
        <v>9000</v>
      </c>
      <c r="H24" s="83">
        <v>9000</v>
      </c>
    </row>
    <row r="25" spans="1:8">
      <c r="A25" s="107" t="s">
        <v>125</v>
      </c>
      <c r="B25" s="108" t="s">
        <v>218</v>
      </c>
      <c r="C25" s="83">
        <v>8800</v>
      </c>
      <c r="D25" s="83">
        <v>9000</v>
      </c>
      <c r="E25" s="83">
        <v>9000</v>
      </c>
      <c r="F25" s="83">
        <v>8800</v>
      </c>
      <c r="G25" s="83">
        <v>9000</v>
      </c>
      <c r="H25" s="83">
        <v>9000</v>
      </c>
    </row>
    <row r="26" spans="1:8">
      <c r="A26" s="107" t="s">
        <v>33</v>
      </c>
      <c r="B26" s="108" t="s">
        <v>34</v>
      </c>
      <c r="C26" s="83">
        <v>8650</v>
      </c>
      <c r="D26" s="83">
        <v>8700</v>
      </c>
      <c r="E26" s="83">
        <v>8700</v>
      </c>
      <c r="F26" s="83">
        <v>8650</v>
      </c>
      <c r="G26" s="83">
        <v>8700</v>
      </c>
      <c r="H26" s="83">
        <v>8700</v>
      </c>
    </row>
    <row r="27" spans="1:8">
      <c r="A27" s="107" t="s">
        <v>35</v>
      </c>
      <c r="B27" s="108" t="s">
        <v>36</v>
      </c>
      <c r="C27" s="83">
        <v>8650</v>
      </c>
      <c r="D27" s="83">
        <v>8700</v>
      </c>
      <c r="E27" s="83">
        <v>8700</v>
      </c>
      <c r="F27" s="83">
        <v>8650</v>
      </c>
      <c r="G27" s="83">
        <v>8700</v>
      </c>
      <c r="H27" s="83">
        <v>8700</v>
      </c>
    </row>
    <row r="28" spans="1:8">
      <c r="A28" s="107" t="s">
        <v>126</v>
      </c>
      <c r="B28" s="108" t="s">
        <v>219</v>
      </c>
      <c r="C28" s="83">
        <v>8700</v>
      </c>
      <c r="D28" s="83">
        <v>8800</v>
      </c>
      <c r="E28" s="83">
        <v>8800</v>
      </c>
      <c r="F28" s="83">
        <v>8700</v>
      </c>
      <c r="G28" s="83">
        <v>8800</v>
      </c>
      <c r="H28" s="83">
        <v>8800</v>
      </c>
    </row>
    <row r="29" spans="1:8">
      <c r="A29" s="107" t="s">
        <v>127</v>
      </c>
      <c r="B29" s="108" t="s">
        <v>220</v>
      </c>
      <c r="C29" s="83">
        <v>8700</v>
      </c>
      <c r="D29" s="83">
        <v>8800</v>
      </c>
      <c r="E29" s="83">
        <v>8800</v>
      </c>
      <c r="F29" s="83">
        <v>8700</v>
      </c>
      <c r="G29" s="83">
        <v>8800</v>
      </c>
      <c r="H29" s="83">
        <v>8800</v>
      </c>
    </row>
    <row r="30" spans="1:8">
      <c r="A30" s="107" t="s">
        <v>37</v>
      </c>
      <c r="B30" s="108" t="s">
        <v>38</v>
      </c>
      <c r="C30" s="83">
        <v>8650</v>
      </c>
      <c r="D30" s="83">
        <v>8700</v>
      </c>
      <c r="E30" s="83">
        <v>8700</v>
      </c>
      <c r="F30" s="83">
        <v>8650</v>
      </c>
      <c r="G30" s="83">
        <v>8700</v>
      </c>
      <c r="H30" s="83">
        <v>8700</v>
      </c>
    </row>
    <row r="31" spans="1:8">
      <c r="A31" s="107" t="s">
        <v>39</v>
      </c>
      <c r="B31" s="108" t="s">
        <v>40</v>
      </c>
      <c r="C31" s="83">
        <v>8700</v>
      </c>
      <c r="D31" s="83">
        <v>8800</v>
      </c>
      <c r="E31" s="83">
        <v>8800</v>
      </c>
      <c r="F31" s="83">
        <v>8700</v>
      </c>
      <c r="G31" s="83">
        <v>8800</v>
      </c>
      <c r="H31" s="83">
        <v>8800</v>
      </c>
    </row>
    <row r="32" spans="1:8">
      <c r="A32" s="107" t="s">
        <v>41</v>
      </c>
      <c r="B32" s="108" t="s">
        <v>42</v>
      </c>
      <c r="C32" s="83">
        <v>8700</v>
      </c>
      <c r="D32" s="83">
        <v>8800</v>
      </c>
      <c r="E32" s="83">
        <v>8800</v>
      </c>
      <c r="F32" s="83">
        <v>8700</v>
      </c>
      <c r="G32" s="83">
        <v>8800</v>
      </c>
      <c r="H32" s="83">
        <v>8800</v>
      </c>
    </row>
    <row r="33" spans="1:8">
      <c r="A33" s="107" t="s">
        <v>43</v>
      </c>
      <c r="B33" s="108" t="s">
        <v>44</v>
      </c>
      <c r="C33" s="83">
        <v>8700</v>
      </c>
      <c r="D33" s="83">
        <v>8800</v>
      </c>
      <c r="E33" s="83">
        <v>8800</v>
      </c>
      <c r="F33" s="83">
        <v>8700</v>
      </c>
      <c r="G33" s="83">
        <v>8800</v>
      </c>
      <c r="H33" s="83">
        <v>8800</v>
      </c>
    </row>
    <row r="34" spans="1:8">
      <c r="A34" s="107" t="s">
        <v>45</v>
      </c>
      <c r="B34" s="108" t="s">
        <v>46</v>
      </c>
      <c r="C34" s="83">
        <v>8800</v>
      </c>
      <c r="D34" s="83">
        <v>8900</v>
      </c>
      <c r="E34" s="83">
        <v>8900</v>
      </c>
      <c r="F34" s="83">
        <v>8800</v>
      </c>
      <c r="G34" s="83">
        <v>8900</v>
      </c>
      <c r="H34" s="83">
        <v>8900</v>
      </c>
    </row>
    <row r="35" spans="1:8">
      <c r="A35" s="107" t="s">
        <v>47</v>
      </c>
      <c r="B35" s="108" t="s">
        <v>48</v>
      </c>
      <c r="C35" s="83">
        <v>8880</v>
      </c>
      <c r="D35" s="83">
        <v>9160</v>
      </c>
      <c r="E35" s="83">
        <v>9160</v>
      </c>
      <c r="F35" s="83">
        <v>8880</v>
      </c>
      <c r="G35" s="83">
        <v>9160</v>
      </c>
      <c r="H35" s="83">
        <v>9160</v>
      </c>
    </row>
    <row r="36" spans="1:8">
      <c r="A36" s="107" t="s">
        <v>333</v>
      </c>
      <c r="B36" s="108" t="s">
        <v>334</v>
      </c>
      <c r="C36" s="83">
        <v>8700</v>
      </c>
      <c r="D36" s="83">
        <v>8800</v>
      </c>
      <c r="E36" s="83">
        <v>8800</v>
      </c>
      <c r="F36" s="83">
        <v>8700</v>
      </c>
      <c r="G36" s="83">
        <v>8800</v>
      </c>
      <c r="H36" s="83">
        <v>8800</v>
      </c>
    </row>
    <row r="37" spans="1:8">
      <c r="A37" s="107" t="s">
        <v>49</v>
      </c>
      <c r="B37" s="108" t="s">
        <v>50</v>
      </c>
      <c r="C37" s="83">
        <v>8650</v>
      </c>
      <c r="D37" s="83">
        <v>8700</v>
      </c>
      <c r="E37" s="83">
        <v>8700</v>
      </c>
      <c r="F37" s="83">
        <v>8650</v>
      </c>
      <c r="G37" s="83">
        <v>8700</v>
      </c>
      <c r="H37" s="83">
        <v>8700</v>
      </c>
    </row>
    <row r="38" spans="1:8">
      <c r="A38" s="107" t="s">
        <v>51</v>
      </c>
      <c r="B38" s="108" t="s">
        <v>52</v>
      </c>
      <c r="C38" s="83">
        <v>8650</v>
      </c>
      <c r="D38" s="83">
        <v>8700</v>
      </c>
      <c r="E38" s="83">
        <v>8700</v>
      </c>
      <c r="F38" s="83">
        <v>8650</v>
      </c>
      <c r="G38" s="83">
        <v>8700</v>
      </c>
      <c r="H38" s="83">
        <v>8700</v>
      </c>
    </row>
    <row r="39" spans="1:8">
      <c r="A39" s="107" t="s">
        <v>53</v>
      </c>
      <c r="B39" s="108" t="s">
        <v>54</v>
      </c>
      <c r="C39" s="83">
        <v>8700</v>
      </c>
      <c r="D39" s="83">
        <v>8800</v>
      </c>
      <c r="E39" s="83">
        <v>8800</v>
      </c>
      <c r="F39" s="83">
        <v>8700</v>
      </c>
      <c r="G39" s="83">
        <v>8800</v>
      </c>
      <c r="H39" s="83">
        <v>8800</v>
      </c>
    </row>
    <row r="40" spans="1:8">
      <c r="A40" s="107" t="s">
        <v>55</v>
      </c>
      <c r="B40" s="108" t="s">
        <v>56</v>
      </c>
      <c r="C40" s="83">
        <v>8750</v>
      </c>
      <c r="D40" s="83">
        <v>8900</v>
      </c>
      <c r="E40" s="83">
        <v>8900</v>
      </c>
      <c r="F40" s="83">
        <v>8750</v>
      </c>
      <c r="G40" s="83">
        <v>8900</v>
      </c>
      <c r="H40" s="83">
        <v>8900</v>
      </c>
    </row>
    <row r="41" spans="1:8">
      <c r="A41" s="107" t="s">
        <v>57</v>
      </c>
      <c r="B41" s="108" t="s">
        <v>58</v>
      </c>
      <c r="C41" s="83">
        <v>8700</v>
      </c>
      <c r="D41" s="83">
        <v>8800</v>
      </c>
      <c r="E41" s="83">
        <v>8800</v>
      </c>
      <c r="F41" s="83">
        <v>8700</v>
      </c>
      <c r="G41" s="83">
        <v>8800</v>
      </c>
      <c r="H41" s="83">
        <v>8800</v>
      </c>
    </row>
    <row r="42" spans="1:8">
      <c r="A42" s="113" t="s">
        <v>128</v>
      </c>
      <c r="B42" s="108" t="s">
        <v>221</v>
      </c>
      <c r="C42" s="83">
        <v>8750</v>
      </c>
      <c r="D42" s="83">
        <v>8900</v>
      </c>
      <c r="E42" s="83">
        <v>8900</v>
      </c>
      <c r="F42" s="83">
        <v>8750</v>
      </c>
      <c r="G42" s="83">
        <v>8900</v>
      </c>
      <c r="H42" s="83">
        <v>8900</v>
      </c>
    </row>
    <row r="43" spans="1:8">
      <c r="A43" s="113" t="s">
        <v>129</v>
      </c>
      <c r="B43" s="108" t="s">
        <v>222</v>
      </c>
      <c r="C43" s="83">
        <v>8750</v>
      </c>
      <c r="D43" s="83">
        <v>8900</v>
      </c>
      <c r="E43" s="83">
        <v>8900</v>
      </c>
      <c r="F43" s="83">
        <v>8750</v>
      </c>
      <c r="G43" s="83">
        <v>8900</v>
      </c>
      <c r="H43" s="83">
        <v>8900</v>
      </c>
    </row>
    <row r="44" spans="1:8">
      <c r="A44" s="107" t="s">
        <v>59</v>
      </c>
      <c r="B44" s="108" t="s">
        <v>60</v>
      </c>
      <c r="C44" s="83">
        <v>8900</v>
      </c>
      <c r="D44" s="83">
        <v>9200</v>
      </c>
      <c r="E44" s="83">
        <v>9200</v>
      </c>
      <c r="F44" s="83">
        <v>8900</v>
      </c>
      <c r="G44" s="83">
        <v>9200</v>
      </c>
      <c r="H44" s="83">
        <v>9200</v>
      </c>
    </row>
    <row r="45" spans="1:8">
      <c r="A45" s="107" t="s">
        <v>61</v>
      </c>
      <c r="B45" s="108" t="s">
        <v>62</v>
      </c>
      <c r="C45" s="83">
        <v>8700</v>
      </c>
      <c r="D45" s="83">
        <v>8800</v>
      </c>
      <c r="E45" s="83">
        <v>8800</v>
      </c>
      <c r="F45" s="83">
        <v>8700</v>
      </c>
      <c r="G45" s="83">
        <v>8800</v>
      </c>
      <c r="H45" s="83">
        <v>8800</v>
      </c>
    </row>
    <row r="46" spans="1:8">
      <c r="A46" s="107" t="s">
        <v>63</v>
      </c>
      <c r="B46" s="108" t="s">
        <v>64</v>
      </c>
      <c r="C46" s="83">
        <v>8750</v>
      </c>
      <c r="D46" s="83">
        <v>8900</v>
      </c>
      <c r="E46" s="83">
        <v>8900</v>
      </c>
      <c r="F46" s="83">
        <v>8750</v>
      </c>
      <c r="G46" s="83">
        <v>8900</v>
      </c>
      <c r="H46" s="83">
        <v>8900</v>
      </c>
    </row>
    <row r="47" spans="1:8">
      <c r="A47" s="107" t="s">
        <v>65</v>
      </c>
      <c r="B47" s="108" t="s">
        <v>66</v>
      </c>
      <c r="C47" s="83">
        <v>8750</v>
      </c>
      <c r="D47" s="83">
        <v>8900</v>
      </c>
      <c r="E47" s="83">
        <v>8900</v>
      </c>
      <c r="F47" s="83">
        <v>8750</v>
      </c>
      <c r="G47" s="83">
        <v>8900</v>
      </c>
      <c r="H47" s="83">
        <v>8900</v>
      </c>
    </row>
    <row r="48" spans="1:8">
      <c r="A48" s="107" t="s">
        <v>130</v>
      </c>
      <c r="B48" s="114" t="s">
        <v>223</v>
      </c>
      <c r="C48" s="83">
        <v>8900</v>
      </c>
      <c r="D48" s="83">
        <v>8900</v>
      </c>
      <c r="E48" s="83">
        <v>8900</v>
      </c>
      <c r="F48" s="83">
        <v>8900</v>
      </c>
      <c r="G48" s="83">
        <v>8900</v>
      </c>
      <c r="H48" s="83">
        <v>8900</v>
      </c>
    </row>
    <row r="49" spans="1:8">
      <c r="A49" s="107" t="s">
        <v>131</v>
      </c>
      <c r="B49" s="114" t="s">
        <v>224</v>
      </c>
      <c r="C49" s="83">
        <v>8900</v>
      </c>
      <c r="D49" s="83">
        <v>8900</v>
      </c>
      <c r="E49" s="83">
        <v>8900</v>
      </c>
      <c r="F49" s="83">
        <v>8900</v>
      </c>
      <c r="G49" s="83">
        <v>8900</v>
      </c>
      <c r="H49" s="83">
        <v>8900</v>
      </c>
    </row>
    <row r="50" spans="1:8">
      <c r="A50" s="107" t="s">
        <v>132</v>
      </c>
      <c r="B50" s="114" t="s">
        <v>225</v>
      </c>
      <c r="C50" s="83">
        <v>8900</v>
      </c>
      <c r="D50" s="83">
        <v>8900</v>
      </c>
      <c r="E50" s="83">
        <v>8900</v>
      </c>
      <c r="F50" s="83">
        <v>8900</v>
      </c>
      <c r="G50" s="83">
        <v>8900</v>
      </c>
      <c r="H50" s="83">
        <v>8900</v>
      </c>
    </row>
    <row r="51" spans="1:8">
      <c r="A51" s="107" t="s">
        <v>133</v>
      </c>
      <c r="B51" s="114" t="s">
        <v>226</v>
      </c>
      <c r="C51" s="83">
        <v>8900</v>
      </c>
      <c r="D51" s="83">
        <v>8900</v>
      </c>
      <c r="E51" s="83">
        <v>8900</v>
      </c>
      <c r="F51" s="83">
        <v>8900</v>
      </c>
      <c r="G51" s="83">
        <v>8900</v>
      </c>
      <c r="H51" s="83">
        <v>8900</v>
      </c>
    </row>
    <row r="52" spans="1:8">
      <c r="A52" s="107" t="s">
        <v>134</v>
      </c>
      <c r="B52" s="114" t="s">
        <v>227</v>
      </c>
      <c r="C52" s="83">
        <v>8900</v>
      </c>
      <c r="D52" s="83">
        <v>8900</v>
      </c>
      <c r="E52" s="83">
        <v>8900</v>
      </c>
      <c r="F52" s="83">
        <v>8900</v>
      </c>
      <c r="G52" s="83">
        <v>8900</v>
      </c>
      <c r="H52" s="83">
        <v>8900</v>
      </c>
    </row>
    <row r="53" spans="1:8">
      <c r="A53" s="107" t="s">
        <v>135</v>
      </c>
      <c r="B53" s="114" t="s">
        <v>228</v>
      </c>
      <c r="C53" s="83">
        <v>8900</v>
      </c>
      <c r="D53" s="83">
        <v>8900</v>
      </c>
      <c r="E53" s="83">
        <v>8900</v>
      </c>
      <c r="F53" s="83">
        <v>8900</v>
      </c>
      <c r="G53" s="83">
        <v>8900</v>
      </c>
      <c r="H53" s="83">
        <v>8900</v>
      </c>
    </row>
    <row r="54" spans="1:8">
      <c r="A54" s="107" t="s">
        <v>136</v>
      </c>
      <c r="B54" s="114" t="s">
        <v>229</v>
      </c>
      <c r="C54" s="83">
        <v>8900</v>
      </c>
      <c r="D54" s="83">
        <v>8900</v>
      </c>
      <c r="E54" s="83">
        <v>8900</v>
      </c>
      <c r="F54" s="83">
        <v>8900</v>
      </c>
      <c r="G54" s="83">
        <v>8900</v>
      </c>
      <c r="H54" s="83">
        <v>8900</v>
      </c>
    </row>
    <row r="55" spans="1:8">
      <c r="A55" s="107" t="s">
        <v>137</v>
      </c>
      <c r="B55" s="114" t="s">
        <v>230</v>
      </c>
      <c r="C55" s="83">
        <v>8900</v>
      </c>
      <c r="D55" s="83">
        <v>8900</v>
      </c>
      <c r="E55" s="83">
        <v>8900</v>
      </c>
      <c r="F55" s="83">
        <v>8900</v>
      </c>
      <c r="G55" s="83">
        <v>8900</v>
      </c>
      <c r="H55" s="83">
        <v>8900</v>
      </c>
    </row>
    <row r="56" spans="1:8">
      <c r="A56" s="107" t="s">
        <v>138</v>
      </c>
      <c r="B56" s="114" t="s">
        <v>157</v>
      </c>
      <c r="C56" s="83">
        <v>8900</v>
      </c>
      <c r="D56" s="83">
        <v>8900</v>
      </c>
      <c r="E56" s="83">
        <v>8900</v>
      </c>
      <c r="F56" s="83">
        <v>8900</v>
      </c>
      <c r="G56" s="83">
        <v>8900</v>
      </c>
      <c r="H56" s="83">
        <v>8900</v>
      </c>
    </row>
    <row r="57" spans="1:8">
      <c r="A57" s="115" t="s">
        <v>139</v>
      </c>
      <c r="B57" s="116" t="s">
        <v>231</v>
      </c>
      <c r="C57" s="83">
        <v>8800</v>
      </c>
      <c r="D57" s="83">
        <v>8800</v>
      </c>
      <c r="E57" s="83">
        <v>8800</v>
      </c>
      <c r="F57" s="83">
        <v>8800</v>
      </c>
      <c r="G57" s="83">
        <v>8800</v>
      </c>
      <c r="H57" s="83">
        <v>8800</v>
      </c>
    </row>
    <row r="58" spans="1:8">
      <c r="A58" s="115" t="s">
        <v>140</v>
      </c>
      <c r="B58" s="116" t="s">
        <v>232</v>
      </c>
      <c r="C58" s="83">
        <v>8800</v>
      </c>
      <c r="D58" s="83">
        <v>8800</v>
      </c>
      <c r="E58" s="83">
        <v>8800</v>
      </c>
      <c r="F58" s="83">
        <v>8800</v>
      </c>
      <c r="G58" s="83">
        <v>8800</v>
      </c>
      <c r="H58" s="83">
        <v>8800</v>
      </c>
    </row>
    <row r="59" spans="1:8">
      <c r="A59" s="115" t="s">
        <v>141</v>
      </c>
      <c r="B59" s="116" t="s">
        <v>233</v>
      </c>
      <c r="C59" s="83">
        <v>8800</v>
      </c>
      <c r="D59" s="83">
        <v>8800</v>
      </c>
      <c r="E59" s="83">
        <v>8800</v>
      </c>
      <c r="F59" s="83">
        <v>8800</v>
      </c>
      <c r="G59" s="83">
        <v>8800</v>
      </c>
      <c r="H59" s="83">
        <v>8800</v>
      </c>
    </row>
    <row r="60" spans="1:8">
      <c r="A60" s="115" t="s">
        <v>142</v>
      </c>
      <c r="B60" s="116" t="s">
        <v>234</v>
      </c>
      <c r="C60" s="83">
        <v>8800</v>
      </c>
      <c r="D60" s="83">
        <v>8800</v>
      </c>
      <c r="E60" s="83">
        <v>8800</v>
      </c>
      <c r="F60" s="83">
        <v>8800</v>
      </c>
      <c r="G60" s="83">
        <v>8800</v>
      </c>
      <c r="H60" s="83">
        <v>8800</v>
      </c>
    </row>
    <row r="61" spans="1:8">
      <c r="A61" s="115" t="s">
        <v>143</v>
      </c>
      <c r="B61" s="116" t="s">
        <v>235</v>
      </c>
      <c r="C61" s="83">
        <v>8800</v>
      </c>
      <c r="D61" s="83">
        <v>8800</v>
      </c>
      <c r="E61" s="83">
        <v>8800</v>
      </c>
      <c r="F61" s="83">
        <v>8800</v>
      </c>
      <c r="G61" s="83">
        <v>8800</v>
      </c>
      <c r="H61" s="83">
        <v>8800</v>
      </c>
    </row>
    <row r="62" spans="1:8">
      <c r="A62" s="115" t="s">
        <v>144</v>
      </c>
      <c r="B62" s="116" t="s">
        <v>236</v>
      </c>
      <c r="C62" s="83">
        <v>8800</v>
      </c>
      <c r="D62" s="83">
        <v>8800</v>
      </c>
      <c r="E62" s="83">
        <v>8800</v>
      </c>
      <c r="F62" s="83">
        <v>8800</v>
      </c>
      <c r="G62" s="83">
        <v>8800</v>
      </c>
      <c r="H62" s="83">
        <v>8800</v>
      </c>
    </row>
    <row r="63" spans="1:8">
      <c r="A63" s="115" t="s">
        <v>145</v>
      </c>
      <c r="B63" s="116" t="s">
        <v>237</v>
      </c>
      <c r="C63" s="83">
        <v>8900</v>
      </c>
      <c r="D63" s="83">
        <v>8900</v>
      </c>
      <c r="E63" s="83">
        <v>8900</v>
      </c>
      <c r="F63" s="83">
        <v>8900</v>
      </c>
      <c r="G63" s="83">
        <v>8900</v>
      </c>
      <c r="H63" s="83">
        <v>8900</v>
      </c>
    </row>
    <row r="64" spans="1:8">
      <c r="A64" s="115" t="s">
        <v>146</v>
      </c>
      <c r="B64" s="116" t="s">
        <v>238</v>
      </c>
      <c r="C64" s="83">
        <v>8900</v>
      </c>
      <c r="D64" s="83">
        <v>8900</v>
      </c>
      <c r="E64" s="83">
        <v>8900</v>
      </c>
      <c r="F64" s="83">
        <v>8900</v>
      </c>
      <c r="G64" s="83">
        <v>8900</v>
      </c>
      <c r="H64" s="83">
        <v>8900</v>
      </c>
    </row>
    <row r="65" spans="1:10">
      <c r="A65" s="115" t="s">
        <v>147</v>
      </c>
      <c r="B65" s="116" t="s">
        <v>239</v>
      </c>
      <c r="C65" s="83">
        <v>9000</v>
      </c>
      <c r="D65" s="83">
        <v>9000</v>
      </c>
      <c r="E65" s="83">
        <v>9000</v>
      </c>
      <c r="F65" s="83">
        <v>9000</v>
      </c>
      <c r="G65" s="83">
        <v>9000</v>
      </c>
      <c r="H65" s="83">
        <v>9000</v>
      </c>
    </row>
    <row r="66" spans="1:10">
      <c r="A66" s="115" t="s">
        <v>148</v>
      </c>
      <c r="B66" s="116" t="s">
        <v>149</v>
      </c>
      <c r="C66" s="83">
        <v>9000</v>
      </c>
      <c r="D66" s="83">
        <v>9000</v>
      </c>
      <c r="E66" s="83">
        <v>9000</v>
      </c>
      <c r="F66" s="83">
        <v>9000</v>
      </c>
      <c r="G66" s="83">
        <v>9000</v>
      </c>
      <c r="H66" s="83">
        <v>9000</v>
      </c>
    </row>
    <row r="67" spans="1:10">
      <c r="A67" s="115" t="s">
        <v>171</v>
      </c>
      <c r="B67" s="116" t="s">
        <v>172</v>
      </c>
      <c r="C67" s="83">
        <v>8815</v>
      </c>
      <c r="D67" s="83">
        <v>8900</v>
      </c>
      <c r="E67" s="83">
        <v>8900</v>
      </c>
      <c r="F67" s="83">
        <v>8815</v>
      </c>
      <c r="G67" s="83">
        <v>8900</v>
      </c>
      <c r="H67" s="83">
        <v>8900</v>
      </c>
    </row>
    <row r="68" spans="1:10">
      <c r="A68" s="113" t="s">
        <v>67</v>
      </c>
      <c r="B68" s="117" t="s">
        <v>68</v>
      </c>
      <c r="C68" s="83">
        <v>8800</v>
      </c>
      <c r="D68" s="83">
        <v>8800</v>
      </c>
      <c r="E68" s="83">
        <v>8800</v>
      </c>
      <c r="F68" s="83">
        <v>8800</v>
      </c>
      <c r="G68" s="83">
        <v>8800</v>
      </c>
      <c r="H68" s="83">
        <v>8800</v>
      </c>
    </row>
    <row r="69" spans="1:10">
      <c r="A69" s="113" t="s">
        <v>69</v>
      </c>
      <c r="B69" s="118" t="s">
        <v>70</v>
      </c>
      <c r="C69" s="83">
        <v>8800</v>
      </c>
      <c r="D69" s="83">
        <v>8800</v>
      </c>
      <c r="E69" s="83">
        <v>8800</v>
      </c>
      <c r="F69" s="83">
        <v>8800</v>
      </c>
      <c r="G69" s="83">
        <v>8800</v>
      </c>
      <c r="H69" s="83">
        <v>8800</v>
      </c>
    </row>
    <row r="70" spans="1:10">
      <c r="A70" s="113" t="s">
        <v>71</v>
      </c>
      <c r="B70" s="119" t="s">
        <v>72</v>
      </c>
      <c r="C70" s="83">
        <v>8900</v>
      </c>
      <c r="D70" s="83">
        <v>8925</v>
      </c>
      <c r="E70" s="83">
        <v>8965</v>
      </c>
      <c r="F70" s="83">
        <v>8900</v>
      </c>
      <c r="G70" s="83">
        <v>8925</v>
      </c>
      <c r="H70" s="83">
        <v>8965</v>
      </c>
    </row>
    <row r="71" spans="1:10">
      <c r="A71" s="91" t="s">
        <v>73</v>
      </c>
      <c r="B71" s="92" t="s">
        <v>74</v>
      </c>
      <c r="C71" s="83">
        <v>8800</v>
      </c>
      <c r="D71" s="83">
        <v>8800</v>
      </c>
      <c r="E71" s="83">
        <v>8800</v>
      </c>
      <c r="F71" s="83">
        <v>8800</v>
      </c>
      <c r="G71" s="83">
        <v>8800</v>
      </c>
      <c r="H71" s="83">
        <v>8800</v>
      </c>
    </row>
    <row r="72" spans="1:10">
      <c r="A72" s="91" t="s">
        <v>75</v>
      </c>
      <c r="B72" s="92" t="s">
        <v>76</v>
      </c>
      <c r="C72" s="83">
        <v>8800</v>
      </c>
      <c r="D72" s="83">
        <v>8800</v>
      </c>
      <c r="E72" s="83">
        <v>8800</v>
      </c>
      <c r="F72" s="83">
        <v>8800</v>
      </c>
      <c r="G72" s="83">
        <v>8800</v>
      </c>
      <c r="H72" s="83">
        <v>8800</v>
      </c>
    </row>
    <row r="73" spans="1:10">
      <c r="A73" s="91" t="s">
        <v>174</v>
      </c>
      <c r="B73" s="92" t="s">
        <v>175</v>
      </c>
      <c r="C73" s="83">
        <v>8800</v>
      </c>
      <c r="D73" s="83">
        <v>8900</v>
      </c>
      <c r="E73" s="83">
        <v>8900</v>
      </c>
      <c r="F73" s="83">
        <v>8800</v>
      </c>
      <c r="G73" s="83">
        <v>8900</v>
      </c>
      <c r="H73" s="83">
        <v>8900</v>
      </c>
    </row>
    <row r="74" spans="1:10">
      <c r="A74" s="92" t="s">
        <v>176</v>
      </c>
      <c r="B74" s="92" t="s">
        <v>177</v>
      </c>
      <c r="C74" s="83">
        <v>8780</v>
      </c>
      <c r="D74" s="83">
        <v>8850</v>
      </c>
      <c r="E74" s="83">
        <v>8850</v>
      </c>
      <c r="F74" s="83">
        <v>8780</v>
      </c>
      <c r="G74" s="83">
        <v>8850</v>
      </c>
      <c r="H74" s="83">
        <v>8850</v>
      </c>
    </row>
    <row r="75" spans="1:10">
      <c r="A75" s="92" t="s">
        <v>178</v>
      </c>
      <c r="B75" s="92" t="s">
        <v>179</v>
      </c>
      <c r="C75" s="83">
        <v>8880</v>
      </c>
      <c r="D75" s="83">
        <v>8930</v>
      </c>
      <c r="E75" s="83">
        <v>8930</v>
      </c>
      <c r="F75" s="83">
        <v>8880</v>
      </c>
      <c r="G75" s="83">
        <v>8930</v>
      </c>
      <c r="H75" s="83">
        <v>8930</v>
      </c>
    </row>
    <row r="76" spans="1:10">
      <c r="A76" s="92" t="s">
        <v>180</v>
      </c>
      <c r="B76" s="92" t="s">
        <v>181</v>
      </c>
      <c r="C76" s="83">
        <v>8750</v>
      </c>
      <c r="D76" s="83">
        <v>8820</v>
      </c>
      <c r="E76" s="83">
        <v>8820</v>
      </c>
      <c r="F76" s="83">
        <v>8750</v>
      </c>
      <c r="G76" s="83">
        <v>8820</v>
      </c>
      <c r="H76" s="83">
        <v>8820</v>
      </c>
    </row>
    <row r="77" spans="1:10">
      <c r="A77" s="92" t="s">
        <v>182</v>
      </c>
      <c r="B77" s="92" t="s">
        <v>183</v>
      </c>
      <c r="C77" s="83">
        <v>9100</v>
      </c>
      <c r="D77" s="83">
        <v>9350</v>
      </c>
      <c r="E77" s="83">
        <v>9350</v>
      </c>
      <c r="F77" s="83">
        <v>9100</v>
      </c>
      <c r="G77" s="83">
        <v>9350</v>
      </c>
      <c r="H77" s="83">
        <v>9350</v>
      </c>
    </row>
    <row r="79" spans="1:10" ht="18.5">
      <c r="A79" s="73" t="s">
        <v>302</v>
      </c>
      <c r="B79" s="74"/>
      <c r="C79" s="75"/>
      <c r="D79" s="75"/>
      <c r="E79" s="75"/>
      <c r="F79" s="75"/>
      <c r="G79" s="80"/>
      <c r="H79" s="80"/>
      <c r="I79" s="80"/>
      <c r="J79" s="76"/>
    </row>
    <row r="80" spans="1:10" ht="18.5">
      <c r="A80" s="77" t="s">
        <v>167</v>
      </c>
      <c r="B80" s="78"/>
      <c r="C80" s="79"/>
      <c r="D80" s="79"/>
      <c r="E80" s="79"/>
      <c r="F80" s="77"/>
      <c r="G80" s="77"/>
      <c r="H80" s="77"/>
      <c r="I80" s="77"/>
      <c r="J80" s="77"/>
    </row>
    <row r="81" spans="1:20">
      <c r="A81" s="5"/>
      <c r="B81" s="6"/>
      <c r="C81" s="42"/>
      <c r="D81" s="42"/>
      <c r="E81" s="6"/>
      <c r="F81" s="6"/>
      <c r="G81" s="6"/>
      <c r="H81" s="6"/>
      <c r="I81" s="6"/>
      <c r="J81" s="6"/>
    </row>
    <row r="82" spans="1:20" ht="18.5">
      <c r="A82" s="45" t="s">
        <v>77</v>
      </c>
      <c r="B82" s="6"/>
      <c r="C82" s="8"/>
      <c r="D82" s="8"/>
      <c r="E82" s="8"/>
      <c r="F82" s="8"/>
    </row>
    <row r="83" spans="1:20" ht="21">
      <c r="A83" s="94" t="s">
        <v>344</v>
      </c>
      <c r="B83" s="95"/>
      <c r="C83" s="96"/>
      <c r="D83" s="96"/>
      <c r="E83" s="96"/>
      <c r="F83" s="96"/>
      <c r="G83" s="97"/>
      <c r="H83" s="98"/>
      <c r="I83" s="96"/>
      <c r="J83" s="96"/>
    </row>
    <row r="84" spans="1:20" ht="21">
      <c r="A84" s="94" t="s">
        <v>111</v>
      </c>
      <c r="B84" s="95"/>
      <c r="C84" s="96"/>
      <c r="D84" s="96"/>
      <c r="E84" s="96"/>
      <c r="F84" s="96"/>
      <c r="G84" s="97"/>
      <c r="H84" s="98"/>
      <c r="I84" s="96"/>
      <c r="J84" s="96"/>
    </row>
    <row r="85" spans="1:20" ht="23.5">
      <c r="A85" s="313" t="s">
        <v>173</v>
      </c>
      <c r="B85" s="313"/>
      <c r="C85" s="313"/>
      <c r="D85" s="313"/>
      <c r="E85" s="313"/>
      <c r="F85" s="313"/>
    </row>
    <row r="86" spans="1:20">
      <c r="A86" s="58" t="s">
        <v>160</v>
      </c>
      <c r="B86" s="59"/>
      <c r="C86" s="60"/>
      <c r="D86" s="60"/>
      <c r="E86" s="60"/>
      <c r="F86" s="60"/>
    </row>
    <row r="87" spans="1:20" ht="18.5">
      <c r="A87" s="46" t="s">
        <v>345</v>
      </c>
      <c r="B87" s="47"/>
      <c r="C87" s="48"/>
      <c r="D87" s="48"/>
      <c r="E87" s="48"/>
      <c r="F87" s="48"/>
      <c r="G87" s="49"/>
      <c r="H87" s="49"/>
      <c r="I87" s="155"/>
      <c r="J87" s="155"/>
      <c r="T87" t="s">
        <v>111</v>
      </c>
    </row>
    <row r="88" spans="1:20" ht="18.5">
      <c r="A88" s="46" t="s">
        <v>346</v>
      </c>
      <c r="B88" s="47"/>
      <c r="C88" s="48"/>
      <c r="D88" s="48"/>
      <c r="E88" s="48"/>
      <c r="F88" s="48"/>
      <c r="G88" s="49"/>
      <c r="H88" s="49"/>
      <c r="I88" s="155"/>
      <c r="J88" s="155"/>
    </row>
    <row r="89" spans="1:20" ht="18.5">
      <c r="A89" s="46" t="s">
        <v>347</v>
      </c>
      <c r="B89" s="47"/>
      <c r="C89" s="48"/>
      <c r="D89" s="48"/>
      <c r="E89" s="48"/>
      <c r="F89" s="48"/>
      <c r="G89" s="49"/>
      <c r="H89" s="49"/>
      <c r="I89" s="155"/>
      <c r="J89" s="155"/>
    </row>
    <row r="90" spans="1:20" ht="23.5">
      <c r="A90" s="242" t="s">
        <v>111</v>
      </c>
      <c r="B90" s="240"/>
      <c r="C90" s="240"/>
      <c r="D90" s="240"/>
      <c r="E90" s="240"/>
      <c r="F90" s="40"/>
      <c r="G90" s="40"/>
      <c r="H90" s="40"/>
      <c r="I90" s="40"/>
      <c r="J90" s="40"/>
    </row>
    <row r="92" spans="1:20" ht="28.5">
      <c r="A92" s="237" t="str">
        <f>CSE!A90</f>
        <v>ONE Bunker Surcharge (OBS): usd 320/640/640/640 per D2/D4/D5/R5 NOR during Q3 2026 (Jul-Sep)</v>
      </c>
      <c r="B92" s="238"/>
      <c r="C92" s="238"/>
      <c r="D92" s="238"/>
      <c r="E92" s="238"/>
      <c r="F92" s="239"/>
      <c r="G92" s="239"/>
      <c r="H92" s="239"/>
      <c r="I92" s="239"/>
      <c r="J92" s="239"/>
      <c r="K92" s="239"/>
      <c r="L92" s="40"/>
      <c r="M92" s="40"/>
      <c r="N92" s="40"/>
    </row>
    <row r="93" spans="1:20" ht="28.5">
      <c r="A93" s="237" t="s">
        <v>111</v>
      </c>
      <c r="B93" s="240"/>
      <c r="C93" s="240"/>
      <c r="D93" s="240"/>
      <c r="E93" s="240"/>
      <c r="F93" s="40"/>
      <c r="G93" s="241"/>
      <c r="H93" s="241"/>
      <c r="I93" s="40"/>
      <c r="J93" s="40"/>
      <c r="K93" s="40"/>
      <c r="L93" s="40"/>
      <c r="M93" s="40"/>
      <c r="N93" s="40"/>
    </row>
    <row r="94" spans="1:20" ht="18.5">
      <c r="A94" s="52"/>
      <c r="B94" s="52"/>
      <c r="C94" s="52"/>
      <c r="D94" s="52"/>
      <c r="E94" s="52"/>
      <c r="F94" s="50"/>
      <c r="G94" s="50"/>
      <c r="H94" s="50"/>
      <c r="I94" s="50"/>
      <c r="J94" s="50"/>
    </row>
    <row r="95" spans="1:20" ht="18.5">
      <c r="A95" s="269" t="s">
        <v>475</v>
      </c>
    </row>
    <row r="97" spans="1:10" ht="18.5">
      <c r="A97" s="50"/>
      <c r="B97" s="50"/>
      <c r="C97" s="50"/>
      <c r="D97" s="50"/>
      <c r="E97" s="50"/>
      <c r="F97" s="50"/>
      <c r="G97" s="50"/>
      <c r="H97" s="50"/>
      <c r="I97" s="50"/>
      <c r="J97" s="50"/>
    </row>
  </sheetData>
  <mergeCells count="6">
    <mergeCell ref="A4:B4"/>
    <mergeCell ref="A85:F85"/>
    <mergeCell ref="C6:E6"/>
    <mergeCell ref="F6:H6"/>
    <mergeCell ref="C7:E7"/>
    <mergeCell ref="F7:H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AC12-7353-4B5D-9CED-9A62948D2B83}">
  <sheetPr codeName="Sheet4"/>
  <dimension ref="A1:K42"/>
  <sheetViews>
    <sheetView topLeftCell="A31" zoomScale="70" zoomScaleNormal="70" workbookViewId="0">
      <selection activeCell="A45" sqref="A45"/>
    </sheetView>
  </sheetViews>
  <sheetFormatPr defaultColWidth="8.81640625" defaultRowHeight="14.5"/>
  <cols>
    <col min="1" max="1" width="40.54296875" customWidth="1"/>
    <col min="2" max="2" width="25.1796875" customWidth="1"/>
    <col min="3" max="3" width="30.54296875" customWidth="1"/>
    <col min="4" max="4" width="29.453125" customWidth="1"/>
    <col min="5" max="5" width="28.26953125" customWidth="1"/>
    <col min="6" max="6" width="28" customWidth="1"/>
    <col min="7" max="7" width="12.54296875" style="39" customWidth="1"/>
  </cols>
  <sheetData>
    <row r="1" spans="1:7" ht="18.5">
      <c r="A1" s="1" t="s">
        <v>0</v>
      </c>
      <c r="B1" s="2"/>
      <c r="C1" s="166"/>
      <c r="D1" s="166"/>
      <c r="F1" s="3"/>
      <c r="G1" s="55"/>
    </row>
    <row r="2" spans="1:7">
      <c r="A2" s="4"/>
      <c r="B2" s="2"/>
      <c r="C2" s="166" t="s">
        <v>111</v>
      </c>
      <c r="D2" s="166"/>
      <c r="F2" s="3"/>
      <c r="G2" s="55"/>
    </row>
    <row r="3" spans="1:7" ht="37.5" customHeight="1">
      <c r="A3" s="5"/>
      <c r="B3" s="6"/>
      <c r="C3" s="167" t="s">
        <v>1</v>
      </c>
      <c r="D3" s="167" t="s">
        <v>2</v>
      </c>
      <c r="F3" s="8"/>
    </row>
    <row r="4" spans="1:7" ht="37.5" customHeight="1">
      <c r="A4" s="274" t="s">
        <v>3</v>
      </c>
      <c r="B4" s="337"/>
      <c r="C4" s="88">
        <f>CSE!C4</f>
        <v>46249</v>
      </c>
      <c r="D4" s="89">
        <f>CSE!D4</f>
        <v>46255</v>
      </c>
      <c r="F4" s="8"/>
    </row>
    <row r="5" spans="1:7" ht="18.75" customHeight="1">
      <c r="D5" s="165" t="s">
        <v>111</v>
      </c>
      <c r="F5" s="6"/>
    </row>
    <row r="6" spans="1:7" ht="24.75" customHeight="1">
      <c r="A6" s="5"/>
      <c r="B6" s="5"/>
      <c r="C6" s="41" t="s">
        <v>110</v>
      </c>
      <c r="D6" s="41" t="s">
        <v>109</v>
      </c>
      <c r="F6" s="371"/>
      <c r="G6"/>
    </row>
    <row r="7" spans="1:7">
      <c r="A7" s="9"/>
      <c r="B7" s="10"/>
      <c r="C7" s="54" t="s">
        <v>151</v>
      </c>
      <c r="D7" s="41" t="s">
        <v>152</v>
      </c>
      <c r="F7" s="371"/>
      <c r="G7"/>
    </row>
    <row r="8" spans="1:7" ht="20.25" customHeight="1">
      <c r="A8" s="11" t="s">
        <v>10</v>
      </c>
      <c r="B8" s="12" t="s">
        <v>11</v>
      </c>
      <c r="C8" s="13" t="s">
        <v>153</v>
      </c>
      <c r="D8" s="13" t="s">
        <v>153</v>
      </c>
      <c r="F8" s="372"/>
      <c r="G8"/>
    </row>
    <row r="9" spans="1:7">
      <c r="A9" s="69" t="s">
        <v>163</v>
      </c>
      <c r="B9" s="70" t="s">
        <v>164</v>
      </c>
      <c r="C9" s="186">
        <v>7300</v>
      </c>
      <c r="D9" s="186">
        <v>7300</v>
      </c>
      <c r="F9" s="373"/>
      <c r="G9"/>
    </row>
    <row r="10" spans="1:7">
      <c r="A10" s="224" t="s">
        <v>303</v>
      </c>
      <c r="B10" s="223" t="s">
        <v>299</v>
      </c>
      <c r="C10" s="186">
        <v>7300</v>
      </c>
      <c r="D10" s="186">
        <v>7300</v>
      </c>
      <c r="F10" s="373"/>
      <c r="G10"/>
    </row>
    <row r="11" spans="1:7">
      <c r="A11" s="222" t="s">
        <v>17</v>
      </c>
      <c r="B11" s="223" t="s">
        <v>18</v>
      </c>
      <c r="C11" s="186">
        <v>7300</v>
      </c>
      <c r="D11" s="186">
        <v>7300</v>
      </c>
      <c r="F11" s="373"/>
      <c r="G11"/>
    </row>
    <row r="12" spans="1:7">
      <c r="A12" s="222" t="s">
        <v>19</v>
      </c>
      <c r="B12" s="223" t="s">
        <v>20</v>
      </c>
      <c r="C12" s="186">
        <v>7300</v>
      </c>
      <c r="D12" s="186">
        <v>7300</v>
      </c>
      <c r="F12" s="373"/>
      <c r="G12"/>
    </row>
    <row r="13" spans="1:7">
      <c r="A13" s="222" t="s">
        <v>15</v>
      </c>
      <c r="B13" s="223" t="s">
        <v>16</v>
      </c>
      <c r="C13" s="186">
        <v>7300</v>
      </c>
      <c r="D13" s="186">
        <v>7300</v>
      </c>
      <c r="F13" s="373"/>
      <c r="G13"/>
    </row>
    <row r="14" spans="1:7">
      <c r="A14" s="222" t="s">
        <v>27</v>
      </c>
      <c r="B14" s="223" t="s">
        <v>28</v>
      </c>
      <c r="C14" s="186">
        <v>7400</v>
      </c>
      <c r="D14" s="186">
        <v>7400</v>
      </c>
      <c r="F14" s="373"/>
      <c r="G14"/>
    </row>
    <row r="15" spans="1:7">
      <c r="A15" s="222" t="s">
        <v>165</v>
      </c>
      <c r="B15" s="223" t="s">
        <v>166</v>
      </c>
      <c r="C15" s="186">
        <v>7450</v>
      </c>
      <c r="D15" s="186">
        <v>7450</v>
      </c>
      <c r="F15" s="373"/>
      <c r="G15"/>
    </row>
    <row r="16" spans="1:7">
      <c r="A16" s="222" t="s">
        <v>118</v>
      </c>
      <c r="B16" s="223" t="s">
        <v>119</v>
      </c>
      <c r="C16" s="186">
        <v>7400</v>
      </c>
      <c r="D16" s="186">
        <v>7400</v>
      </c>
      <c r="F16" s="373"/>
      <c r="G16"/>
    </row>
    <row r="17" spans="1:11">
      <c r="A17" s="222" t="s">
        <v>120</v>
      </c>
      <c r="B17" s="223" t="s">
        <v>154</v>
      </c>
      <c r="C17" s="186">
        <v>7400</v>
      </c>
      <c r="D17" s="186">
        <v>7400</v>
      </c>
      <c r="F17" s="373"/>
      <c r="G17"/>
    </row>
    <row r="18" spans="1:11">
      <c r="A18" s="222" t="s">
        <v>155</v>
      </c>
      <c r="B18" s="223" t="s">
        <v>156</v>
      </c>
      <c r="C18" s="186">
        <v>7400</v>
      </c>
      <c r="D18" s="186">
        <v>7400</v>
      </c>
      <c r="F18" s="373"/>
      <c r="G18"/>
    </row>
    <row r="19" spans="1:11">
      <c r="A19" s="222" t="s">
        <v>122</v>
      </c>
      <c r="B19" s="223" t="s">
        <v>123</v>
      </c>
      <c r="C19" s="186">
        <v>7400</v>
      </c>
      <c r="D19" s="186">
        <v>7400</v>
      </c>
      <c r="F19" s="373"/>
      <c r="G19"/>
    </row>
    <row r="20" spans="1:11">
      <c r="A20" s="222" t="s">
        <v>31</v>
      </c>
      <c r="B20" s="223" t="s">
        <v>32</v>
      </c>
      <c r="C20" s="186">
        <v>7400</v>
      </c>
      <c r="D20" s="186">
        <v>7400</v>
      </c>
      <c r="F20" s="373"/>
      <c r="G20"/>
    </row>
    <row r="21" spans="1:11">
      <c r="A21" s="222" t="s">
        <v>33</v>
      </c>
      <c r="B21" s="223" t="s">
        <v>34</v>
      </c>
      <c r="C21" s="186">
        <v>7400</v>
      </c>
      <c r="D21" s="186">
        <v>7400</v>
      </c>
      <c r="F21" s="373"/>
      <c r="G21"/>
    </row>
    <row r="22" spans="1:11">
      <c r="A22" s="222" t="s">
        <v>37</v>
      </c>
      <c r="B22" s="223" t="s">
        <v>38</v>
      </c>
      <c r="C22" s="186">
        <v>7400</v>
      </c>
      <c r="D22" s="186">
        <v>7400</v>
      </c>
      <c r="F22" s="373"/>
      <c r="G22"/>
    </row>
    <row r="23" spans="1:11">
      <c r="A23" s="36" t="s">
        <v>49</v>
      </c>
      <c r="B23" s="36" t="s">
        <v>50</v>
      </c>
      <c r="C23" s="186">
        <v>7400</v>
      </c>
      <c r="D23" s="186">
        <v>7400</v>
      </c>
      <c r="F23" s="373"/>
      <c r="G23"/>
    </row>
    <row r="24" spans="1:11">
      <c r="A24" s="36" t="s">
        <v>51</v>
      </c>
      <c r="B24" s="36" t="s">
        <v>52</v>
      </c>
      <c r="C24" s="186">
        <v>7400</v>
      </c>
      <c r="D24" s="186">
        <v>7400</v>
      </c>
      <c r="F24" s="373"/>
      <c r="G24"/>
    </row>
    <row r="25" spans="1:11">
      <c r="A25" s="36" t="s">
        <v>57</v>
      </c>
      <c r="B25" s="36" t="s">
        <v>58</v>
      </c>
      <c r="C25" s="186">
        <v>7500</v>
      </c>
      <c r="D25" s="186">
        <v>7500</v>
      </c>
      <c r="F25" s="373"/>
      <c r="G25"/>
    </row>
    <row r="26" spans="1:11">
      <c r="G26"/>
    </row>
    <row r="27" spans="1:11" ht="43.4" customHeight="1">
      <c r="A27" s="73" t="s">
        <v>302</v>
      </c>
      <c r="B27" s="62"/>
      <c r="C27" s="63"/>
      <c r="D27" s="63"/>
      <c r="E27" s="63"/>
      <c r="F27" s="63"/>
      <c r="G27" s="61"/>
      <c r="H27" s="61"/>
      <c r="I27" s="61"/>
    </row>
    <row r="28" spans="1:11" ht="38.15" customHeight="1">
      <c r="A28" s="64" t="s">
        <v>167</v>
      </c>
      <c r="B28" s="65"/>
      <c r="C28" s="66"/>
      <c r="D28" s="66"/>
      <c r="E28" s="66"/>
      <c r="F28" s="64"/>
      <c r="G28" s="64"/>
      <c r="H28" s="64"/>
      <c r="I28" s="8"/>
    </row>
    <row r="30" spans="1:11" ht="18.5">
      <c r="A30" s="45" t="s">
        <v>77</v>
      </c>
      <c r="B30" s="6"/>
      <c r="C30" s="8"/>
      <c r="D30" s="8"/>
      <c r="E30" s="8"/>
      <c r="F30" s="8"/>
    </row>
    <row r="31" spans="1:11" ht="21">
      <c r="A31" s="94" t="s">
        <v>348</v>
      </c>
      <c r="B31" s="95"/>
      <c r="C31" s="96"/>
      <c r="D31" s="96"/>
      <c r="E31" s="96"/>
      <c r="F31" s="96"/>
      <c r="G31" s="97"/>
      <c r="H31" s="98"/>
      <c r="I31" s="96"/>
      <c r="J31" s="96"/>
      <c r="K31" s="96"/>
    </row>
    <row r="32" spans="1:11" ht="27.65" customHeight="1">
      <c r="A32" s="94" t="s">
        <v>111</v>
      </c>
      <c r="B32" s="95"/>
      <c r="C32" s="96"/>
      <c r="D32" s="96"/>
      <c r="E32" s="96"/>
      <c r="F32" s="96"/>
      <c r="G32" s="97"/>
      <c r="H32" s="98"/>
      <c r="I32" s="96"/>
      <c r="J32" s="96"/>
      <c r="K32" s="96"/>
    </row>
    <row r="33" spans="1:11" ht="46.15" customHeight="1">
      <c r="A33" s="313" t="s">
        <v>173</v>
      </c>
      <c r="B33" s="313"/>
      <c r="C33" s="313"/>
      <c r="D33" s="313"/>
      <c r="E33" s="313"/>
      <c r="F33" s="313"/>
    </row>
    <row r="34" spans="1:11" ht="10.4" hidden="1" customHeight="1">
      <c r="A34" s="37" t="s">
        <v>159</v>
      </c>
      <c r="B34" s="38"/>
      <c r="C34" s="38"/>
      <c r="D34" s="38"/>
      <c r="E34" s="38"/>
      <c r="F34" s="38"/>
    </row>
    <row r="35" spans="1:11" ht="8.15" customHeight="1">
      <c r="G35"/>
    </row>
    <row r="36" spans="1:11" ht="26.25" customHeight="1">
      <c r="G36"/>
    </row>
    <row r="37" spans="1:11" ht="28.5" customHeight="1">
      <c r="A37" s="156" t="str">
        <f>CSE!A90</f>
        <v>ONE Bunker Surcharge (OBS): usd 320/640/640/640 per D2/D4/D5/R5 NOR during Q3 2026 (Jul-Sep)</v>
      </c>
      <c r="B37" s="157"/>
      <c r="C37" s="157"/>
      <c r="D37" s="157"/>
      <c r="E37" s="157"/>
      <c r="F37" s="158"/>
      <c r="G37" s="159"/>
      <c r="H37" s="159"/>
      <c r="I37" s="158"/>
      <c r="J37" s="158"/>
      <c r="K37" s="158"/>
    </row>
    <row r="38" spans="1:11" ht="33" customHeight="1">
      <c r="A38" s="156" t="s">
        <v>111</v>
      </c>
      <c r="B38" s="157"/>
      <c r="C38" s="157"/>
      <c r="D38" s="157"/>
      <c r="E38" s="157"/>
      <c r="F38" s="158"/>
      <c r="G38" s="159"/>
      <c r="H38" s="159"/>
      <c r="I38" s="158"/>
      <c r="J38" s="158"/>
      <c r="K38" s="158"/>
    </row>
    <row r="39" spans="1:11" ht="18.5">
      <c r="A39" s="52"/>
      <c r="B39" s="52"/>
      <c r="C39" s="52"/>
      <c r="D39" s="52"/>
      <c r="E39" s="52"/>
      <c r="F39" s="50"/>
      <c r="G39" s="57"/>
      <c r="H39" s="50"/>
      <c r="I39" s="50"/>
      <c r="J39" s="50"/>
    </row>
    <row r="40" spans="1:11" ht="26">
      <c r="A40" s="270" t="s">
        <v>474</v>
      </c>
      <c r="B40" s="50"/>
      <c r="C40" s="50"/>
      <c r="D40" s="50"/>
      <c r="E40" s="50"/>
      <c r="F40" s="50"/>
      <c r="G40" s="57"/>
      <c r="H40" s="50"/>
      <c r="I40" s="50"/>
      <c r="J40" s="50"/>
      <c r="K40" s="40"/>
    </row>
    <row r="41" spans="1:11">
      <c r="G41"/>
    </row>
    <row r="42" spans="1:11">
      <c r="G42"/>
    </row>
  </sheetData>
  <mergeCells count="2">
    <mergeCell ref="A4:B4"/>
    <mergeCell ref="A33:F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CF31-D21A-464C-B251-793223692192}">
  <sheetPr codeName="Sheet5"/>
  <dimension ref="A1:AH118"/>
  <sheetViews>
    <sheetView zoomScale="73" zoomScaleNormal="73" workbookViewId="0">
      <selection activeCell="A121" sqref="A121"/>
    </sheetView>
  </sheetViews>
  <sheetFormatPr defaultColWidth="9.1796875" defaultRowHeight="14.5"/>
  <cols>
    <col min="1" max="1" width="38.26953125" customWidth="1"/>
    <col min="2" max="2" width="17.54296875" customWidth="1"/>
    <col min="3" max="3" width="17.7265625" customWidth="1"/>
    <col min="4" max="4" width="17.1796875" customWidth="1"/>
    <col min="5" max="30" width="12.81640625" customWidth="1"/>
    <col min="31" max="31" width="13.7265625" customWidth="1"/>
    <col min="32" max="32" width="14.26953125" customWidth="1"/>
    <col min="33" max="33" width="12.26953125" customWidth="1"/>
    <col min="34" max="34" width="13.81640625" customWidth="1"/>
  </cols>
  <sheetData>
    <row r="1" spans="1:34" ht="18.5">
      <c r="A1" s="1" t="s">
        <v>0</v>
      </c>
      <c r="B1" s="2"/>
      <c r="C1" s="3"/>
      <c r="D1" s="3"/>
    </row>
    <row r="2" spans="1:34">
      <c r="A2" s="4"/>
      <c r="B2" s="2"/>
      <c r="C2" s="3"/>
      <c r="D2" s="3"/>
    </row>
    <row r="3" spans="1:34">
      <c r="A3" s="5"/>
      <c r="B3" s="6"/>
      <c r="C3" s="7" t="s">
        <v>1</v>
      </c>
      <c r="D3" s="7" t="s">
        <v>2</v>
      </c>
    </row>
    <row r="4" spans="1:34" ht="39" customHeight="1">
      <c r="A4" s="274" t="s">
        <v>3</v>
      </c>
      <c r="B4" s="274"/>
      <c r="C4" s="88">
        <f>CSE!C4</f>
        <v>46249</v>
      </c>
      <c r="D4" s="89">
        <f>CSE!D4</f>
        <v>46255</v>
      </c>
      <c r="W4" s="192" t="s">
        <v>111</v>
      </c>
    </row>
    <row r="5" spans="1:34" ht="39" customHeight="1">
      <c r="O5" s="342" t="s">
        <v>111</v>
      </c>
      <c r="P5" s="342"/>
      <c r="W5" s="338" t="s">
        <v>304</v>
      </c>
      <c r="X5" s="338"/>
      <c r="Y5" s="194"/>
      <c r="AE5" t="s">
        <v>325</v>
      </c>
    </row>
    <row r="6" spans="1:34" ht="51" customHeight="1">
      <c r="A6" s="99"/>
      <c r="B6" s="99"/>
      <c r="C6" s="317" t="s">
        <v>5</v>
      </c>
      <c r="D6" s="296"/>
      <c r="E6" s="302" t="s">
        <v>6</v>
      </c>
      <c r="F6" s="296"/>
      <c r="G6" s="343" t="s">
        <v>161</v>
      </c>
      <c r="H6" s="296"/>
      <c r="I6" s="302" t="s">
        <v>112</v>
      </c>
      <c r="J6" s="304"/>
      <c r="K6" s="318" t="s">
        <v>307</v>
      </c>
      <c r="L6" s="296"/>
      <c r="M6" s="288" t="s">
        <v>113</v>
      </c>
      <c r="N6" s="290"/>
      <c r="O6" s="314" t="s">
        <v>7</v>
      </c>
      <c r="P6" s="296"/>
      <c r="Q6" s="294" t="s">
        <v>204</v>
      </c>
      <c r="R6" s="296"/>
      <c r="S6" s="297" t="s">
        <v>205</v>
      </c>
      <c r="T6" s="296"/>
      <c r="U6" s="344" t="s">
        <v>170</v>
      </c>
      <c r="V6" s="345"/>
      <c r="W6" s="298" t="s">
        <v>206</v>
      </c>
      <c r="X6" s="296"/>
      <c r="Y6" s="346" t="s">
        <v>263</v>
      </c>
      <c r="Z6" s="347"/>
      <c r="AA6" s="317" t="s">
        <v>114</v>
      </c>
      <c r="AB6" s="296"/>
      <c r="AC6" s="317" t="s">
        <v>115</v>
      </c>
      <c r="AD6" s="296"/>
      <c r="AE6" s="294" t="s">
        <v>287</v>
      </c>
      <c r="AF6" s="296"/>
      <c r="AG6" s="339" t="s">
        <v>258</v>
      </c>
      <c r="AH6" s="340"/>
    </row>
    <row r="7" spans="1:34">
      <c r="A7" s="100"/>
      <c r="B7" s="101"/>
      <c r="C7" s="300" t="s">
        <v>8</v>
      </c>
      <c r="D7" s="301"/>
      <c r="E7" s="300" t="s">
        <v>9</v>
      </c>
      <c r="F7" s="301"/>
      <c r="G7" s="341" t="s">
        <v>162</v>
      </c>
      <c r="H7" s="306"/>
      <c r="I7" s="310" t="s">
        <v>207</v>
      </c>
      <c r="J7" s="312"/>
      <c r="K7" s="305" t="s">
        <v>281</v>
      </c>
      <c r="L7" s="306"/>
      <c r="M7" s="307" t="s">
        <v>208</v>
      </c>
      <c r="N7" s="309"/>
      <c r="O7" s="314" t="s">
        <v>209</v>
      </c>
      <c r="P7" s="296"/>
      <c r="Q7" s="294" t="s">
        <v>210</v>
      </c>
      <c r="R7" s="296"/>
      <c r="S7" s="299" t="s">
        <v>211</v>
      </c>
      <c r="T7" s="296"/>
      <c r="U7" s="349" t="s">
        <v>169</v>
      </c>
      <c r="V7" s="345"/>
      <c r="W7" s="330" t="s">
        <v>168</v>
      </c>
      <c r="X7" s="296"/>
      <c r="Y7" s="348" t="s">
        <v>262</v>
      </c>
      <c r="Z7" s="347"/>
      <c r="AA7" s="300" t="s">
        <v>151</v>
      </c>
      <c r="AB7" s="301"/>
      <c r="AC7" s="300" t="s">
        <v>152</v>
      </c>
      <c r="AD7" s="301"/>
      <c r="AE7" s="294" t="s">
        <v>293</v>
      </c>
      <c r="AF7" s="296"/>
      <c r="AG7" s="339" t="s">
        <v>259</v>
      </c>
      <c r="AH7" s="340"/>
    </row>
    <row r="8" spans="1:34" ht="33.75" customHeight="1">
      <c r="A8" s="102" t="s">
        <v>10</v>
      </c>
      <c r="B8" s="103" t="s">
        <v>11</v>
      </c>
      <c r="C8" s="104" t="s">
        <v>244</v>
      </c>
      <c r="D8" s="104" t="s">
        <v>245</v>
      </c>
      <c r="E8" s="104" t="s">
        <v>244</v>
      </c>
      <c r="F8" s="104" t="s">
        <v>245</v>
      </c>
      <c r="G8" s="104" t="s">
        <v>244</v>
      </c>
      <c r="H8" s="104" t="s">
        <v>245</v>
      </c>
      <c r="I8" s="104" t="s">
        <v>244</v>
      </c>
      <c r="J8" s="104" t="s">
        <v>245</v>
      </c>
      <c r="K8" s="104" t="s">
        <v>244</v>
      </c>
      <c r="L8" s="104" t="s">
        <v>245</v>
      </c>
      <c r="M8" s="104" t="s">
        <v>244</v>
      </c>
      <c r="N8" s="104" t="s">
        <v>245</v>
      </c>
      <c r="O8" s="104" t="s">
        <v>244</v>
      </c>
      <c r="P8" s="104" t="s">
        <v>245</v>
      </c>
      <c r="Q8" s="104" t="s">
        <v>244</v>
      </c>
      <c r="R8" s="104" t="s">
        <v>245</v>
      </c>
      <c r="S8" s="104" t="s">
        <v>244</v>
      </c>
      <c r="T8" s="104" t="s">
        <v>245</v>
      </c>
      <c r="U8" s="104" t="s">
        <v>244</v>
      </c>
      <c r="V8" s="104" t="s">
        <v>245</v>
      </c>
      <c r="W8" s="193"/>
      <c r="X8" s="193"/>
      <c r="Y8" s="104" t="s">
        <v>244</v>
      </c>
      <c r="Z8" s="104" t="s">
        <v>245</v>
      </c>
      <c r="AA8" s="104" t="s">
        <v>244</v>
      </c>
      <c r="AB8" s="104" t="s">
        <v>245</v>
      </c>
      <c r="AC8" s="104" t="s">
        <v>244</v>
      </c>
      <c r="AD8" s="104" t="s">
        <v>245</v>
      </c>
      <c r="AE8" s="193"/>
      <c r="AF8" s="193"/>
      <c r="AG8" s="104" t="s">
        <v>244</v>
      </c>
      <c r="AH8" s="104" t="s">
        <v>245</v>
      </c>
    </row>
    <row r="9" spans="1:34">
      <c r="A9" s="105" t="s">
        <v>163</v>
      </c>
      <c r="B9" s="125" t="s">
        <v>164</v>
      </c>
      <c r="C9" s="83">
        <v>7400</v>
      </c>
      <c r="D9" s="83">
        <v>7800</v>
      </c>
      <c r="E9" s="83">
        <v>7500</v>
      </c>
      <c r="F9" s="83">
        <v>7900</v>
      </c>
      <c r="G9" s="83">
        <v>8100</v>
      </c>
      <c r="H9" s="83">
        <v>8500</v>
      </c>
      <c r="I9" s="83">
        <v>8300</v>
      </c>
      <c r="J9" s="83">
        <v>8700</v>
      </c>
      <c r="K9" s="83">
        <v>8300</v>
      </c>
      <c r="L9" s="83">
        <v>8700</v>
      </c>
      <c r="M9" s="83">
        <v>8100</v>
      </c>
      <c r="N9" s="83">
        <v>8500</v>
      </c>
      <c r="O9" s="184">
        <v>8100</v>
      </c>
      <c r="P9" s="184">
        <v>8500</v>
      </c>
      <c r="Q9" s="83">
        <v>8300</v>
      </c>
      <c r="R9" s="83">
        <v>8700</v>
      </c>
      <c r="S9" s="83">
        <v>8100</v>
      </c>
      <c r="T9" s="83">
        <v>8500</v>
      </c>
      <c r="U9" s="83">
        <v>8100</v>
      </c>
      <c r="V9" s="83">
        <v>8500</v>
      </c>
      <c r="W9" s="191"/>
      <c r="X9" s="191"/>
      <c r="Y9" s="83">
        <v>8600</v>
      </c>
      <c r="Z9" s="83">
        <v>9000</v>
      </c>
      <c r="AA9" s="83">
        <v>9200</v>
      </c>
      <c r="AB9" s="83">
        <v>9600</v>
      </c>
      <c r="AC9" s="83">
        <v>9200</v>
      </c>
      <c r="AD9" s="83">
        <v>9600</v>
      </c>
      <c r="AE9" s="216">
        <v>8600</v>
      </c>
      <c r="AF9" s="216">
        <v>9000</v>
      </c>
      <c r="AG9" s="83">
        <v>10100</v>
      </c>
      <c r="AH9" s="83">
        <v>10500</v>
      </c>
    </row>
    <row r="10" spans="1:34">
      <c r="A10" s="195" t="s">
        <v>303</v>
      </c>
      <c r="B10" s="70" t="s">
        <v>299</v>
      </c>
      <c r="C10" s="83">
        <v>7400</v>
      </c>
      <c r="D10" s="83">
        <v>7800</v>
      </c>
      <c r="E10" s="83">
        <v>7500</v>
      </c>
      <c r="F10" s="83">
        <v>7900</v>
      </c>
      <c r="G10" s="83">
        <v>8100</v>
      </c>
      <c r="H10" s="83">
        <v>8500</v>
      </c>
      <c r="I10" s="83">
        <v>8300</v>
      </c>
      <c r="J10" s="83">
        <v>8700</v>
      </c>
      <c r="K10" s="83">
        <v>8300</v>
      </c>
      <c r="L10" s="83">
        <v>8700</v>
      </c>
      <c r="M10" s="83">
        <v>8100</v>
      </c>
      <c r="N10" s="83">
        <v>8500</v>
      </c>
      <c r="O10" s="184">
        <v>8100</v>
      </c>
      <c r="P10" s="184">
        <v>8500</v>
      </c>
      <c r="Q10" s="83">
        <v>8300</v>
      </c>
      <c r="R10" s="83">
        <v>8700</v>
      </c>
      <c r="S10" s="83">
        <v>8100</v>
      </c>
      <c r="T10" s="83">
        <v>8500</v>
      </c>
      <c r="U10" s="83">
        <v>8100</v>
      </c>
      <c r="V10" s="83">
        <v>8500</v>
      </c>
      <c r="W10" s="191"/>
      <c r="X10" s="191"/>
      <c r="Y10" s="83">
        <v>8600</v>
      </c>
      <c r="Z10" s="83">
        <v>9000</v>
      </c>
      <c r="AA10" s="83">
        <v>9200</v>
      </c>
      <c r="AB10" s="83">
        <v>9600</v>
      </c>
      <c r="AC10" s="83">
        <v>9200</v>
      </c>
      <c r="AD10" s="83">
        <v>9600</v>
      </c>
      <c r="AE10" s="216">
        <v>8600</v>
      </c>
      <c r="AF10" s="216">
        <v>9000</v>
      </c>
      <c r="AG10" s="83">
        <v>10100</v>
      </c>
      <c r="AH10" s="83">
        <v>10500</v>
      </c>
    </row>
    <row r="11" spans="1:34">
      <c r="A11" s="107" t="s">
        <v>15</v>
      </c>
      <c r="B11" s="108" t="s">
        <v>16</v>
      </c>
      <c r="C11" s="83">
        <v>7400</v>
      </c>
      <c r="D11" s="83">
        <v>7800</v>
      </c>
      <c r="E11" s="83">
        <v>7500</v>
      </c>
      <c r="F11" s="83">
        <v>7900</v>
      </c>
      <c r="G11" s="83">
        <v>8100</v>
      </c>
      <c r="H11" s="83">
        <v>8500</v>
      </c>
      <c r="I11" s="83">
        <v>8300</v>
      </c>
      <c r="J11" s="83">
        <v>8700</v>
      </c>
      <c r="K11" s="83">
        <v>8300</v>
      </c>
      <c r="L11" s="83">
        <v>8700</v>
      </c>
      <c r="M11" s="83">
        <v>8100</v>
      </c>
      <c r="N11" s="83">
        <v>8500</v>
      </c>
      <c r="O11" s="184">
        <v>8100</v>
      </c>
      <c r="P11" s="184">
        <v>8500</v>
      </c>
      <c r="Q11" s="83">
        <v>8300</v>
      </c>
      <c r="R11" s="83">
        <v>8700</v>
      </c>
      <c r="S11" s="83">
        <v>8100</v>
      </c>
      <c r="T11" s="83">
        <v>8500</v>
      </c>
      <c r="U11" s="83">
        <v>8100</v>
      </c>
      <c r="V11" s="83">
        <v>8500</v>
      </c>
      <c r="W11" s="191"/>
      <c r="X11" s="191"/>
      <c r="Y11" s="83">
        <v>8600</v>
      </c>
      <c r="Z11" s="83">
        <v>9000</v>
      </c>
      <c r="AA11" s="83">
        <v>9200</v>
      </c>
      <c r="AB11" s="83">
        <v>9600</v>
      </c>
      <c r="AC11" s="83">
        <v>9200</v>
      </c>
      <c r="AD11" s="83">
        <v>9600</v>
      </c>
      <c r="AE11" s="216">
        <v>8600</v>
      </c>
      <c r="AF11" s="216">
        <v>9000</v>
      </c>
      <c r="AG11" s="83">
        <v>10100</v>
      </c>
      <c r="AH11" s="83">
        <v>10500</v>
      </c>
    </row>
    <row r="12" spans="1:34">
      <c r="A12" s="109" t="s">
        <v>17</v>
      </c>
      <c r="B12" s="110" t="s">
        <v>18</v>
      </c>
      <c r="C12" s="83">
        <v>7450</v>
      </c>
      <c r="D12" s="83">
        <v>7800</v>
      </c>
      <c r="E12" s="83">
        <v>7550</v>
      </c>
      <c r="F12" s="83">
        <v>7900</v>
      </c>
      <c r="G12" s="83">
        <v>8150</v>
      </c>
      <c r="H12" s="83">
        <v>8500</v>
      </c>
      <c r="I12" s="83">
        <v>8350</v>
      </c>
      <c r="J12" s="83">
        <v>8700</v>
      </c>
      <c r="K12" s="83">
        <v>8350</v>
      </c>
      <c r="L12" s="83">
        <v>8700</v>
      </c>
      <c r="M12" s="83">
        <v>8150</v>
      </c>
      <c r="N12" s="83">
        <v>8500</v>
      </c>
      <c r="O12" s="184">
        <v>8150</v>
      </c>
      <c r="P12" s="184">
        <v>8500</v>
      </c>
      <c r="Q12" s="83">
        <v>8350</v>
      </c>
      <c r="R12" s="83">
        <v>8700</v>
      </c>
      <c r="S12" s="83">
        <v>8150</v>
      </c>
      <c r="T12" s="83">
        <v>8500</v>
      </c>
      <c r="U12" s="83">
        <v>8150</v>
      </c>
      <c r="V12" s="83">
        <v>8500</v>
      </c>
      <c r="W12" s="191"/>
      <c r="X12" s="191"/>
      <c r="Y12" s="83">
        <v>8650</v>
      </c>
      <c r="Z12" s="83">
        <v>9000</v>
      </c>
      <c r="AA12" s="83">
        <v>9250</v>
      </c>
      <c r="AB12" s="83">
        <v>9600</v>
      </c>
      <c r="AC12" s="83">
        <v>9250</v>
      </c>
      <c r="AD12" s="83">
        <v>9600</v>
      </c>
      <c r="AE12" s="216">
        <v>8650</v>
      </c>
      <c r="AF12" s="216">
        <v>9000</v>
      </c>
      <c r="AG12" s="83">
        <v>10150</v>
      </c>
      <c r="AH12" s="83">
        <v>10500</v>
      </c>
    </row>
    <row r="13" spans="1:34">
      <c r="A13" s="109" t="s">
        <v>19</v>
      </c>
      <c r="B13" s="110" t="s">
        <v>20</v>
      </c>
      <c r="C13" s="83">
        <v>7450</v>
      </c>
      <c r="D13" s="83">
        <v>7800</v>
      </c>
      <c r="E13" s="83">
        <v>7550</v>
      </c>
      <c r="F13" s="83">
        <v>7900</v>
      </c>
      <c r="G13" s="83">
        <v>8150</v>
      </c>
      <c r="H13" s="83">
        <v>8500</v>
      </c>
      <c r="I13" s="83">
        <v>8350</v>
      </c>
      <c r="J13" s="83">
        <v>8700</v>
      </c>
      <c r="K13" s="83">
        <v>8350</v>
      </c>
      <c r="L13" s="83">
        <v>8700</v>
      </c>
      <c r="M13" s="83">
        <v>8150</v>
      </c>
      <c r="N13" s="83">
        <v>8500</v>
      </c>
      <c r="O13" s="184">
        <v>8150</v>
      </c>
      <c r="P13" s="184">
        <v>8500</v>
      </c>
      <c r="Q13" s="83">
        <v>8350</v>
      </c>
      <c r="R13" s="83">
        <v>8700</v>
      </c>
      <c r="S13" s="83">
        <v>8150</v>
      </c>
      <c r="T13" s="83">
        <v>8500</v>
      </c>
      <c r="U13" s="83">
        <v>8150</v>
      </c>
      <c r="V13" s="83">
        <v>8500</v>
      </c>
      <c r="W13" s="191"/>
      <c r="X13" s="191"/>
      <c r="Y13" s="83">
        <v>8650</v>
      </c>
      <c r="Z13" s="83">
        <v>9000</v>
      </c>
      <c r="AA13" s="83">
        <v>9250</v>
      </c>
      <c r="AB13" s="83">
        <v>9600</v>
      </c>
      <c r="AC13" s="83">
        <v>9250</v>
      </c>
      <c r="AD13" s="83">
        <v>9600</v>
      </c>
      <c r="AE13" s="216">
        <v>8650</v>
      </c>
      <c r="AF13" s="216">
        <v>9000</v>
      </c>
      <c r="AG13" s="83">
        <v>10150</v>
      </c>
      <c r="AH13" s="83">
        <v>10500</v>
      </c>
    </row>
    <row r="14" spans="1:34">
      <c r="A14" s="107" t="s">
        <v>116</v>
      </c>
      <c r="B14" s="108" t="s">
        <v>212</v>
      </c>
      <c r="C14" s="83">
        <v>7500</v>
      </c>
      <c r="D14" s="83">
        <v>8000</v>
      </c>
      <c r="E14" s="83">
        <v>7600</v>
      </c>
      <c r="F14" s="83">
        <v>8100</v>
      </c>
      <c r="G14" s="83">
        <v>8200</v>
      </c>
      <c r="H14" s="83">
        <v>8700</v>
      </c>
      <c r="I14" s="83">
        <v>8400</v>
      </c>
      <c r="J14" s="83">
        <v>8900</v>
      </c>
      <c r="K14" s="83">
        <v>8400</v>
      </c>
      <c r="L14" s="83">
        <v>8900</v>
      </c>
      <c r="M14" s="83">
        <v>8200</v>
      </c>
      <c r="N14" s="83">
        <v>8700</v>
      </c>
      <c r="O14" s="184">
        <v>8200</v>
      </c>
      <c r="P14" s="184">
        <v>8700</v>
      </c>
      <c r="Q14" s="83">
        <v>8400</v>
      </c>
      <c r="R14" s="83">
        <v>8900</v>
      </c>
      <c r="S14" s="83">
        <v>8200</v>
      </c>
      <c r="T14" s="83">
        <v>8700</v>
      </c>
      <c r="U14" s="83">
        <v>8200</v>
      </c>
      <c r="V14" s="83">
        <v>8700</v>
      </c>
      <c r="W14" s="191"/>
      <c r="X14" s="191"/>
      <c r="Y14" s="83">
        <v>8700</v>
      </c>
      <c r="Z14" s="83">
        <v>9200</v>
      </c>
      <c r="AA14" s="83">
        <v>9300</v>
      </c>
      <c r="AB14" s="83">
        <v>9800</v>
      </c>
      <c r="AC14" s="83">
        <v>9300</v>
      </c>
      <c r="AD14" s="83">
        <v>9800</v>
      </c>
      <c r="AE14" s="216">
        <v>8700</v>
      </c>
      <c r="AF14" s="216">
        <v>9200</v>
      </c>
      <c r="AG14" s="83">
        <v>10200</v>
      </c>
      <c r="AH14" s="83">
        <v>10700</v>
      </c>
    </row>
    <row r="15" spans="1:34">
      <c r="A15" s="107" t="s">
        <v>117</v>
      </c>
      <c r="B15" s="108" t="s">
        <v>213</v>
      </c>
      <c r="C15" s="83">
        <v>7500</v>
      </c>
      <c r="D15" s="83">
        <v>8000</v>
      </c>
      <c r="E15" s="83">
        <v>7600</v>
      </c>
      <c r="F15" s="83">
        <v>8100</v>
      </c>
      <c r="G15" s="83">
        <v>8200</v>
      </c>
      <c r="H15" s="83">
        <v>8700</v>
      </c>
      <c r="I15" s="83">
        <v>8400</v>
      </c>
      <c r="J15" s="83">
        <v>8900</v>
      </c>
      <c r="K15" s="83">
        <v>8400</v>
      </c>
      <c r="L15" s="83">
        <v>8900</v>
      </c>
      <c r="M15" s="83">
        <v>8200</v>
      </c>
      <c r="N15" s="83">
        <v>8700</v>
      </c>
      <c r="O15" s="184">
        <v>8200</v>
      </c>
      <c r="P15" s="184">
        <v>8700</v>
      </c>
      <c r="Q15" s="83">
        <v>8400</v>
      </c>
      <c r="R15" s="83">
        <v>8900</v>
      </c>
      <c r="S15" s="83">
        <v>8200</v>
      </c>
      <c r="T15" s="83">
        <v>8700</v>
      </c>
      <c r="U15" s="83">
        <v>8200</v>
      </c>
      <c r="V15" s="83">
        <v>8700</v>
      </c>
      <c r="W15" s="191"/>
      <c r="X15" s="191"/>
      <c r="Y15" s="83">
        <v>8700</v>
      </c>
      <c r="Z15" s="83">
        <v>9200</v>
      </c>
      <c r="AA15" s="83">
        <v>9300</v>
      </c>
      <c r="AB15" s="83">
        <v>9800</v>
      </c>
      <c r="AC15" s="83">
        <v>9300</v>
      </c>
      <c r="AD15" s="83">
        <v>9800</v>
      </c>
      <c r="AE15" s="216">
        <v>8700</v>
      </c>
      <c r="AF15" s="216">
        <v>9200</v>
      </c>
      <c r="AG15" s="83">
        <v>10200</v>
      </c>
      <c r="AH15" s="83">
        <v>10700</v>
      </c>
    </row>
    <row r="16" spans="1:34">
      <c r="A16" s="107" t="s">
        <v>27</v>
      </c>
      <c r="B16" s="108" t="s">
        <v>28</v>
      </c>
      <c r="C16" s="83">
        <v>7450</v>
      </c>
      <c r="D16" s="83">
        <v>7900</v>
      </c>
      <c r="E16" s="83">
        <v>7550</v>
      </c>
      <c r="F16" s="83">
        <v>8000</v>
      </c>
      <c r="G16" s="83">
        <v>8150</v>
      </c>
      <c r="H16" s="83">
        <v>8600</v>
      </c>
      <c r="I16" s="83">
        <v>8350</v>
      </c>
      <c r="J16" s="83">
        <v>8800</v>
      </c>
      <c r="K16" s="83">
        <v>8350</v>
      </c>
      <c r="L16" s="83">
        <v>8800</v>
      </c>
      <c r="M16" s="83">
        <v>8150</v>
      </c>
      <c r="N16" s="83">
        <v>8600</v>
      </c>
      <c r="O16" s="184">
        <v>8150</v>
      </c>
      <c r="P16" s="184">
        <v>8600</v>
      </c>
      <c r="Q16" s="83">
        <v>8350</v>
      </c>
      <c r="R16" s="83">
        <v>8800</v>
      </c>
      <c r="S16" s="83">
        <v>8150</v>
      </c>
      <c r="T16" s="83">
        <v>8600</v>
      </c>
      <c r="U16" s="83">
        <v>8150</v>
      </c>
      <c r="V16" s="83">
        <v>8600</v>
      </c>
      <c r="W16" s="191"/>
      <c r="X16" s="191"/>
      <c r="Y16" s="83">
        <v>8650</v>
      </c>
      <c r="Z16" s="83">
        <v>9100</v>
      </c>
      <c r="AA16" s="83">
        <v>9250</v>
      </c>
      <c r="AB16" s="83">
        <v>9700</v>
      </c>
      <c r="AC16" s="83">
        <v>9250</v>
      </c>
      <c r="AD16" s="83">
        <v>9700</v>
      </c>
      <c r="AE16" s="216">
        <v>8650</v>
      </c>
      <c r="AF16" s="216">
        <v>9100</v>
      </c>
      <c r="AG16" s="83">
        <v>10150</v>
      </c>
      <c r="AH16" s="83">
        <v>10600</v>
      </c>
    </row>
    <row r="17" spans="1:34">
      <c r="A17" s="111" t="s">
        <v>165</v>
      </c>
      <c r="B17" s="112" t="s">
        <v>166</v>
      </c>
      <c r="C17" s="83">
        <v>7475</v>
      </c>
      <c r="D17" s="83">
        <v>7750</v>
      </c>
      <c r="E17" s="83">
        <v>7575</v>
      </c>
      <c r="F17" s="83">
        <v>7850</v>
      </c>
      <c r="G17" s="83">
        <v>8175</v>
      </c>
      <c r="H17" s="83">
        <v>8450</v>
      </c>
      <c r="I17" s="83">
        <v>8375</v>
      </c>
      <c r="J17" s="83">
        <v>8650</v>
      </c>
      <c r="K17" s="83">
        <v>8375</v>
      </c>
      <c r="L17" s="83">
        <v>8650</v>
      </c>
      <c r="M17" s="83">
        <v>8175</v>
      </c>
      <c r="N17" s="83">
        <v>8450</v>
      </c>
      <c r="O17" s="184">
        <v>8175</v>
      </c>
      <c r="P17" s="184">
        <v>8450</v>
      </c>
      <c r="Q17" s="83">
        <v>8375</v>
      </c>
      <c r="R17" s="83">
        <v>8650</v>
      </c>
      <c r="S17" s="83">
        <v>8175</v>
      </c>
      <c r="T17" s="83">
        <v>8450</v>
      </c>
      <c r="U17" s="83">
        <v>8175</v>
      </c>
      <c r="V17" s="83">
        <v>8450</v>
      </c>
      <c r="W17" s="191"/>
      <c r="X17" s="191"/>
      <c r="Y17" s="83">
        <v>8675</v>
      </c>
      <c r="Z17" s="83">
        <v>8950</v>
      </c>
      <c r="AA17" s="83">
        <v>9275</v>
      </c>
      <c r="AB17" s="83">
        <v>9550</v>
      </c>
      <c r="AC17" s="83">
        <v>9275</v>
      </c>
      <c r="AD17" s="83">
        <v>9550</v>
      </c>
      <c r="AE17" s="216">
        <v>8675</v>
      </c>
      <c r="AF17" s="216">
        <v>8950</v>
      </c>
      <c r="AG17" s="83">
        <v>10175</v>
      </c>
      <c r="AH17" s="83">
        <v>10450</v>
      </c>
    </row>
    <row r="18" spans="1:34">
      <c r="A18" s="107" t="s">
        <v>29</v>
      </c>
      <c r="B18" s="108" t="s">
        <v>30</v>
      </c>
      <c r="C18" s="83">
        <v>7500</v>
      </c>
      <c r="D18" s="83">
        <v>7850</v>
      </c>
      <c r="E18" s="83">
        <v>7600</v>
      </c>
      <c r="F18" s="83">
        <v>7950</v>
      </c>
      <c r="G18" s="83">
        <v>8200</v>
      </c>
      <c r="H18" s="83">
        <v>8550</v>
      </c>
      <c r="I18" s="83">
        <v>8400</v>
      </c>
      <c r="J18" s="83">
        <v>8750</v>
      </c>
      <c r="K18" s="83">
        <v>8400</v>
      </c>
      <c r="L18" s="83">
        <v>8750</v>
      </c>
      <c r="M18" s="83">
        <v>8200</v>
      </c>
      <c r="N18" s="83">
        <v>8550</v>
      </c>
      <c r="O18" s="184">
        <v>8200</v>
      </c>
      <c r="P18" s="184">
        <v>8550</v>
      </c>
      <c r="Q18" s="83">
        <v>8400</v>
      </c>
      <c r="R18" s="83">
        <v>8750</v>
      </c>
      <c r="S18" s="83">
        <v>8200</v>
      </c>
      <c r="T18" s="83">
        <v>8550</v>
      </c>
      <c r="U18" s="83">
        <v>8200</v>
      </c>
      <c r="V18" s="83">
        <v>8550</v>
      </c>
      <c r="W18" s="191"/>
      <c r="X18" s="191"/>
      <c r="Y18" s="83">
        <v>8700</v>
      </c>
      <c r="Z18" s="83">
        <v>9050</v>
      </c>
      <c r="AA18" s="83">
        <v>9300</v>
      </c>
      <c r="AB18" s="83">
        <v>9650</v>
      </c>
      <c r="AC18" s="83">
        <v>9300</v>
      </c>
      <c r="AD18" s="83">
        <v>9650</v>
      </c>
      <c r="AE18" s="216">
        <v>8700</v>
      </c>
      <c r="AF18" s="216">
        <v>9050</v>
      </c>
      <c r="AG18" s="83">
        <v>10200</v>
      </c>
      <c r="AH18" s="83">
        <v>10550</v>
      </c>
    </row>
    <row r="19" spans="1:34">
      <c r="A19" s="107" t="s">
        <v>118</v>
      </c>
      <c r="B19" s="108" t="s">
        <v>214</v>
      </c>
      <c r="C19" s="83">
        <v>7450</v>
      </c>
      <c r="D19" s="83">
        <v>7700</v>
      </c>
      <c r="E19" s="83">
        <v>7550</v>
      </c>
      <c r="F19" s="83">
        <v>7800</v>
      </c>
      <c r="G19" s="83">
        <v>8150</v>
      </c>
      <c r="H19" s="83">
        <v>8400</v>
      </c>
      <c r="I19" s="83">
        <v>8350</v>
      </c>
      <c r="J19" s="83">
        <v>8600</v>
      </c>
      <c r="K19" s="83">
        <v>8350</v>
      </c>
      <c r="L19" s="83">
        <v>8600</v>
      </c>
      <c r="M19" s="83">
        <v>8150</v>
      </c>
      <c r="N19" s="83">
        <v>8400</v>
      </c>
      <c r="O19" s="184">
        <v>8150</v>
      </c>
      <c r="P19" s="184">
        <v>8400</v>
      </c>
      <c r="Q19" s="83">
        <v>8350</v>
      </c>
      <c r="R19" s="83">
        <v>8600</v>
      </c>
      <c r="S19" s="83">
        <v>8150</v>
      </c>
      <c r="T19" s="83">
        <v>8400</v>
      </c>
      <c r="U19" s="83">
        <v>8150</v>
      </c>
      <c r="V19" s="83">
        <v>8400</v>
      </c>
      <c r="W19" s="191"/>
      <c r="X19" s="191"/>
      <c r="Y19" s="83">
        <v>8650</v>
      </c>
      <c r="Z19" s="83">
        <v>8900</v>
      </c>
      <c r="AA19" s="83">
        <v>9250</v>
      </c>
      <c r="AB19" s="83">
        <v>9500</v>
      </c>
      <c r="AC19" s="83">
        <v>9250</v>
      </c>
      <c r="AD19" s="83">
        <v>9500</v>
      </c>
      <c r="AE19" s="216">
        <v>8650</v>
      </c>
      <c r="AF19" s="216">
        <v>8900</v>
      </c>
      <c r="AG19" s="83">
        <v>10150</v>
      </c>
      <c r="AH19" s="83">
        <v>10400</v>
      </c>
    </row>
    <row r="20" spans="1:34">
      <c r="A20" s="107" t="s">
        <v>120</v>
      </c>
      <c r="B20" s="108" t="s">
        <v>215</v>
      </c>
      <c r="C20" s="83">
        <v>7450</v>
      </c>
      <c r="D20" s="83">
        <v>7700</v>
      </c>
      <c r="E20" s="83">
        <v>7550</v>
      </c>
      <c r="F20" s="83">
        <v>7800</v>
      </c>
      <c r="G20" s="83">
        <v>8150</v>
      </c>
      <c r="H20" s="83">
        <v>8400</v>
      </c>
      <c r="I20" s="83">
        <v>8350</v>
      </c>
      <c r="J20" s="83">
        <v>8600</v>
      </c>
      <c r="K20" s="83">
        <v>8350</v>
      </c>
      <c r="L20" s="83">
        <v>8600</v>
      </c>
      <c r="M20" s="83">
        <v>8150</v>
      </c>
      <c r="N20" s="83">
        <v>8400</v>
      </c>
      <c r="O20" s="184">
        <v>8150</v>
      </c>
      <c r="P20" s="184">
        <v>8400</v>
      </c>
      <c r="Q20" s="83">
        <v>8350</v>
      </c>
      <c r="R20" s="83">
        <v>8600</v>
      </c>
      <c r="S20" s="83">
        <v>8150</v>
      </c>
      <c r="T20" s="83">
        <v>8400</v>
      </c>
      <c r="U20" s="83">
        <v>8150</v>
      </c>
      <c r="V20" s="83">
        <v>8400</v>
      </c>
      <c r="W20" s="191"/>
      <c r="X20" s="191"/>
      <c r="Y20" s="83">
        <v>8650</v>
      </c>
      <c r="Z20" s="83">
        <v>8900</v>
      </c>
      <c r="AA20" s="83">
        <v>9250</v>
      </c>
      <c r="AB20" s="83">
        <v>9500</v>
      </c>
      <c r="AC20" s="83">
        <v>9250</v>
      </c>
      <c r="AD20" s="83">
        <v>9500</v>
      </c>
      <c r="AE20" s="216">
        <v>8650</v>
      </c>
      <c r="AF20" s="216">
        <v>8900</v>
      </c>
      <c r="AG20" s="83">
        <v>10150</v>
      </c>
      <c r="AH20" s="83">
        <v>10400</v>
      </c>
    </row>
    <row r="21" spans="1:34">
      <c r="A21" s="107" t="s">
        <v>121</v>
      </c>
      <c r="B21" s="108" t="s">
        <v>156</v>
      </c>
      <c r="C21" s="83">
        <v>7450</v>
      </c>
      <c r="D21" s="83">
        <v>7700</v>
      </c>
      <c r="E21" s="83">
        <v>7550</v>
      </c>
      <c r="F21" s="83">
        <v>7800</v>
      </c>
      <c r="G21" s="83">
        <v>8150</v>
      </c>
      <c r="H21" s="83">
        <v>8400</v>
      </c>
      <c r="I21" s="83">
        <v>8350</v>
      </c>
      <c r="J21" s="83">
        <v>8600</v>
      </c>
      <c r="K21" s="83">
        <v>8350</v>
      </c>
      <c r="L21" s="83">
        <v>8600</v>
      </c>
      <c r="M21" s="83">
        <v>8150</v>
      </c>
      <c r="N21" s="83">
        <v>8400</v>
      </c>
      <c r="O21" s="184">
        <v>8150</v>
      </c>
      <c r="P21" s="184">
        <v>8400</v>
      </c>
      <c r="Q21" s="83">
        <v>8350</v>
      </c>
      <c r="R21" s="83">
        <v>8600</v>
      </c>
      <c r="S21" s="83">
        <v>8150</v>
      </c>
      <c r="T21" s="83">
        <v>8400</v>
      </c>
      <c r="U21" s="83">
        <v>8150</v>
      </c>
      <c r="V21" s="83">
        <v>8400</v>
      </c>
      <c r="W21" s="191"/>
      <c r="X21" s="191"/>
      <c r="Y21" s="83">
        <v>8650</v>
      </c>
      <c r="Z21" s="83">
        <v>8900</v>
      </c>
      <c r="AA21" s="83">
        <v>9250</v>
      </c>
      <c r="AB21" s="83">
        <v>9500</v>
      </c>
      <c r="AC21" s="83">
        <v>9250</v>
      </c>
      <c r="AD21" s="83">
        <v>9500</v>
      </c>
      <c r="AE21" s="216">
        <v>8650</v>
      </c>
      <c r="AF21" s="216">
        <v>8900</v>
      </c>
      <c r="AG21" s="83">
        <v>10150</v>
      </c>
      <c r="AH21" s="83">
        <v>10400</v>
      </c>
    </row>
    <row r="22" spans="1:34">
      <c r="A22" s="107" t="s">
        <v>122</v>
      </c>
      <c r="B22" s="108" t="s">
        <v>216</v>
      </c>
      <c r="C22" s="83">
        <v>7450</v>
      </c>
      <c r="D22" s="83">
        <v>7700</v>
      </c>
      <c r="E22" s="83">
        <v>7550</v>
      </c>
      <c r="F22" s="83">
        <v>7800</v>
      </c>
      <c r="G22" s="83">
        <v>8150</v>
      </c>
      <c r="H22" s="83">
        <v>8400</v>
      </c>
      <c r="I22" s="83">
        <v>8350</v>
      </c>
      <c r="J22" s="83">
        <v>8600</v>
      </c>
      <c r="K22" s="83">
        <v>8350</v>
      </c>
      <c r="L22" s="83">
        <v>8600</v>
      </c>
      <c r="M22" s="83">
        <v>8150</v>
      </c>
      <c r="N22" s="83">
        <v>8400</v>
      </c>
      <c r="O22" s="184">
        <v>8150</v>
      </c>
      <c r="P22" s="184">
        <v>8400</v>
      </c>
      <c r="Q22" s="83">
        <v>8350</v>
      </c>
      <c r="R22" s="83">
        <v>8600</v>
      </c>
      <c r="S22" s="83">
        <v>8150</v>
      </c>
      <c r="T22" s="83">
        <v>8400</v>
      </c>
      <c r="U22" s="83">
        <v>8150</v>
      </c>
      <c r="V22" s="83">
        <v>8400</v>
      </c>
      <c r="W22" s="191"/>
      <c r="X22" s="191"/>
      <c r="Y22" s="83">
        <v>8650</v>
      </c>
      <c r="Z22" s="83">
        <v>8900</v>
      </c>
      <c r="AA22" s="83">
        <v>9250</v>
      </c>
      <c r="AB22" s="83">
        <v>9500</v>
      </c>
      <c r="AC22" s="83">
        <v>9250</v>
      </c>
      <c r="AD22" s="83">
        <v>9500</v>
      </c>
      <c r="AE22" s="216">
        <v>8650</v>
      </c>
      <c r="AF22" s="216">
        <v>8900</v>
      </c>
      <c r="AG22" s="83">
        <v>10150</v>
      </c>
      <c r="AH22" s="83">
        <v>10400</v>
      </c>
    </row>
    <row r="23" spans="1:34">
      <c r="A23" s="107" t="s">
        <v>31</v>
      </c>
      <c r="B23" s="108" t="s">
        <v>32</v>
      </c>
      <c r="C23" s="83">
        <v>7450</v>
      </c>
      <c r="D23" s="83">
        <v>7700</v>
      </c>
      <c r="E23" s="83">
        <v>7550</v>
      </c>
      <c r="F23" s="83">
        <v>7800</v>
      </c>
      <c r="G23" s="83">
        <v>8150</v>
      </c>
      <c r="H23" s="83">
        <v>8400</v>
      </c>
      <c r="I23" s="83">
        <v>8350</v>
      </c>
      <c r="J23" s="83">
        <v>8600</v>
      </c>
      <c r="K23" s="83">
        <v>8350</v>
      </c>
      <c r="L23" s="83">
        <v>8600</v>
      </c>
      <c r="M23" s="83">
        <v>8150</v>
      </c>
      <c r="N23" s="83">
        <v>8400</v>
      </c>
      <c r="O23" s="184">
        <v>8150</v>
      </c>
      <c r="P23" s="184">
        <v>8400</v>
      </c>
      <c r="Q23" s="83">
        <v>8350</v>
      </c>
      <c r="R23" s="83">
        <v>8600</v>
      </c>
      <c r="S23" s="83">
        <v>8150</v>
      </c>
      <c r="T23" s="83">
        <v>8400</v>
      </c>
      <c r="U23" s="83">
        <v>8150</v>
      </c>
      <c r="V23" s="83">
        <v>8400</v>
      </c>
      <c r="W23" s="191"/>
      <c r="X23" s="191"/>
      <c r="Y23" s="83">
        <v>8650</v>
      </c>
      <c r="Z23" s="83">
        <v>8900</v>
      </c>
      <c r="AA23" s="83">
        <v>9250</v>
      </c>
      <c r="AB23" s="83">
        <v>9500</v>
      </c>
      <c r="AC23" s="83">
        <v>9250</v>
      </c>
      <c r="AD23" s="83">
        <v>9500</v>
      </c>
      <c r="AE23" s="216">
        <v>8650</v>
      </c>
      <c r="AF23" s="216">
        <v>8900</v>
      </c>
      <c r="AG23" s="83">
        <v>10150</v>
      </c>
      <c r="AH23" s="83">
        <v>10400</v>
      </c>
    </row>
    <row r="24" spans="1:34">
      <c r="A24" s="107" t="s">
        <v>124</v>
      </c>
      <c r="B24" s="108" t="s">
        <v>217</v>
      </c>
      <c r="C24" s="83">
        <v>7600</v>
      </c>
      <c r="D24" s="83">
        <v>8000</v>
      </c>
      <c r="E24" s="83">
        <v>7700</v>
      </c>
      <c r="F24" s="83">
        <v>8100</v>
      </c>
      <c r="G24" s="83">
        <v>8300</v>
      </c>
      <c r="H24" s="83">
        <v>8700</v>
      </c>
      <c r="I24" s="83">
        <v>8500</v>
      </c>
      <c r="J24" s="83">
        <v>8900</v>
      </c>
      <c r="K24" s="83">
        <v>8500</v>
      </c>
      <c r="L24" s="83">
        <v>8900</v>
      </c>
      <c r="M24" s="83">
        <v>8300</v>
      </c>
      <c r="N24" s="83">
        <v>8700</v>
      </c>
      <c r="O24" s="184">
        <v>8300</v>
      </c>
      <c r="P24" s="184">
        <v>8700</v>
      </c>
      <c r="Q24" s="83">
        <v>8500</v>
      </c>
      <c r="R24" s="83">
        <v>8900</v>
      </c>
      <c r="S24" s="83">
        <v>8300</v>
      </c>
      <c r="T24" s="83">
        <v>8700</v>
      </c>
      <c r="U24" s="83">
        <v>8300</v>
      </c>
      <c r="V24" s="83">
        <v>8700</v>
      </c>
      <c r="W24" s="191"/>
      <c r="X24" s="191"/>
      <c r="Y24" s="83">
        <v>8800</v>
      </c>
      <c r="Z24" s="83">
        <v>9200</v>
      </c>
      <c r="AA24" s="83">
        <v>9400</v>
      </c>
      <c r="AB24" s="83">
        <v>9800</v>
      </c>
      <c r="AC24" s="83">
        <v>9400</v>
      </c>
      <c r="AD24" s="83">
        <v>9800</v>
      </c>
      <c r="AE24" s="216">
        <v>8800</v>
      </c>
      <c r="AF24" s="216">
        <v>9200</v>
      </c>
      <c r="AG24" s="83">
        <v>10300</v>
      </c>
      <c r="AH24" s="83">
        <v>10700</v>
      </c>
    </row>
    <row r="25" spans="1:34">
      <c r="A25" s="107" t="s">
        <v>125</v>
      </c>
      <c r="B25" s="108" t="s">
        <v>218</v>
      </c>
      <c r="C25" s="83">
        <v>7600</v>
      </c>
      <c r="D25" s="83">
        <v>8000</v>
      </c>
      <c r="E25" s="83">
        <v>7700</v>
      </c>
      <c r="F25" s="83">
        <v>8100</v>
      </c>
      <c r="G25" s="83">
        <v>8300</v>
      </c>
      <c r="H25" s="83">
        <v>8700</v>
      </c>
      <c r="I25" s="83">
        <v>8500</v>
      </c>
      <c r="J25" s="83">
        <v>8900</v>
      </c>
      <c r="K25" s="83">
        <v>8500</v>
      </c>
      <c r="L25" s="83">
        <v>8900</v>
      </c>
      <c r="M25" s="83">
        <v>8300</v>
      </c>
      <c r="N25" s="83">
        <v>8700</v>
      </c>
      <c r="O25" s="184">
        <v>8300</v>
      </c>
      <c r="P25" s="184">
        <v>8700</v>
      </c>
      <c r="Q25" s="83">
        <v>8500</v>
      </c>
      <c r="R25" s="83">
        <v>8900</v>
      </c>
      <c r="S25" s="83">
        <v>8300</v>
      </c>
      <c r="T25" s="83">
        <v>8700</v>
      </c>
      <c r="U25" s="83">
        <v>8300</v>
      </c>
      <c r="V25" s="83">
        <v>8700</v>
      </c>
      <c r="W25" s="191"/>
      <c r="X25" s="191"/>
      <c r="Y25" s="83">
        <v>8800</v>
      </c>
      <c r="Z25" s="83">
        <v>9200</v>
      </c>
      <c r="AA25" s="83">
        <v>9400</v>
      </c>
      <c r="AB25" s="83">
        <v>9800</v>
      </c>
      <c r="AC25" s="83">
        <v>9400</v>
      </c>
      <c r="AD25" s="83">
        <v>9800</v>
      </c>
      <c r="AE25" s="216">
        <v>8800</v>
      </c>
      <c r="AF25" s="216">
        <v>9200</v>
      </c>
      <c r="AG25" s="83">
        <v>10300</v>
      </c>
      <c r="AH25" s="83">
        <v>10700</v>
      </c>
    </row>
    <row r="26" spans="1:34">
      <c r="A26" s="107" t="s">
        <v>33</v>
      </c>
      <c r="B26" s="108" t="s">
        <v>34</v>
      </c>
      <c r="C26" s="83">
        <v>7450</v>
      </c>
      <c r="D26" s="83">
        <v>7700</v>
      </c>
      <c r="E26" s="83">
        <v>7550</v>
      </c>
      <c r="F26" s="83">
        <v>7800</v>
      </c>
      <c r="G26" s="83">
        <v>8150</v>
      </c>
      <c r="H26" s="83">
        <v>8400</v>
      </c>
      <c r="I26" s="83">
        <v>8350</v>
      </c>
      <c r="J26" s="83">
        <v>8600</v>
      </c>
      <c r="K26" s="83">
        <v>8350</v>
      </c>
      <c r="L26" s="83">
        <v>8600</v>
      </c>
      <c r="M26" s="83">
        <v>8150</v>
      </c>
      <c r="N26" s="83">
        <v>8400</v>
      </c>
      <c r="O26" s="184">
        <v>8150</v>
      </c>
      <c r="P26" s="184">
        <v>8400</v>
      </c>
      <c r="Q26" s="83">
        <v>8350</v>
      </c>
      <c r="R26" s="83">
        <v>8600</v>
      </c>
      <c r="S26" s="83">
        <v>8150</v>
      </c>
      <c r="T26" s="83">
        <v>8400</v>
      </c>
      <c r="U26" s="83">
        <v>8150</v>
      </c>
      <c r="V26" s="83">
        <v>8400</v>
      </c>
      <c r="W26" s="191"/>
      <c r="X26" s="191"/>
      <c r="Y26" s="83">
        <v>8650</v>
      </c>
      <c r="Z26" s="83">
        <v>8900</v>
      </c>
      <c r="AA26" s="83">
        <v>9250</v>
      </c>
      <c r="AB26" s="83">
        <v>9500</v>
      </c>
      <c r="AC26" s="83">
        <v>9250</v>
      </c>
      <c r="AD26" s="83">
        <v>9500</v>
      </c>
      <c r="AE26" s="216">
        <v>8650</v>
      </c>
      <c r="AF26" s="216">
        <v>8900</v>
      </c>
      <c r="AG26" s="83">
        <v>10150</v>
      </c>
      <c r="AH26" s="83">
        <v>10400</v>
      </c>
    </row>
    <row r="27" spans="1:34">
      <c r="A27" s="107" t="s">
        <v>35</v>
      </c>
      <c r="B27" s="108" t="s">
        <v>36</v>
      </c>
      <c r="C27" s="83">
        <v>7450</v>
      </c>
      <c r="D27" s="83">
        <v>7700</v>
      </c>
      <c r="E27" s="83">
        <v>7550</v>
      </c>
      <c r="F27" s="83">
        <v>7800</v>
      </c>
      <c r="G27" s="83">
        <v>8150</v>
      </c>
      <c r="H27" s="83">
        <v>8400</v>
      </c>
      <c r="I27" s="83">
        <v>8350</v>
      </c>
      <c r="J27" s="83">
        <v>8600</v>
      </c>
      <c r="K27" s="83">
        <v>8350</v>
      </c>
      <c r="L27" s="83">
        <v>8600</v>
      </c>
      <c r="M27" s="83">
        <v>8150</v>
      </c>
      <c r="N27" s="83">
        <v>8400</v>
      </c>
      <c r="O27" s="184">
        <v>8150</v>
      </c>
      <c r="P27" s="184">
        <v>8400</v>
      </c>
      <c r="Q27" s="83">
        <v>8350</v>
      </c>
      <c r="R27" s="83">
        <v>8600</v>
      </c>
      <c r="S27" s="83">
        <v>8150</v>
      </c>
      <c r="T27" s="83">
        <v>8400</v>
      </c>
      <c r="U27" s="83">
        <v>8150</v>
      </c>
      <c r="V27" s="83">
        <v>8400</v>
      </c>
      <c r="W27" s="191"/>
      <c r="X27" s="191"/>
      <c r="Y27" s="83">
        <v>8650</v>
      </c>
      <c r="Z27" s="83">
        <v>8900</v>
      </c>
      <c r="AA27" s="83">
        <v>9250</v>
      </c>
      <c r="AB27" s="83">
        <v>9500</v>
      </c>
      <c r="AC27" s="83">
        <v>9250</v>
      </c>
      <c r="AD27" s="83">
        <v>9500</v>
      </c>
      <c r="AE27" s="216">
        <v>8650</v>
      </c>
      <c r="AF27" s="216">
        <v>8900</v>
      </c>
      <c r="AG27" s="83">
        <v>10150</v>
      </c>
      <c r="AH27" s="83">
        <v>10400</v>
      </c>
    </row>
    <row r="28" spans="1:34">
      <c r="A28" s="107" t="s">
        <v>126</v>
      </c>
      <c r="B28" s="108" t="s">
        <v>219</v>
      </c>
      <c r="C28" s="83">
        <v>7500</v>
      </c>
      <c r="D28" s="83">
        <v>7800</v>
      </c>
      <c r="E28" s="83">
        <v>7600</v>
      </c>
      <c r="F28" s="83">
        <v>7900</v>
      </c>
      <c r="G28" s="83">
        <v>8200</v>
      </c>
      <c r="H28" s="83">
        <v>8500</v>
      </c>
      <c r="I28" s="83">
        <v>8400</v>
      </c>
      <c r="J28" s="83">
        <v>8700</v>
      </c>
      <c r="K28" s="83">
        <v>8400</v>
      </c>
      <c r="L28" s="83">
        <v>8700</v>
      </c>
      <c r="M28" s="83">
        <v>8200</v>
      </c>
      <c r="N28" s="83">
        <v>8500</v>
      </c>
      <c r="O28" s="184">
        <v>8200</v>
      </c>
      <c r="P28" s="184">
        <v>8500</v>
      </c>
      <c r="Q28" s="83">
        <v>8400</v>
      </c>
      <c r="R28" s="83">
        <v>8700</v>
      </c>
      <c r="S28" s="83">
        <v>8200</v>
      </c>
      <c r="T28" s="83">
        <v>8500</v>
      </c>
      <c r="U28" s="83">
        <v>8200</v>
      </c>
      <c r="V28" s="83">
        <v>8500</v>
      </c>
      <c r="W28" s="191"/>
      <c r="X28" s="191"/>
      <c r="Y28" s="83">
        <v>8700</v>
      </c>
      <c r="Z28" s="83">
        <v>9000</v>
      </c>
      <c r="AA28" s="83">
        <v>9300</v>
      </c>
      <c r="AB28" s="83">
        <v>9600</v>
      </c>
      <c r="AC28" s="83">
        <v>9300</v>
      </c>
      <c r="AD28" s="83">
        <v>9600</v>
      </c>
      <c r="AE28" s="216">
        <v>8700</v>
      </c>
      <c r="AF28" s="216">
        <v>9000</v>
      </c>
      <c r="AG28" s="83">
        <v>10200</v>
      </c>
      <c r="AH28" s="83">
        <v>10500</v>
      </c>
    </row>
    <row r="29" spans="1:34">
      <c r="A29" s="107" t="s">
        <v>127</v>
      </c>
      <c r="B29" s="108" t="s">
        <v>220</v>
      </c>
      <c r="C29" s="83">
        <v>7500</v>
      </c>
      <c r="D29" s="83">
        <v>7800</v>
      </c>
      <c r="E29" s="83">
        <v>7600</v>
      </c>
      <c r="F29" s="83">
        <v>7900</v>
      </c>
      <c r="G29" s="83">
        <v>8200</v>
      </c>
      <c r="H29" s="83">
        <v>8500</v>
      </c>
      <c r="I29" s="83">
        <v>8400</v>
      </c>
      <c r="J29" s="83">
        <v>8700</v>
      </c>
      <c r="K29" s="83">
        <v>8400</v>
      </c>
      <c r="L29" s="83">
        <v>8700</v>
      </c>
      <c r="M29" s="83">
        <v>8200</v>
      </c>
      <c r="N29" s="83">
        <v>8500</v>
      </c>
      <c r="O29" s="184">
        <v>8200</v>
      </c>
      <c r="P29" s="184">
        <v>8500</v>
      </c>
      <c r="Q29" s="83">
        <v>8400</v>
      </c>
      <c r="R29" s="83">
        <v>8700</v>
      </c>
      <c r="S29" s="83">
        <v>8200</v>
      </c>
      <c r="T29" s="83">
        <v>8500</v>
      </c>
      <c r="U29" s="83">
        <v>8200</v>
      </c>
      <c r="V29" s="83">
        <v>8500</v>
      </c>
      <c r="W29" s="191"/>
      <c r="X29" s="191"/>
      <c r="Y29" s="83">
        <v>8700</v>
      </c>
      <c r="Z29" s="83">
        <v>9000</v>
      </c>
      <c r="AA29" s="83">
        <v>9300</v>
      </c>
      <c r="AB29" s="83">
        <v>9600</v>
      </c>
      <c r="AC29" s="83">
        <v>9300</v>
      </c>
      <c r="AD29" s="83">
        <v>9600</v>
      </c>
      <c r="AE29" s="216">
        <v>8700</v>
      </c>
      <c r="AF29" s="216">
        <v>9000</v>
      </c>
      <c r="AG29" s="83">
        <v>10200</v>
      </c>
      <c r="AH29" s="83">
        <v>10500</v>
      </c>
    </row>
    <row r="30" spans="1:34">
      <c r="A30" s="107" t="s">
        <v>37</v>
      </c>
      <c r="B30" s="108" t="s">
        <v>38</v>
      </c>
      <c r="C30" s="83">
        <v>7450</v>
      </c>
      <c r="D30" s="83">
        <v>7700</v>
      </c>
      <c r="E30" s="83">
        <v>7550</v>
      </c>
      <c r="F30" s="83">
        <v>7800</v>
      </c>
      <c r="G30" s="83">
        <v>8150</v>
      </c>
      <c r="H30" s="83">
        <v>8400</v>
      </c>
      <c r="I30" s="83">
        <v>8350</v>
      </c>
      <c r="J30" s="83">
        <v>8600</v>
      </c>
      <c r="K30" s="83">
        <v>8350</v>
      </c>
      <c r="L30" s="83">
        <v>8600</v>
      </c>
      <c r="M30" s="83">
        <v>8150</v>
      </c>
      <c r="N30" s="83">
        <v>8400</v>
      </c>
      <c r="O30" s="184">
        <v>8150</v>
      </c>
      <c r="P30" s="184">
        <v>8400</v>
      </c>
      <c r="Q30" s="83">
        <v>8350</v>
      </c>
      <c r="R30" s="83">
        <v>8600</v>
      </c>
      <c r="S30" s="83">
        <v>8150</v>
      </c>
      <c r="T30" s="83">
        <v>8400</v>
      </c>
      <c r="U30" s="83">
        <v>8150</v>
      </c>
      <c r="V30" s="83">
        <v>8400</v>
      </c>
      <c r="W30" s="191"/>
      <c r="X30" s="191"/>
      <c r="Y30" s="83">
        <v>8650</v>
      </c>
      <c r="Z30" s="83">
        <v>8900</v>
      </c>
      <c r="AA30" s="83">
        <v>9250</v>
      </c>
      <c r="AB30" s="83">
        <v>9500</v>
      </c>
      <c r="AC30" s="83">
        <v>9250</v>
      </c>
      <c r="AD30" s="83">
        <v>9500</v>
      </c>
      <c r="AE30" s="216">
        <v>8650</v>
      </c>
      <c r="AF30" s="216">
        <v>8900</v>
      </c>
      <c r="AG30" s="83">
        <v>10150</v>
      </c>
      <c r="AH30" s="83">
        <v>10400</v>
      </c>
    </row>
    <row r="31" spans="1:34">
      <c r="A31" s="107" t="s">
        <v>39</v>
      </c>
      <c r="B31" s="108" t="s">
        <v>40</v>
      </c>
      <c r="C31" s="83">
        <v>7500</v>
      </c>
      <c r="D31" s="83">
        <v>7800</v>
      </c>
      <c r="E31" s="83">
        <v>7600</v>
      </c>
      <c r="F31" s="83">
        <v>7900</v>
      </c>
      <c r="G31" s="83">
        <v>8200</v>
      </c>
      <c r="H31" s="83">
        <v>8500</v>
      </c>
      <c r="I31" s="83">
        <v>8400</v>
      </c>
      <c r="J31" s="83">
        <v>8700</v>
      </c>
      <c r="K31" s="83">
        <v>8400</v>
      </c>
      <c r="L31" s="83">
        <v>8700</v>
      </c>
      <c r="M31" s="83">
        <v>8200</v>
      </c>
      <c r="N31" s="83">
        <v>8500</v>
      </c>
      <c r="O31" s="184">
        <v>8200</v>
      </c>
      <c r="P31" s="184">
        <v>8500</v>
      </c>
      <c r="Q31" s="83">
        <v>8400</v>
      </c>
      <c r="R31" s="83">
        <v>8700</v>
      </c>
      <c r="S31" s="83">
        <v>8200</v>
      </c>
      <c r="T31" s="83">
        <v>8500</v>
      </c>
      <c r="U31" s="83">
        <v>8200</v>
      </c>
      <c r="V31" s="83">
        <v>8500</v>
      </c>
      <c r="W31" s="191"/>
      <c r="X31" s="191"/>
      <c r="Y31" s="83">
        <v>8700</v>
      </c>
      <c r="Z31" s="83">
        <v>9000</v>
      </c>
      <c r="AA31" s="83">
        <v>9300</v>
      </c>
      <c r="AB31" s="83">
        <v>9600</v>
      </c>
      <c r="AC31" s="83">
        <v>9300</v>
      </c>
      <c r="AD31" s="83">
        <v>9600</v>
      </c>
      <c r="AE31" s="216">
        <v>8700</v>
      </c>
      <c r="AF31" s="216">
        <v>9000</v>
      </c>
      <c r="AG31" s="83">
        <v>10200</v>
      </c>
      <c r="AH31" s="83">
        <v>10500</v>
      </c>
    </row>
    <row r="32" spans="1:34">
      <c r="A32" s="107" t="s">
        <v>41</v>
      </c>
      <c r="B32" s="108" t="s">
        <v>42</v>
      </c>
      <c r="C32" s="83">
        <v>7500</v>
      </c>
      <c r="D32" s="83">
        <v>7800</v>
      </c>
      <c r="E32" s="83">
        <v>7600</v>
      </c>
      <c r="F32" s="83">
        <v>7900</v>
      </c>
      <c r="G32" s="83">
        <v>8200</v>
      </c>
      <c r="H32" s="83">
        <v>8500</v>
      </c>
      <c r="I32" s="83">
        <v>8400</v>
      </c>
      <c r="J32" s="83">
        <v>8700</v>
      </c>
      <c r="K32" s="83">
        <v>8400</v>
      </c>
      <c r="L32" s="83">
        <v>8700</v>
      </c>
      <c r="M32" s="83">
        <v>8200</v>
      </c>
      <c r="N32" s="83">
        <v>8500</v>
      </c>
      <c r="O32" s="184">
        <v>8200</v>
      </c>
      <c r="P32" s="184">
        <v>8500</v>
      </c>
      <c r="Q32" s="83">
        <v>8400</v>
      </c>
      <c r="R32" s="83">
        <v>8700</v>
      </c>
      <c r="S32" s="83">
        <v>8200</v>
      </c>
      <c r="T32" s="83">
        <v>8500</v>
      </c>
      <c r="U32" s="83">
        <v>8200</v>
      </c>
      <c r="V32" s="83">
        <v>8500</v>
      </c>
      <c r="W32" s="191"/>
      <c r="X32" s="191"/>
      <c r="Y32" s="83">
        <v>8700</v>
      </c>
      <c r="Z32" s="83">
        <v>9000</v>
      </c>
      <c r="AA32" s="83">
        <v>9300</v>
      </c>
      <c r="AB32" s="83">
        <v>9600</v>
      </c>
      <c r="AC32" s="83">
        <v>9300</v>
      </c>
      <c r="AD32" s="83">
        <v>9600</v>
      </c>
      <c r="AE32" s="216">
        <v>8700</v>
      </c>
      <c r="AF32" s="216">
        <v>9000</v>
      </c>
      <c r="AG32" s="83">
        <v>10200</v>
      </c>
      <c r="AH32" s="83">
        <v>10500</v>
      </c>
    </row>
    <row r="33" spans="1:34">
      <c r="A33" s="107" t="s">
        <v>43</v>
      </c>
      <c r="B33" s="108" t="s">
        <v>44</v>
      </c>
      <c r="C33" s="83">
        <v>7500</v>
      </c>
      <c r="D33" s="83">
        <v>7800</v>
      </c>
      <c r="E33" s="83">
        <v>7600</v>
      </c>
      <c r="F33" s="83">
        <v>7900</v>
      </c>
      <c r="G33" s="83">
        <v>8200</v>
      </c>
      <c r="H33" s="83">
        <v>8500</v>
      </c>
      <c r="I33" s="83">
        <v>8400</v>
      </c>
      <c r="J33" s="83">
        <v>8700</v>
      </c>
      <c r="K33" s="83">
        <v>8400</v>
      </c>
      <c r="L33" s="83">
        <v>8700</v>
      </c>
      <c r="M33" s="83">
        <v>8200</v>
      </c>
      <c r="N33" s="83">
        <v>8500</v>
      </c>
      <c r="O33" s="184">
        <v>8200</v>
      </c>
      <c r="P33" s="184">
        <v>8500</v>
      </c>
      <c r="Q33" s="83">
        <v>8400</v>
      </c>
      <c r="R33" s="83">
        <v>8700</v>
      </c>
      <c r="S33" s="83">
        <v>8200</v>
      </c>
      <c r="T33" s="83">
        <v>8500</v>
      </c>
      <c r="U33" s="83">
        <v>8200</v>
      </c>
      <c r="V33" s="83">
        <v>8500</v>
      </c>
      <c r="W33" s="191"/>
      <c r="X33" s="191"/>
      <c r="Y33" s="83">
        <v>8700</v>
      </c>
      <c r="Z33" s="83">
        <v>9000</v>
      </c>
      <c r="AA33" s="83">
        <v>9300</v>
      </c>
      <c r="AB33" s="83">
        <v>9600</v>
      </c>
      <c r="AC33" s="83">
        <v>9300</v>
      </c>
      <c r="AD33" s="83">
        <v>9600</v>
      </c>
      <c r="AE33" s="216">
        <v>8700</v>
      </c>
      <c r="AF33" s="216">
        <v>9000</v>
      </c>
      <c r="AG33" s="83">
        <v>10200</v>
      </c>
      <c r="AH33" s="83">
        <v>10500</v>
      </c>
    </row>
    <row r="34" spans="1:34">
      <c r="A34" s="107" t="s">
        <v>45</v>
      </c>
      <c r="B34" s="108" t="s">
        <v>46</v>
      </c>
      <c r="C34" s="83">
        <v>7600</v>
      </c>
      <c r="D34" s="83">
        <v>7900</v>
      </c>
      <c r="E34" s="83">
        <v>7700</v>
      </c>
      <c r="F34" s="83">
        <v>8000</v>
      </c>
      <c r="G34" s="83">
        <v>8300</v>
      </c>
      <c r="H34" s="83">
        <v>8600</v>
      </c>
      <c r="I34" s="83">
        <v>8500</v>
      </c>
      <c r="J34" s="83">
        <v>8800</v>
      </c>
      <c r="K34" s="83">
        <v>8500</v>
      </c>
      <c r="L34" s="83">
        <v>8800</v>
      </c>
      <c r="M34" s="83">
        <v>8300</v>
      </c>
      <c r="N34" s="83">
        <v>8600</v>
      </c>
      <c r="O34" s="184">
        <v>8300</v>
      </c>
      <c r="P34" s="184">
        <v>8600</v>
      </c>
      <c r="Q34" s="83">
        <v>8500</v>
      </c>
      <c r="R34" s="83">
        <v>8800</v>
      </c>
      <c r="S34" s="83">
        <v>8300</v>
      </c>
      <c r="T34" s="83">
        <v>8600</v>
      </c>
      <c r="U34" s="83">
        <v>8300</v>
      </c>
      <c r="V34" s="83">
        <v>8600</v>
      </c>
      <c r="W34" s="191"/>
      <c r="X34" s="191"/>
      <c r="Y34" s="83">
        <v>8800</v>
      </c>
      <c r="Z34" s="83">
        <v>9100</v>
      </c>
      <c r="AA34" s="83">
        <v>9400</v>
      </c>
      <c r="AB34" s="83">
        <v>9700</v>
      </c>
      <c r="AC34" s="83">
        <v>9400</v>
      </c>
      <c r="AD34" s="83">
        <v>9700</v>
      </c>
      <c r="AE34" s="216">
        <v>8800</v>
      </c>
      <c r="AF34" s="216">
        <v>9100</v>
      </c>
      <c r="AG34" s="83">
        <v>10300</v>
      </c>
      <c r="AH34" s="83">
        <v>10600</v>
      </c>
    </row>
    <row r="35" spans="1:34">
      <c r="A35" s="107" t="s">
        <v>47</v>
      </c>
      <c r="B35" s="108" t="s">
        <v>48</v>
      </c>
      <c r="C35" s="83">
        <v>7680</v>
      </c>
      <c r="D35" s="83">
        <v>8160</v>
      </c>
      <c r="E35" s="83">
        <v>7780</v>
      </c>
      <c r="F35" s="83">
        <v>8260</v>
      </c>
      <c r="G35" s="83">
        <v>8380</v>
      </c>
      <c r="H35" s="83">
        <v>8860</v>
      </c>
      <c r="I35" s="83">
        <v>8580</v>
      </c>
      <c r="J35" s="83">
        <v>9060</v>
      </c>
      <c r="K35" s="83">
        <v>8580</v>
      </c>
      <c r="L35" s="83">
        <v>9060</v>
      </c>
      <c r="M35" s="83">
        <v>8380</v>
      </c>
      <c r="N35" s="83">
        <v>8860</v>
      </c>
      <c r="O35" s="184">
        <v>8380</v>
      </c>
      <c r="P35" s="184">
        <v>8860</v>
      </c>
      <c r="Q35" s="83">
        <v>8580</v>
      </c>
      <c r="R35" s="83">
        <v>9060</v>
      </c>
      <c r="S35" s="83">
        <v>8380</v>
      </c>
      <c r="T35" s="83">
        <v>8860</v>
      </c>
      <c r="U35" s="83">
        <v>8380</v>
      </c>
      <c r="V35" s="83">
        <v>8860</v>
      </c>
      <c r="W35" s="191"/>
      <c r="X35" s="191"/>
      <c r="Y35" s="83">
        <v>8880</v>
      </c>
      <c r="Z35" s="83">
        <v>9360</v>
      </c>
      <c r="AA35" s="83">
        <v>9480</v>
      </c>
      <c r="AB35" s="83">
        <v>9960</v>
      </c>
      <c r="AC35" s="83">
        <v>9480</v>
      </c>
      <c r="AD35" s="83">
        <v>9960</v>
      </c>
      <c r="AE35" s="216">
        <v>8880</v>
      </c>
      <c r="AF35" s="216">
        <v>9360</v>
      </c>
      <c r="AG35" s="83">
        <v>10380</v>
      </c>
      <c r="AH35" s="83">
        <v>10860</v>
      </c>
    </row>
    <row r="36" spans="1:34">
      <c r="A36" s="107" t="s">
        <v>333</v>
      </c>
      <c r="B36" s="108" t="s">
        <v>334</v>
      </c>
      <c r="C36" s="83">
        <v>7500</v>
      </c>
      <c r="D36" s="83">
        <v>7800</v>
      </c>
      <c r="E36" s="83">
        <v>7600</v>
      </c>
      <c r="F36" s="83">
        <v>7900</v>
      </c>
      <c r="G36" s="83">
        <v>8200</v>
      </c>
      <c r="H36" s="83">
        <v>8500</v>
      </c>
      <c r="I36" s="83">
        <v>8400</v>
      </c>
      <c r="J36" s="83">
        <v>8700</v>
      </c>
      <c r="K36" s="83">
        <v>8400</v>
      </c>
      <c r="L36" s="83">
        <v>8700</v>
      </c>
      <c r="M36" s="83">
        <v>8200</v>
      </c>
      <c r="N36" s="83">
        <v>8500</v>
      </c>
      <c r="O36" s="184">
        <v>8200</v>
      </c>
      <c r="P36" s="184">
        <v>8500</v>
      </c>
      <c r="Q36" s="83">
        <v>8400</v>
      </c>
      <c r="R36" s="83">
        <v>8700</v>
      </c>
      <c r="S36" s="83">
        <v>8200</v>
      </c>
      <c r="T36" s="83">
        <v>8500</v>
      </c>
      <c r="U36" s="83">
        <v>8200</v>
      </c>
      <c r="V36" s="83">
        <v>8500</v>
      </c>
      <c r="W36" s="191"/>
      <c r="X36" s="191"/>
      <c r="Y36" s="83">
        <v>8700</v>
      </c>
      <c r="Z36" s="83">
        <v>9000</v>
      </c>
      <c r="AA36" s="83">
        <v>9300</v>
      </c>
      <c r="AB36" s="83">
        <v>9600</v>
      </c>
      <c r="AC36" s="83">
        <v>9300</v>
      </c>
      <c r="AD36" s="83">
        <v>9600</v>
      </c>
      <c r="AE36" s="216">
        <v>8700</v>
      </c>
      <c r="AF36" s="216">
        <v>9000</v>
      </c>
      <c r="AG36" s="83">
        <v>10200</v>
      </c>
      <c r="AH36" s="83">
        <v>10500</v>
      </c>
    </row>
    <row r="37" spans="1:34">
      <c r="A37" s="107" t="s">
        <v>49</v>
      </c>
      <c r="B37" s="108" t="s">
        <v>50</v>
      </c>
      <c r="C37" s="83">
        <v>7450</v>
      </c>
      <c r="D37" s="83">
        <v>7700</v>
      </c>
      <c r="E37" s="83">
        <v>7550</v>
      </c>
      <c r="F37" s="83">
        <v>7800</v>
      </c>
      <c r="G37" s="83">
        <v>8150</v>
      </c>
      <c r="H37" s="83">
        <v>8400</v>
      </c>
      <c r="I37" s="83">
        <v>8350</v>
      </c>
      <c r="J37" s="83">
        <v>8600</v>
      </c>
      <c r="K37" s="83">
        <v>8350</v>
      </c>
      <c r="L37" s="83">
        <v>8600</v>
      </c>
      <c r="M37" s="83">
        <v>8150</v>
      </c>
      <c r="N37" s="83">
        <v>8400</v>
      </c>
      <c r="O37" s="184">
        <v>8150</v>
      </c>
      <c r="P37" s="184">
        <v>8400</v>
      </c>
      <c r="Q37" s="83">
        <v>8350</v>
      </c>
      <c r="R37" s="83">
        <v>8600</v>
      </c>
      <c r="S37" s="83">
        <v>8150</v>
      </c>
      <c r="T37" s="83">
        <v>8400</v>
      </c>
      <c r="U37" s="83">
        <v>8150</v>
      </c>
      <c r="V37" s="83">
        <v>8400</v>
      </c>
      <c r="W37" s="191"/>
      <c r="X37" s="191"/>
      <c r="Y37" s="83">
        <v>8650</v>
      </c>
      <c r="Z37" s="83">
        <v>8900</v>
      </c>
      <c r="AA37" s="83">
        <v>9250</v>
      </c>
      <c r="AB37" s="83">
        <v>9500</v>
      </c>
      <c r="AC37" s="83">
        <v>9250</v>
      </c>
      <c r="AD37" s="83">
        <v>9500</v>
      </c>
      <c r="AE37" s="216">
        <v>8650</v>
      </c>
      <c r="AF37" s="216">
        <v>8900</v>
      </c>
      <c r="AG37" s="83">
        <v>10150</v>
      </c>
      <c r="AH37" s="83">
        <v>10400</v>
      </c>
    </row>
    <row r="38" spans="1:34">
      <c r="A38" s="107" t="s">
        <v>51</v>
      </c>
      <c r="B38" s="108" t="s">
        <v>52</v>
      </c>
      <c r="C38" s="83">
        <v>7450</v>
      </c>
      <c r="D38" s="83">
        <v>7700</v>
      </c>
      <c r="E38" s="83">
        <v>7550</v>
      </c>
      <c r="F38" s="83">
        <v>7800</v>
      </c>
      <c r="G38" s="83">
        <v>8150</v>
      </c>
      <c r="H38" s="83">
        <v>8400</v>
      </c>
      <c r="I38" s="83">
        <v>8350</v>
      </c>
      <c r="J38" s="83">
        <v>8600</v>
      </c>
      <c r="K38" s="83">
        <v>8350</v>
      </c>
      <c r="L38" s="83">
        <v>8600</v>
      </c>
      <c r="M38" s="83">
        <v>8150</v>
      </c>
      <c r="N38" s="83">
        <v>8400</v>
      </c>
      <c r="O38" s="184">
        <v>8150</v>
      </c>
      <c r="P38" s="184">
        <v>8400</v>
      </c>
      <c r="Q38" s="83">
        <v>8350</v>
      </c>
      <c r="R38" s="83">
        <v>8600</v>
      </c>
      <c r="S38" s="83">
        <v>8150</v>
      </c>
      <c r="T38" s="83">
        <v>8400</v>
      </c>
      <c r="U38" s="83">
        <v>8150</v>
      </c>
      <c r="V38" s="83">
        <v>8400</v>
      </c>
      <c r="W38" s="191"/>
      <c r="X38" s="191"/>
      <c r="Y38" s="83">
        <v>8650</v>
      </c>
      <c r="Z38" s="83">
        <v>8900</v>
      </c>
      <c r="AA38" s="83">
        <v>9250</v>
      </c>
      <c r="AB38" s="83">
        <v>9500</v>
      </c>
      <c r="AC38" s="83">
        <v>9250</v>
      </c>
      <c r="AD38" s="83">
        <v>9500</v>
      </c>
      <c r="AE38" s="216">
        <v>8650</v>
      </c>
      <c r="AF38" s="216">
        <v>8900</v>
      </c>
      <c r="AG38" s="83">
        <v>10150</v>
      </c>
      <c r="AH38" s="83">
        <v>10400</v>
      </c>
    </row>
    <row r="39" spans="1:34">
      <c r="A39" s="107" t="s">
        <v>53</v>
      </c>
      <c r="B39" s="108" t="s">
        <v>54</v>
      </c>
      <c r="C39" s="83">
        <v>7500</v>
      </c>
      <c r="D39" s="83">
        <v>7800</v>
      </c>
      <c r="E39" s="83">
        <v>7600</v>
      </c>
      <c r="F39" s="83">
        <v>7900</v>
      </c>
      <c r="G39" s="83">
        <v>8200</v>
      </c>
      <c r="H39" s="83">
        <v>8500</v>
      </c>
      <c r="I39" s="83">
        <v>8400</v>
      </c>
      <c r="J39" s="83">
        <v>8700</v>
      </c>
      <c r="K39" s="83">
        <v>8400</v>
      </c>
      <c r="L39" s="83">
        <v>8700</v>
      </c>
      <c r="M39" s="83">
        <v>8200</v>
      </c>
      <c r="N39" s="83">
        <v>8500</v>
      </c>
      <c r="O39" s="184">
        <v>8200</v>
      </c>
      <c r="P39" s="184">
        <v>8500</v>
      </c>
      <c r="Q39" s="83">
        <v>8400</v>
      </c>
      <c r="R39" s="83">
        <v>8700</v>
      </c>
      <c r="S39" s="83">
        <v>8200</v>
      </c>
      <c r="T39" s="83">
        <v>8500</v>
      </c>
      <c r="U39" s="83">
        <v>8200</v>
      </c>
      <c r="V39" s="83">
        <v>8500</v>
      </c>
      <c r="W39" s="191"/>
      <c r="X39" s="191"/>
      <c r="Y39" s="83">
        <v>8700</v>
      </c>
      <c r="Z39" s="83">
        <v>9000</v>
      </c>
      <c r="AA39" s="83">
        <v>9300</v>
      </c>
      <c r="AB39" s="83">
        <v>9600</v>
      </c>
      <c r="AC39" s="83">
        <v>9300</v>
      </c>
      <c r="AD39" s="83">
        <v>9600</v>
      </c>
      <c r="AE39" s="216">
        <v>8700</v>
      </c>
      <c r="AF39" s="216">
        <v>9000</v>
      </c>
      <c r="AG39" s="83">
        <v>10200</v>
      </c>
      <c r="AH39" s="83">
        <v>10500</v>
      </c>
    </row>
    <row r="40" spans="1:34">
      <c r="A40" s="107" t="s">
        <v>55</v>
      </c>
      <c r="B40" s="108" t="s">
        <v>56</v>
      </c>
      <c r="C40" s="83">
        <v>7550</v>
      </c>
      <c r="D40" s="83">
        <v>7900</v>
      </c>
      <c r="E40" s="83">
        <v>7650</v>
      </c>
      <c r="F40" s="83">
        <v>8000</v>
      </c>
      <c r="G40" s="83">
        <v>8250</v>
      </c>
      <c r="H40" s="83">
        <v>8600</v>
      </c>
      <c r="I40" s="83">
        <v>8450</v>
      </c>
      <c r="J40" s="83">
        <v>8800</v>
      </c>
      <c r="K40" s="83">
        <v>8450</v>
      </c>
      <c r="L40" s="83">
        <v>8800</v>
      </c>
      <c r="M40" s="83">
        <v>8250</v>
      </c>
      <c r="N40" s="83">
        <v>8600</v>
      </c>
      <c r="O40" s="184">
        <v>8250</v>
      </c>
      <c r="P40" s="184">
        <v>8600</v>
      </c>
      <c r="Q40" s="83">
        <v>8450</v>
      </c>
      <c r="R40" s="83">
        <v>8800</v>
      </c>
      <c r="S40" s="83">
        <v>8250</v>
      </c>
      <c r="T40" s="83">
        <v>8600</v>
      </c>
      <c r="U40" s="83">
        <v>8250</v>
      </c>
      <c r="V40" s="83">
        <v>8600</v>
      </c>
      <c r="W40" s="191"/>
      <c r="X40" s="191"/>
      <c r="Y40" s="83">
        <v>8750</v>
      </c>
      <c r="Z40" s="83">
        <v>9100</v>
      </c>
      <c r="AA40" s="83">
        <v>9350</v>
      </c>
      <c r="AB40" s="83">
        <v>9700</v>
      </c>
      <c r="AC40" s="83">
        <v>9350</v>
      </c>
      <c r="AD40" s="83">
        <v>9700</v>
      </c>
      <c r="AE40" s="216">
        <v>8750</v>
      </c>
      <c r="AF40" s="216">
        <v>9100</v>
      </c>
      <c r="AG40" s="83">
        <v>10250</v>
      </c>
      <c r="AH40" s="83">
        <v>10600</v>
      </c>
    </row>
    <row r="41" spans="1:34">
      <c r="A41" s="107" t="s">
        <v>57</v>
      </c>
      <c r="B41" s="108" t="s">
        <v>58</v>
      </c>
      <c r="C41" s="83">
        <v>7500</v>
      </c>
      <c r="D41" s="83">
        <v>7800</v>
      </c>
      <c r="E41" s="83">
        <v>7600</v>
      </c>
      <c r="F41" s="83">
        <v>7900</v>
      </c>
      <c r="G41" s="83">
        <v>8200</v>
      </c>
      <c r="H41" s="83">
        <v>8500</v>
      </c>
      <c r="I41" s="83">
        <v>8400</v>
      </c>
      <c r="J41" s="83">
        <v>8700</v>
      </c>
      <c r="K41" s="83">
        <v>8400</v>
      </c>
      <c r="L41" s="83">
        <v>8700</v>
      </c>
      <c r="M41" s="83">
        <v>8200</v>
      </c>
      <c r="N41" s="83">
        <v>8500</v>
      </c>
      <c r="O41" s="184">
        <v>8200</v>
      </c>
      <c r="P41" s="184">
        <v>8500</v>
      </c>
      <c r="Q41" s="83">
        <v>8400</v>
      </c>
      <c r="R41" s="83">
        <v>8700</v>
      </c>
      <c r="S41" s="83">
        <v>8200</v>
      </c>
      <c r="T41" s="83">
        <v>8500</v>
      </c>
      <c r="U41" s="83">
        <v>8200</v>
      </c>
      <c r="V41" s="83">
        <v>8500</v>
      </c>
      <c r="W41" s="191"/>
      <c r="X41" s="191"/>
      <c r="Y41" s="83">
        <v>8700</v>
      </c>
      <c r="Z41" s="83">
        <v>9000</v>
      </c>
      <c r="AA41" s="83">
        <v>9300</v>
      </c>
      <c r="AB41" s="83">
        <v>9600</v>
      </c>
      <c r="AC41" s="83">
        <v>9300</v>
      </c>
      <c r="AD41" s="83">
        <v>9600</v>
      </c>
      <c r="AE41" s="216">
        <v>8700</v>
      </c>
      <c r="AF41" s="216">
        <v>9000</v>
      </c>
      <c r="AG41" s="83">
        <v>10200</v>
      </c>
      <c r="AH41" s="83">
        <v>10500</v>
      </c>
    </row>
    <row r="42" spans="1:34">
      <c r="A42" s="113" t="s">
        <v>128</v>
      </c>
      <c r="B42" s="108" t="s">
        <v>221</v>
      </c>
      <c r="C42" s="83">
        <v>7550</v>
      </c>
      <c r="D42" s="83">
        <v>7900</v>
      </c>
      <c r="E42" s="83">
        <v>7650</v>
      </c>
      <c r="F42" s="83">
        <v>8000</v>
      </c>
      <c r="G42" s="83">
        <v>8250</v>
      </c>
      <c r="H42" s="83">
        <v>8600</v>
      </c>
      <c r="I42" s="83">
        <v>8450</v>
      </c>
      <c r="J42" s="83">
        <v>8800</v>
      </c>
      <c r="K42" s="83">
        <v>8450</v>
      </c>
      <c r="L42" s="83">
        <v>8800</v>
      </c>
      <c r="M42" s="83">
        <v>8250</v>
      </c>
      <c r="N42" s="83">
        <v>8600</v>
      </c>
      <c r="O42" s="184">
        <v>8250</v>
      </c>
      <c r="P42" s="184">
        <v>8600</v>
      </c>
      <c r="Q42" s="83">
        <v>8450</v>
      </c>
      <c r="R42" s="83">
        <v>8800</v>
      </c>
      <c r="S42" s="83">
        <v>8250</v>
      </c>
      <c r="T42" s="83">
        <v>8600</v>
      </c>
      <c r="U42" s="83">
        <v>8250</v>
      </c>
      <c r="V42" s="83">
        <v>8600</v>
      </c>
      <c r="W42" s="191"/>
      <c r="X42" s="191"/>
      <c r="Y42" s="83">
        <v>8750</v>
      </c>
      <c r="Z42" s="83">
        <v>9100</v>
      </c>
      <c r="AA42" s="83">
        <v>9350</v>
      </c>
      <c r="AB42" s="83">
        <v>9700</v>
      </c>
      <c r="AC42" s="83">
        <v>9350</v>
      </c>
      <c r="AD42" s="83">
        <v>9700</v>
      </c>
      <c r="AE42" s="216">
        <v>8750</v>
      </c>
      <c r="AF42" s="216">
        <v>9100</v>
      </c>
      <c r="AG42" s="83">
        <v>10250</v>
      </c>
      <c r="AH42" s="83">
        <v>10600</v>
      </c>
    </row>
    <row r="43" spans="1:34">
      <c r="A43" s="113" t="s">
        <v>129</v>
      </c>
      <c r="B43" s="108" t="s">
        <v>222</v>
      </c>
      <c r="C43" s="83">
        <v>7550</v>
      </c>
      <c r="D43" s="83">
        <v>7900</v>
      </c>
      <c r="E43" s="83">
        <v>7650</v>
      </c>
      <c r="F43" s="83">
        <v>8000</v>
      </c>
      <c r="G43" s="83">
        <v>8250</v>
      </c>
      <c r="H43" s="83">
        <v>8600</v>
      </c>
      <c r="I43" s="83">
        <v>8450</v>
      </c>
      <c r="J43" s="83">
        <v>8800</v>
      </c>
      <c r="K43" s="83">
        <v>8450</v>
      </c>
      <c r="L43" s="83">
        <v>8800</v>
      </c>
      <c r="M43" s="83">
        <v>8250</v>
      </c>
      <c r="N43" s="83">
        <v>8600</v>
      </c>
      <c r="O43" s="184">
        <v>8250</v>
      </c>
      <c r="P43" s="184">
        <v>8600</v>
      </c>
      <c r="Q43" s="83">
        <v>8450</v>
      </c>
      <c r="R43" s="83">
        <v>8800</v>
      </c>
      <c r="S43" s="83">
        <v>8250</v>
      </c>
      <c r="T43" s="83">
        <v>8600</v>
      </c>
      <c r="U43" s="83">
        <v>8250</v>
      </c>
      <c r="V43" s="83">
        <v>8600</v>
      </c>
      <c r="W43" s="191"/>
      <c r="X43" s="191"/>
      <c r="Y43" s="83">
        <v>8750</v>
      </c>
      <c r="Z43" s="83">
        <v>9100</v>
      </c>
      <c r="AA43" s="83">
        <v>9350</v>
      </c>
      <c r="AB43" s="83">
        <v>9700</v>
      </c>
      <c r="AC43" s="83">
        <v>9350</v>
      </c>
      <c r="AD43" s="83">
        <v>9700</v>
      </c>
      <c r="AE43" s="216">
        <v>8750</v>
      </c>
      <c r="AF43" s="216">
        <v>9100</v>
      </c>
      <c r="AG43" s="83">
        <v>10250</v>
      </c>
      <c r="AH43" s="83">
        <v>10600</v>
      </c>
    </row>
    <row r="44" spans="1:34">
      <c r="A44" s="107" t="s">
        <v>59</v>
      </c>
      <c r="B44" s="108" t="s">
        <v>60</v>
      </c>
      <c r="C44" s="83">
        <v>7700</v>
      </c>
      <c r="D44" s="83">
        <v>8200</v>
      </c>
      <c r="E44" s="83">
        <v>7800</v>
      </c>
      <c r="F44" s="83">
        <v>8300</v>
      </c>
      <c r="G44" s="83">
        <v>8400</v>
      </c>
      <c r="H44" s="83">
        <v>8900</v>
      </c>
      <c r="I44" s="83">
        <v>8600</v>
      </c>
      <c r="J44" s="83">
        <v>9100</v>
      </c>
      <c r="K44" s="83">
        <v>8600</v>
      </c>
      <c r="L44" s="83">
        <v>9100</v>
      </c>
      <c r="M44" s="83">
        <v>8400</v>
      </c>
      <c r="N44" s="83">
        <v>8900</v>
      </c>
      <c r="O44" s="184">
        <v>8400</v>
      </c>
      <c r="P44" s="184">
        <v>8900</v>
      </c>
      <c r="Q44" s="83">
        <v>8600</v>
      </c>
      <c r="R44" s="83">
        <v>9100</v>
      </c>
      <c r="S44" s="83">
        <v>8400</v>
      </c>
      <c r="T44" s="83">
        <v>8900</v>
      </c>
      <c r="U44" s="83">
        <v>8400</v>
      </c>
      <c r="V44" s="83">
        <v>8900</v>
      </c>
      <c r="W44" s="191"/>
      <c r="X44" s="191"/>
      <c r="Y44" s="83">
        <v>8900</v>
      </c>
      <c r="Z44" s="83">
        <v>9400</v>
      </c>
      <c r="AA44" s="83">
        <v>9500</v>
      </c>
      <c r="AB44" s="83">
        <v>10000</v>
      </c>
      <c r="AC44" s="83">
        <v>9500</v>
      </c>
      <c r="AD44" s="83">
        <v>10000</v>
      </c>
      <c r="AE44" s="216">
        <v>8900</v>
      </c>
      <c r="AF44" s="216">
        <v>9400</v>
      </c>
      <c r="AG44" s="83">
        <v>10400</v>
      </c>
      <c r="AH44" s="83">
        <v>10900</v>
      </c>
    </row>
    <row r="45" spans="1:34">
      <c r="A45" s="107" t="s">
        <v>61</v>
      </c>
      <c r="B45" s="108" t="s">
        <v>62</v>
      </c>
      <c r="C45" s="83">
        <v>7500</v>
      </c>
      <c r="D45" s="83">
        <v>7800</v>
      </c>
      <c r="E45" s="83">
        <v>7600</v>
      </c>
      <c r="F45" s="83">
        <v>7900</v>
      </c>
      <c r="G45" s="83">
        <v>8200</v>
      </c>
      <c r="H45" s="83">
        <v>8500</v>
      </c>
      <c r="I45" s="83">
        <v>8400</v>
      </c>
      <c r="J45" s="83">
        <v>8700</v>
      </c>
      <c r="K45" s="83">
        <v>8400</v>
      </c>
      <c r="L45" s="83">
        <v>8700</v>
      </c>
      <c r="M45" s="83">
        <v>8200</v>
      </c>
      <c r="N45" s="83">
        <v>8500</v>
      </c>
      <c r="O45" s="184">
        <v>8200</v>
      </c>
      <c r="P45" s="184">
        <v>8500</v>
      </c>
      <c r="Q45" s="83">
        <v>8400</v>
      </c>
      <c r="R45" s="83">
        <v>8700</v>
      </c>
      <c r="S45" s="83">
        <v>8200</v>
      </c>
      <c r="T45" s="83">
        <v>8500</v>
      </c>
      <c r="U45" s="83">
        <v>8200</v>
      </c>
      <c r="V45" s="83">
        <v>8500</v>
      </c>
      <c r="W45" s="191"/>
      <c r="X45" s="191"/>
      <c r="Y45" s="83">
        <v>8700</v>
      </c>
      <c r="Z45" s="83">
        <v>9000</v>
      </c>
      <c r="AA45" s="83">
        <v>9300</v>
      </c>
      <c r="AB45" s="83">
        <v>9600</v>
      </c>
      <c r="AC45" s="83">
        <v>9300</v>
      </c>
      <c r="AD45" s="83">
        <v>9600</v>
      </c>
      <c r="AE45" s="216">
        <v>8700</v>
      </c>
      <c r="AF45" s="216">
        <v>9000</v>
      </c>
      <c r="AG45" s="83">
        <v>10200</v>
      </c>
      <c r="AH45" s="83">
        <v>10500</v>
      </c>
    </row>
    <row r="46" spans="1:34">
      <c r="A46" s="107" t="s">
        <v>63</v>
      </c>
      <c r="B46" s="108" t="s">
        <v>64</v>
      </c>
      <c r="C46" s="83">
        <v>7550</v>
      </c>
      <c r="D46" s="83">
        <v>7900</v>
      </c>
      <c r="E46" s="83">
        <v>7650</v>
      </c>
      <c r="F46" s="83">
        <v>8000</v>
      </c>
      <c r="G46" s="83">
        <v>8250</v>
      </c>
      <c r="H46" s="83">
        <v>8600</v>
      </c>
      <c r="I46" s="83">
        <v>8450</v>
      </c>
      <c r="J46" s="83">
        <v>8800</v>
      </c>
      <c r="K46" s="83">
        <v>8450</v>
      </c>
      <c r="L46" s="83">
        <v>8800</v>
      </c>
      <c r="M46" s="83">
        <v>8250</v>
      </c>
      <c r="N46" s="83">
        <v>8600</v>
      </c>
      <c r="O46" s="184">
        <v>8250</v>
      </c>
      <c r="P46" s="184">
        <v>8600</v>
      </c>
      <c r="Q46" s="83">
        <v>8450</v>
      </c>
      <c r="R46" s="83">
        <v>8800</v>
      </c>
      <c r="S46" s="83">
        <v>8250</v>
      </c>
      <c r="T46" s="83">
        <v>8600</v>
      </c>
      <c r="U46" s="83">
        <v>8250</v>
      </c>
      <c r="V46" s="83">
        <v>8600</v>
      </c>
      <c r="W46" s="191"/>
      <c r="X46" s="191"/>
      <c r="Y46" s="83">
        <v>8750</v>
      </c>
      <c r="Z46" s="83">
        <v>9100</v>
      </c>
      <c r="AA46" s="83">
        <v>9350</v>
      </c>
      <c r="AB46" s="83">
        <v>9700</v>
      </c>
      <c r="AC46" s="83">
        <v>9350</v>
      </c>
      <c r="AD46" s="83">
        <v>9700</v>
      </c>
      <c r="AE46" s="216">
        <v>8750</v>
      </c>
      <c r="AF46" s="216">
        <v>9100</v>
      </c>
      <c r="AG46" s="83">
        <v>10250</v>
      </c>
      <c r="AH46" s="83">
        <v>10600</v>
      </c>
    </row>
    <row r="47" spans="1:34">
      <c r="A47" s="107" t="s">
        <v>65</v>
      </c>
      <c r="B47" s="108" t="s">
        <v>66</v>
      </c>
      <c r="C47" s="83">
        <v>7550</v>
      </c>
      <c r="D47" s="83">
        <v>7900</v>
      </c>
      <c r="E47" s="83">
        <v>7650</v>
      </c>
      <c r="F47" s="83">
        <v>8000</v>
      </c>
      <c r="G47" s="83">
        <v>8250</v>
      </c>
      <c r="H47" s="83">
        <v>8600</v>
      </c>
      <c r="I47" s="83">
        <v>8450</v>
      </c>
      <c r="J47" s="83">
        <v>8800</v>
      </c>
      <c r="K47" s="83">
        <v>8450</v>
      </c>
      <c r="L47" s="83">
        <v>8800</v>
      </c>
      <c r="M47" s="83">
        <v>8250</v>
      </c>
      <c r="N47" s="83">
        <v>8600</v>
      </c>
      <c r="O47" s="184">
        <v>8250</v>
      </c>
      <c r="P47" s="184">
        <v>8600</v>
      </c>
      <c r="Q47" s="83">
        <v>8450</v>
      </c>
      <c r="R47" s="83">
        <v>8800</v>
      </c>
      <c r="S47" s="83">
        <v>8250</v>
      </c>
      <c r="T47" s="83">
        <v>8600</v>
      </c>
      <c r="U47" s="83">
        <v>8250</v>
      </c>
      <c r="V47" s="83">
        <v>8600</v>
      </c>
      <c r="W47" s="191"/>
      <c r="X47" s="191"/>
      <c r="Y47" s="83">
        <v>8750</v>
      </c>
      <c r="Z47" s="83">
        <v>9100</v>
      </c>
      <c r="AA47" s="83">
        <v>9350</v>
      </c>
      <c r="AB47" s="83">
        <v>9700</v>
      </c>
      <c r="AC47" s="83">
        <v>9350</v>
      </c>
      <c r="AD47" s="83">
        <v>9700</v>
      </c>
      <c r="AE47" s="216">
        <v>8750</v>
      </c>
      <c r="AF47" s="216">
        <v>9100</v>
      </c>
      <c r="AG47" s="83">
        <v>10250</v>
      </c>
      <c r="AH47" s="83">
        <v>10600</v>
      </c>
    </row>
    <row r="48" spans="1:34">
      <c r="A48" s="107" t="s">
        <v>130</v>
      </c>
      <c r="B48" s="114" t="s">
        <v>223</v>
      </c>
      <c r="C48" s="83">
        <v>7700</v>
      </c>
      <c r="D48" s="83">
        <v>7900</v>
      </c>
      <c r="E48" s="83">
        <v>7800</v>
      </c>
      <c r="F48" s="83">
        <v>8000</v>
      </c>
      <c r="G48" s="83">
        <v>8400</v>
      </c>
      <c r="H48" s="83">
        <v>8600</v>
      </c>
      <c r="I48" s="83">
        <v>8600</v>
      </c>
      <c r="J48" s="83">
        <v>8800</v>
      </c>
      <c r="K48" s="83">
        <v>8600</v>
      </c>
      <c r="L48" s="83">
        <v>8800</v>
      </c>
      <c r="M48" s="83">
        <v>8400</v>
      </c>
      <c r="N48" s="83">
        <v>8600</v>
      </c>
      <c r="O48" s="184">
        <v>8400</v>
      </c>
      <c r="P48" s="184">
        <v>8600</v>
      </c>
      <c r="Q48" s="83">
        <v>8600</v>
      </c>
      <c r="R48" s="83">
        <v>8800</v>
      </c>
      <c r="S48" s="83">
        <v>8400</v>
      </c>
      <c r="T48" s="83">
        <v>8600</v>
      </c>
      <c r="U48" s="83">
        <v>8400</v>
      </c>
      <c r="V48" s="83">
        <v>8600</v>
      </c>
      <c r="W48" s="191"/>
      <c r="X48" s="191"/>
      <c r="Y48" s="83">
        <v>8900</v>
      </c>
      <c r="Z48" s="83">
        <v>9100</v>
      </c>
      <c r="AA48" s="83">
        <v>9500</v>
      </c>
      <c r="AB48" s="83">
        <v>9700</v>
      </c>
      <c r="AC48" s="83">
        <v>9500</v>
      </c>
      <c r="AD48" s="83">
        <v>9700</v>
      </c>
      <c r="AE48" s="216">
        <v>8900</v>
      </c>
      <c r="AF48" s="216">
        <v>9100</v>
      </c>
      <c r="AG48" s="83">
        <v>10400</v>
      </c>
      <c r="AH48" s="83">
        <v>10600</v>
      </c>
    </row>
    <row r="49" spans="1:34">
      <c r="A49" s="107" t="s">
        <v>131</v>
      </c>
      <c r="B49" s="114" t="s">
        <v>224</v>
      </c>
      <c r="C49" s="83">
        <v>7700</v>
      </c>
      <c r="D49" s="83">
        <v>7900</v>
      </c>
      <c r="E49" s="83">
        <v>7800</v>
      </c>
      <c r="F49" s="83">
        <v>8000</v>
      </c>
      <c r="G49" s="83">
        <v>8400</v>
      </c>
      <c r="H49" s="83">
        <v>8600</v>
      </c>
      <c r="I49" s="83">
        <v>8600</v>
      </c>
      <c r="J49" s="83">
        <v>8800</v>
      </c>
      <c r="K49" s="83">
        <v>8600</v>
      </c>
      <c r="L49" s="83">
        <v>8800</v>
      </c>
      <c r="M49" s="83">
        <v>8400</v>
      </c>
      <c r="N49" s="83">
        <v>8600</v>
      </c>
      <c r="O49" s="184">
        <v>8400</v>
      </c>
      <c r="P49" s="184">
        <v>8600</v>
      </c>
      <c r="Q49" s="83">
        <v>8600</v>
      </c>
      <c r="R49" s="83">
        <v>8800</v>
      </c>
      <c r="S49" s="83">
        <v>8400</v>
      </c>
      <c r="T49" s="83">
        <v>8600</v>
      </c>
      <c r="U49" s="83">
        <v>8400</v>
      </c>
      <c r="V49" s="83">
        <v>8600</v>
      </c>
      <c r="W49" s="191"/>
      <c r="X49" s="191"/>
      <c r="Y49" s="83">
        <v>8900</v>
      </c>
      <c r="Z49" s="83">
        <v>9100</v>
      </c>
      <c r="AA49" s="83">
        <v>9500</v>
      </c>
      <c r="AB49" s="83">
        <v>9700</v>
      </c>
      <c r="AC49" s="83">
        <v>9500</v>
      </c>
      <c r="AD49" s="83">
        <v>9700</v>
      </c>
      <c r="AE49" s="216">
        <v>8900</v>
      </c>
      <c r="AF49" s="216">
        <v>9100</v>
      </c>
      <c r="AG49" s="83">
        <v>10400</v>
      </c>
      <c r="AH49" s="83">
        <v>10600</v>
      </c>
    </row>
    <row r="50" spans="1:34">
      <c r="A50" s="107" t="s">
        <v>132</v>
      </c>
      <c r="B50" s="114" t="s">
        <v>225</v>
      </c>
      <c r="C50" s="83">
        <v>7700</v>
      </c>
      <c r="D50" s="83">
        <v>7900</v>
      </c>
      <c r="E50" s="83">
        <v>7800</v>
      </c>
      <c r="F50" s="83">
        <v>8000</v>
      </c>
      <c r="G50" s="83">
        <v>8400</v>
      </c>
      <c r="H50" s="83">
        <v>8600</v>
      </c>
      <c r="I50" s="83">
        <v>8600</v>
      </c>
      <c r="J50" s="83">
        <v>8800</v>
      </c>
      <c r="K50" s="83">
        <v>8600</v>
      </c>
      <c r="L50" s="83">
        <v>8800</v>
      </c>
      <c r="M50" s="83">
        <v>8400</v>
      </c>
      <c r="N50" s="83">
        <v>8600</v>
      </c>
      <c r="O50" s="184">
        <v>8400</v>
      </c>
      <c r="P50" s="184">
        <v>8600</v>
      </c>
      <c r="Q50" s="83">
        <v>8600</v>
      </c>
      <c r="R50" s="83">
        <v>8800</v>
      </c>
      <c r="S50" s="83">
        <v>8400</v>
      </c>
      <c r="T50" s="83">
        <v>8600</v>
      </c>
      <c r="U50" s="83">
        <v>8400</v>
      </c>
      <c r="V50" s="83">
        <v>8600</v>
      </c>
      <c r="W50" s="191"/>
      <c r="X50" s="191"/>
      <c r="Y50" s="83">
        <v>8900</v>
      </c>
      <c r="Z50" s="83">
        <v>9100</v>
      </c>
      <c r="AA50" s="83">
        <v>9500</v>
      </c>
      <c r="AB50" s="83">
        <v>9700</v>
      </c>
      <c r="AC50" s="83">
        <v>9500</v>
      </c>
      <c r="AD50" s="83">
        <v>9700</v>
      </c>
      <c r="AE50" s="216">
        <v>8900</v>
      </c>
      <c r="AF50" s="216">
        <v>9100</v>
      </c>
      <c r="AG50" s="83">
        <v>10400</v>
      </c>
      <c r="AH50" s="83">
        <v>10600</v>
      </c>
    </row>
    <row r="51" spans="1:34">
      <c r="A51" s="107" t="s">
        <v>133</v>
      </c>
      <c r="B51" s="114" t="s">
        <v>226</v>
      </c>
      <c r="C51" s="83">
        <v>7700</v>
      </c>
      <c r="D51" s="83">
        <v>7900</v>
      </c>
      <c r="E51" s="83">
        <v>7800</v>
      </c>
      <c r="F51" s="83">
        <v>8000</v>
      </c>
      <c r="G51" s="83">
        <v>8400</v>
      </c>
      <c r="H51" s="83">
        <v>8600</v>
      </c>
      <c r="I51" s="83">
        <v>8600</v>
      </c>
      <c r="J51" s="83">
        <v>8800</v>
      </c>
      <c r="K51" s="83">
        <v>8600</v>
      </c>
      <c r="L51" s="83">
        <v>8800</v>
      </c>
      <c r="M51" s="83">
        <v>8400</v>
      </c>
      <c r="N51" s="83">
        <v>8600</v>
      </c>
      <c r="O51" s="184">
        <v>8400</v>
      </c>
      <c r="P51" s="184">
        <v>8600</v>
      </c>
      <c r="Q51" s="83">
        <v>8600</v>
      </c>
      <c r="R51" s="83">
        <v>8800</v>
      </c>
      <c r="S51" s="83">
        <v>8400</v>
      </c>
      <c r="T51" s="83">
        <v>8600</v>
      </c>
      <c r="U51" s="83">
        <v>8400</v>
      </c>
      <c r="V51" s="83">
        <v>8600</v>
      </c>
      <c r="W51" s="191"/>
      <c r="X51" s="191"/>
      <c r="Y51" s="83">
        <v>8900</v>
      </c>
      <c r="Z51" s="83">
        <v>9100</v>
      </c>
      <c r="AA51" s="83">
        <v>9500</v>
      </c>
      <c r="AB51" s="83">
        <v>9700</v>
      </c>
      <c r="AC51" s="83">
        <v>9500</v>
      </c>
      <c r="AD51" s="83">
        <v>9700</v>
      </c>
      <c r="AE51" s="216">
        <v>8900</v>
      </c>
      <c r="AF51" s="216">
        <v>9100</v>
      </c>
      <c r="AG51" s="83">
        <v>10400</v>
      </c>
      <c r="AH51" s="83">
        <v>10600</v>
      </c>
    </row>
    <row r="52" spans="1:34">
      <c r="A52" s="107" t="s">
        <v>134</v>
      </c>
      <c r="B52" s="114" t="s">
        <v>227</v>
      </c>
      <c r="C52" s="83">
        <v>7700</v>
      </c>
      <c r="D52" s="83">
        <v>7900</v>
      </c>
      <c r="E52" s="83">
        <v>7800</v>
      </c>
      <c r="F52" s="83">
        <v>8000</v>
      </c>
      <c r="G52" s="83">
        <v>8400</v>
      </c>
      <c r="H52" s="83">
        <v>8600</v>
      </c>
      <c r="I52" s="83">
        <v>8600</v>
      </c>
      <c r="J52" s="83">
        <v>8800</v>
      </c>
      <c r="K52" s="83">
        <v>8600</v>
      </c>
      <c r="L52" s="83">
        <v>8800</v>
      </c>
      <c r="M52" s="83">
        <v>8400</v>
      </c>
      <c r="N52" s="83">
        <v>8600</v>
      </c>
      <c r="O52" s="184">
        <v>8400</v>
      </c>
      <c r="P52" s="184">
        <v>8600</v>
      </c>
      <c r="Q52" s="83">
        <v>8600</v>
      </c>
      <c r="R52" s="83">
        <v>8800</v>
      </c>
      <c r="S52" s="83">
        <v>8400</v>
      </c>
      <c r="T52" s="83">
        <v>8600</v>
      </c>
      <c r="U52" s="83">
        <v>8400</v>
      </c>
      <c r="V52" s="83">
        <v>8600</v>
      </c>
      <c r="W52" s="191"/>
      <c r="X52" s="191"/>
      <c r="Y52" s="83">
        <v>8900</v>
      </c>
      <c r="Z52" s="83">
        <v>9100</v>
      </c>
      <c r="AA52" s="83">
        <v>9500</v>
      </c>
      <c r="AB52" s="83">
        <v>9700</v>
      </c>
      <c r="AC52" s="83">
        <v>9500</v>
      </c>
      <c r="AD52" s="83">
        <v>9700</v>
      </c>
      <c r="AE52" s="216">
        <v>8900</v>
      </c>
      <c r="AF52" s="216">
        <v>9100</v>
      </c>
      <c r="AG52" s="83">
        <v>10400</v>
      </c>
      <c r="AH52" s="83">
        <v>10600</v>
      </c>
    </row>
    <row r="53" spans="1:34">
      <c r="A53" s="107" t="s">
        <v>135</v>
      </c>
      <c r="B53" s="114" t="s">
        <v>228</v>
      </c>
      <c r="C53" s="83">
        <v>7700</v>
      </c>
      <c r="D53" s="83">
        <v>7900</v>
      </c>
      <c r="E53" s="83">
        <v>7800</v>
      </c>
      <c r="F53" s="83">
        <v>8000</v>
      </c>
      <c r="G53" s="83">
        <v>8400</v>
      </c>
      <c r="H53" s="83">
        <v>8600</v>
      </c>
      <c r="I53" s="83">
        <v>8600</v>
      </c>
      <c r="J53" s="83">
        <v>8800</v>
      </c>
      <c r="K53" s="83">
        <v>8600</v>
      </c>
      <c r="L53" s="83">
        <v>8800</v>
      </c>
      <c r="M53" s="83">
        <v>8400</v>
      </c>
      <c r="N53" s="83">
        <v>8600</v>
      </c>
      <c r="O53" s="184">
        <v>8400</v>
      </c>
      <c r="P53" s="184">
        <v>8600</v>
      </c>
      <c r="Q53" s="83">
        <v>8600</v>
      </c>
      <c r="R53" s="83">
        <v>8800</v>
      </c>
      <c r="S53" s="83">
        <v>8400</v>
      </c>
      <c r="T53" s="83">
        <v>8600</v>
      </c>
      <c r="U53" s="83">
        <v>8400</v>
      </c>
      <c r="V53" s="83">
        <v>8600</v>
      </c>
      <c r="W53" s="191"/>
      <c r="X53" s="191"/>
      <c r="Y53" s="83">
        <v>8900</v>
      </c>
      <c r="Z53" s="83">
        <v>9100</v>
      </c>
      <c r="AA53" s="83">
        <v>9500</v>
      </c>
      <c r="AB53" s="83">
        <v>9700</v>
      </c>
      <c r="AC53" s="83">
        <v>9500</v>
      </c>
      <c r="AD53" s="83">
        <v>9700</v>
      </c>
      <c r="AE53" s="216">
        <v>8900</v>
      </c>
      <c r="AF53" s="216">
        <v>9100</v>
      </c>
      <c r="AG53" s="83">
        <v>10400</v>
      </c>
      <c r="AH53" s="83">
        <v>10600</v>
      </c>
    </row>
    <row r="54" spans="1:34">
      <c r="A54" s="107" t="s">
        <v>136</v>
      </c>
      <c r="B54" s="114" t="s">
        <v>229</v>
      </c>
      <c r="C54" s="83">
        <v>7700</v>
      </c>
      <c r="D54" s="83">
        <v>7900</v>
      </c>
      <c r="E54" s="83">
        <v>7800</v>
      </c>
      <c r="F54" s="83">
        <v>8000</v>
      </c>
      <c r="G54" s="83">
        <v>8400</v>
      </c>
      <c r="H54" s="83">
        <v>8600</v>
      </c>
      <c r="I54" s="83">
        <v>8600</v>
      </c>
      <c r="J54" s="83">
        <v>8800</v>
      </c>
      <c r="K54" s="83">
        <v>8600</v>
      </c>
      <c r="L54" s="83">
        <v>8800</v>
      </c>
      <c r="M54" s="83">
        <v>8400</v>
      </c>
      <c r="N54" s="83">
        <v>8600</v>
      </c>
      <c r="O54" s="184">
        <v>8400</v>
      </c>
      <c r="P54" s="184">
        <v>8600</v>
      </c>
      <c r="Q54" s="83">
        <v>8600</v>
      </c>
      <c r="R54" s="83">
        <v>8800</v>
      </c>
      <c r="S54" s="83">
        <v>8400</v>
      </c>
      <c r="T54" s="83">
        <v>8600</v>
      </c>
      <c r="U54" s="83">
        <v>8400</v>
      </c>
      <c r="V54" s="83">
        <v>8600</v>
      </c>
      <c r="W54" s="191"/>
      <c r="X54" s="191"/>
      <c r="Y54" s="83">
        <v>8900</v>
      </c>
      <c r="Z54" s="83">
        <v>9100</v>
      </c>
      <c r="AA54" s="83">
        <v>9500</v>
      </c>
      <c r="AB54" s="83">
        <v>9700</v>
      </c>
      <c r="AC54" s="83">
        <v>9500</v>
      </c>
      <c r="AD54" s="83">
        <v>9700</v>
      </c>
      <c r="AE54" s="216">
        <v>8900</v>
      </c>
      <c r="AF54" s="216">
        <v>9100</v>
      </c>
      <c r="AG54" s="83">
        <v>10400</v>
      </c>
      <c r="AH54" s="83">
        <v>10600</v>
      </c>
    </row>
    <row r="55" spans="1:34">
      <c r="A55" s="107" t="s">
        <v>137</v>
      </c>
      <c r="B55" s="114" t="s">
        <v>230</v>
      </c>
      <c r="C55" s="83">
        <v>7700</v>
      </c>
      <c r="D55" s="83">
        <v>7900</v>
      </c>
      <c r="E55" s="83">
        <v>7800</v>
      </c>
      <c r="F55" s="83">
        <v>8000</v>
      </c>
      <c r="G55" s="83">
        <v>8400</v>
      </c>
      <c r="H55" s="83">
        <v>8600</v>
      </c>
      <c r="I55" s="83">
        <v>8600</v>
      </c>
      <c r="J55" s="83">
        <v>8800</v>
      </c>
      <c r="K55" s="83">
        <v>8600</v>
      </c>
      <c r="L55" s="83">
        <v>8800</v>
      </c>
      <c r="M55" s="83">
        <v>8400</v>
      </c>
      <c r="N55" s="83">
        <v>8600</v>
      </c>
      <c r="O55" s="184">
        <v>8400</v>
      </c>
      <c r="P55" s="184">
        <v>8600</v>
      </c>
      <c r="Q55" s="83">
        <v>8600</v>
      </c>
      <c r="R55" s="83">
        <v>8800</v>
      </c>
      <c r="S55" s="83">
        <v>8400</v>
      </c>
      <c r="T55" s="83">
        <v>8600</v>
      </c>
      <c r="U55" s="83">
        <v>8400</v>
      </c>
      <c r="V55" s="83">
        <v>8600</v>
      </c>
      <c r="W55" s="191"/>
      <c r="X55" s="191"/>
      <c r="Y55" s="83">
        <v>8900</v>
      </c>
      <c r="Z55" s="83">
        <v>9100</v>
      </c>
      <c r="AA55" s="83">
        <v>9500</v>
      </c>
      <c r="AB55" s="83">
        <v>9700</v>
      </c>
      <c r="AC55" s="83">
        <v>9500</v>
      </c>
      <c r="AD55" s="83">
        <v>9700</v>
      </c>
      <c r="AE55" s="216">
        <v>8900</v>
      </c>
      <c r="AF55" s="216">
        <v>9100</v>
      </c>
      <c r="AG55" s="83">
        <v>10400</v>
      </c>
      <c r="AH55" s="83">
        <v>10600</v>
      </c>
    </row>
    <row r="56" spans="1:34">
      <c r="A56" s="107" t="s">
        <v>138</v>
      </c>
      <c r="B56" s="114" t="s">
        <v>157</v>
      </c>
      <c r="C56" s="83">
        <v>7700</v>
      </c>
      <c r="D56" s="83">
        <v>7900</v>
      </c>
      <c r="E56" s="83">
        <v>7800</v>
      </c>
      <c r="F56" s="83">
        <v>8000</v>
      </c>
      <c r="G56" s="83">
        <v>8400</v>
      </c>
      <c r="H56" s="83">
        <v>8600</v>
      </c>
      <c r="I56" s="83">
        <v>8600</v>
      </c>
      <c r="J56" s="83">
        <v>8800</v>
      </c>
      <c r="K56" s="83">
        <v>8600</v>
      </c>
      <c r="L56" s="83">
        <v>8800</v>
      </c>
      <c r="M56" s="83">
        <v>8400</v>
      </c>
      <c r="N56" s="83">
        <v>8600</v>
      </c>
      <c r="O56" s="184">
        <v>8400</v>
      </c>
      <c r="P56" s="184">
        <v>8600</v>
      </c>
      <c r="Q56" s="83">
        <v>8600</v>
      </c>
      <c r="R56" s="83">
        <v>8800</v>
      </c>
      <c r="S56" s="83">
        <v>8400</v>
      </c>
      <c r="T56" s="83">
        <v>8600</v>
      </c>
      <c r="U56" s="83">
        <v>8400</v>
      </c>
      <c r="V56" s="83">
        <v>8600</v>
      </c>
      <c r="W56" s="191"/>
      <c r="X56" s="191"/>
      <c r="Y56" s="83">
        <v>8900</v>
      </c>
      <c r="Z56" s="83">
        <v>9100</v>
      </c>
      <c r="AA56" s="83">
        <v>9500</v>
      </c>
      <c r="AB56" s="83">
        <v>9700</v>
      </c>
      <c r="AC56" s="83">
        <v>9500</v>
      </c>
      <c r="AD56" s="83">
        <v>9700</v>
      </c>
      <c r="AE56" s="216">
        <v>8900</v>
      </c>
      <c r="AF56" s="216">
        <v>9100</v>
      </c>
      <c r="AG56" s="83">
        <v>10400</v>
      </c>
      <c r="AH56" s="83">
        <v>10600</v>
      </c>
    </row>
    <row r="57" spans="1:34">
      <c r="A57" s="115" t="s">
        <v>139</v>
      </c>
      <c r="B57" s="116" t="s">
        <v>231</v>
      </c>
      <c r="C57" s="83">
        <v>7500</v>
      </c>
      <c r="D57" s="83">
        <v>8000</v>
      </c>
      <c r="E57" s="83">
        <v>7600</v>
      </c>
      <c r="F57" s="83">
        <v>8100</v>
      </c>
      <c r="G57" s="83">
        <v>8200</v>
      </c>
      <c r="H57" s="83">
        <v>8700</v>
      </c>
      <c r="I57" s="83">
        <v>8400</v>
      </c>
      <c r="J57" s="83">
        <v>8900</v>
      </c>
      <c r="K57" s="83">
        <v>8400</v>
      </c>
      <c r="L57" s="83">
        <v>8900</v>
      </c>
      <c r="M57" s="83">
        <v>8200</v>
      </c>
      <c r="N57" s="83">
        <v>8700</v>
      </c>
      <c r="O57" s="184">
        <v>8200</v>
      </c>
      <c r="P57" s="184">
        <v>8700</v>
      </c>
      <c r="Q57" s="83">
        <v>8400</v>
      </c>
      <c r="R57" s="83">
        <v>8900</v>
      </c>
      <c r="S57" s="83">
        <v>8200</v>
      </c>
      <c r="T57" s="83">
        <v>8700</v>
      </c>
      <c r="U57" s="83">
        <v>8200</v>
      </c>
      <c r="V57" s="83">
        <v>8700</v>
      </c>
      <c r="W57" s="191"/>
      <c r="X57" s="191"/>
      <c r="Y57" s="83">
        <v>8700</v>
      </c>
      <c r="Z57" s="83">
        <v>9200</v>
      </c>
      <c r="AA57" s="83">
        <v>9300</v>
      </c>
      <c r="AB57" s="83">
        <v>9800</v>
      </c>
      <c r="AC57" s="83">
        <v>9300</v>
      </c>
      <c r="AD57" s="83">
        <v>9800</v>
      </c>
      <c r="AE57" s="216">
        <v>8700</v>
      </c>
      <c r="AF57" s="216">
        <v>9200</v>
      </c>
      <c r="AG57" s="83">
        <v>10200</v>
      </c>
      <c r="AH57" s="83">
        <v>10700</v>
      </c>
    </row>
    <row r="58" spans="1:34">
      <c r="A58" s="115" t="s">
        <v>140</v>
      </c>
      <c r="B58" s="116" t="s">
        <v>232</v>
      </c>
      <c r="C58" s="83">
        <v>7500</v>
      </c>
      <c r="D58" s="83">
        <v>8000</v>
      </c>
      <c r="E58" s="83">
        <v>7600</v>
      </c>
      <c r="F58" s="83">
        <v>8100</v>
      </c>
      <c r="G58" s="83">
        <v>8200</v>
      </c>
      <c r="H58" s="83">
        <v>8700</v>
      </c>
      <c r="I58" s="83">
        <v>8400</v>
      </c>
      <c r="J58" s="83">
        <v>8900</v>
      </c>
      <c r="K58" s="83">
        <v>8400</v>
      </c>
      <c r="L58" s="83">
        <v>8900</v>
      </c>
      <c r="M58" s="83">
        <v>8200</v>
      </c>
      <c r="N58" s="83">
        <v>8700</v>
      </c>
      <c r="O58" s="184">
        <v>8200</v>
      </c>
      <c r="P58" s="184">
        <v>8700</v>
      </c>
      <c r="Q58" s="83">
        <v>8400</v>
      </c>
      <c r="R58" s="83">
        <v>8900</v>
      </c>
      <c r="S58" s="83">
        <v>8200</v>
      </c>
      <c r="T58" s="83">
        <v>8700</v>
      </c>
      <c r="U58" s="83">
        <v>8200</v>
      </c>
      <c r="V58" s="83">
        <v>8700</v>
      </c>
      <c r="W58" s="191"/>
      <c r="X58" s="191"/>
      <c r="Y58" s="83">
        <v>8700</v>
      </c>
      <c r="Z58" s="83">
        <v>9200</v>
      </c>
      <c r="AA58" s="83">
        <v>9300</v>
      </c>
      <c r="AB58" s="83">
        <v>9800</v>
      </c>
      <c r="AC58" s="83">
        <v>9300</v>
      </c>
      <c r="AD58" s="83">
        <v>9800</v>
      </c>
      <c r="AE58" s="216">
        <v>8700</v>
      </c>
      <c r="AF58" s="216">
        <v>9200</v>
      </c>
      <c r="AG58" s="83">
        <v>10200</v>
      </c>
      <c r="AH58" s="83">
        <v>10700</v>
      </c>
    </row>
    <row r="59" spans="1:34">
      <c r="A59" s="115" t="s">
        <v>141</v>
      </c>
      <c r="B59" s="116" t="s">
        <v>233</v>
      </c>
      <c r="C59" s="83">
        <v>7500</v>
      </c>
      <c r="D59" s="83">
        <v>8000</v>
      </c>
      <c r="E59" s="83">
        <v>7600</v>
      </c>
      <c r="F59" s="83">
        <v>8100</v>
      </c>
      <c r="G59" s="83">
        <v>8200</v>
      </c>
      <c r="H59" s="83">
        <v>8700</v>
      </c>
      <c r="I59" s="83">
        <v>8400</v>
      </c>
      <c r="J59" s="83">
        <v>8900</v>
      </c>
      <c r="K59" s="83">
        <v>8400</v>
      </c>
      <c r="L59" s="83">
        <v>8900</v>
      </c>
      <c r="M59" s="83">
        <v>8200</v>
      </c>
      <c r="N59" s="83">
        <v>8700</v>
      </c>
      <c r="O59" s="184">
        <v>8200</v>
      </c>
      <c r="P59" s="184">
        <v>8700</v>
      </c>
      <c r="Q59" s="83">
        <v>8400</v>
      </c>
      <c r="R59" s="83">
        <v>8900</v>
      </c>
      <c r="S59" s="83">
        <v>8200</v>
      </c>
      <c r="T59" s="83">
        <v>8700</v>
      </c>
      <c r="U59" s="83">
        <v>8200</v>
      </c>
      <c r="V59" s="83">
        <v>8700</v>
      </c>
      <c r="W59" s="191"/>
      <c r="X59" s="191"/>
      <c r="Y59" s="83">
        <v>8700</v>
      </c>
      <c r="Z59" s="83">
        <v>9200</v>
      </c>
      <c r="AA59" s="83">
        <v>9300</v>
      </c>
      <c r="AB59" s="83">
        <v>9800</v>
      </c>
      <c r="AC59" s="83">
        <v>9300</v>
      </c>
      <c r="AD59" s="83">
        <v>9800</v>
      </c>
      <c r="AE59" s="216">
        <v>8700</v>
      </c>
      <c r="AF59" s="216">
        <v>9200</v>
      </c>
      <c r="AG59" s="83">
        <v>10200</v>
      </c>
      <c r="AH59" s="83">
        <v>10700</v>
      </c>
    </row>
    <row r="60" spans="1:34">
      <c r="A60" s="115" t="s">
        <v>142</v>
      </c>
      <c r="B60" s="116" t="s">
        <v>234</v>
      </c>
      <c r="C60" s="83">
        <v>7500</v>
      </c>
      <c r="D60" s="83">
        <v>8000</v>
      </c>
      <c r="E60" s="83">
        <v>7600</v>
      </c>
      <c r="F60" s="83">
        <v>8100</v>
      </c>
      <c r="G60" s="83">
        <v>8200</v>
      </c>
      <c r="H60" s="83">
        <v>8700</v>
      </c>
      <c r="I60" s="83">
        <v>8400</v>
      </c>
      <c r="J60" s="83">
        <v>8900</v>
      </c>
      <c r="K60" s="83">
        <v>8400</v>
      </c>
      <c r="L60" s="83">
        <v>8900</v>
      </c>
      <c r="M60" s="83">
        <v>8200</v>
      </c>
      <c r="N60" s="83">
        <v>8700</v>
      </c>
      <c r="O60" s="184">
        <v>8200</v>
      </c>
      <c r="P60" s="184">
        <v>8700</v>
      </c>
      <c r="Q60" s="83">
        <v>8400</v>
      </c>
      <c r="R60" s="83">
        <v>8900</v>
      </c>
      <c r="S60" s="83">
        <v>8200</v>
      </c>
      <c r="T60" s="83">
        <v>8700</v>
      </c>
      <c r="U60" s="83">
        <v>8200</v>
      </c>
      <c r="V60" s="83">
        <v>8700</v>
      </c>
      <c r="W60" s="191"/>
      <c r="X60" s="191"/>
      <c r="Y60" s="83">
        <v>8700</v>
      </c>
      <c r="Z60" s="83">
        <v>9200</v>
      </c>
      <c r="AA60" s="83">
        <v>9300</v>
      </c>
      <c r="AB60" s="83">
        <v>9800</v>
      </c>
      <c r="AC60" s="83">
        <v>9300</v>
      </c>
      <c r="AD60" s="83">
        <v>9800</v>
      </c>
      <c r="AE60" s="216">
        <v>8700</v>
      </c>
      <c r="AF60" s="216">
        <v>9200</v>
      </c>
      <c r="AG60" s="83">
        <v>10200</v>
      </c>
      <c r="AH60" s="83">
        <v>10700</v>
      </c>
    </row>
    <row r="61" spans="1:34">
      <c r="A61" s="115" t="s">
        <v>143</v>
      </c>
      <c r="B61" s="116" t="s">
        <v>235</v>
      </c>
      <c r="C61" s="83">
        <v>7500</v>
      </c>
      <c r="D61" s="83">
        <v>8000</v>
      </c>
      <c r="E61" s="83">
        <v>7600</v>
      </c>
      <c r="F61" s="83">
        <v>8100</v>
      </c>
      <c r="G61" s="83">
        <v>8200</v>
      </c>
      <c r="H61" s="83">
        <v>8700</v>
      </c>
      <c r="I61" s="83">
        <v>8400</v>
      </c>
      <c r="J61" s="83">
        <v>8900</v>
      </c>
      <c r="K61" s="83">
        <v>8400</v>
      </c>
      <c r="L61" s="83">
        <v>8900</v>
      </c>
      <c r="M61" s="83">
        <v>8200</v>
      </c>
      <c r="N61" s="83">
        <v>8700</v>
      </c>
      <c r="O61" s="184">
        <v>8200</v>
      </c>
      <c r="P61" s="184">
        <v>8700</v>
      </c>
      <c r="Q61" s="83">
        <v>8400</v>
      </c>
      <c r="R61" s="83">
        <v>8900</v>
      </c>
      <c r="S61" s="83">
        <v>8200</v>
      </c>
      <c r="T61" s="83">
        <v>8700</v>
      </c>
      <c r="U61" s="83">
        <v>8200</v>
      </c>
      <c r="V61" s="83">
        <v>8700</v>
      </c>
      <c r="W61" s="191"/>
      <c r="X61" s="191"/>
      <c r="Y61" s="83">
        <v>8700</v>
      </c>
      <c r="Z61" s="83">
        <v>9200</v>
      </c>
      <c r="AA61" s="83">
        <v>9300</v>
      </c>
      <c r="AB61" s="83">
        <v>9800</v>
      </c>
      <c r="AC61" s="83">
        <v>9300</v>
      </c>
      <c r="AD61" s="83">
        <v>9800</v>
      </c>
      <c r="AE61" s="216">
        <v>8700</v>
      </c>
      <c r="AF61" s="216">
        <v>9200</v>
      </c>
      <c r="AG61" s="83">
        <v>10200</v>
      </c>
      <c r="AH61" s="83">
        <v>10700</v>
      </c>
    </row>
    <row r="62" spans="1:34">
      <c r="A62" s="115" t="s">
        <v>144</v>
      </c>
      <c r="B62" s="116" t="s">
        <v>236</v>
      </c>
      <c r="C62" s="83">
        <v>7500</v>
      </c>
      <c r="D62" s="83">
        <v>8000</v>
      </c>
      <c r="E62" s="83">
        <v>7600</v>
      </c>
      <c r="F62" s="83">
        <v>8100</v>
      </c>
      <c r="G62" s="83">
        <v>8200</v>
      </c>
      <c r="H62" s="83">
        <v>8700</v>
      </c>
      <c r="I62" s="83">
        <v>8400</v>
      </c>
      <c r="J62" s="83">
        <v>8900</v>
      </c>
      <c r="K62" s="83">
        <v>8400</v>
      </c>
      <c r="L62" s="83">
        <v>8900</v>
      </c>
      <c r="M62" s="83">
        <v>8200</v>
      </c>
      <c r="N62" s="83">
        <v>8700</v>
      </c>
      <c r="O62" s="184">
        <v>8200</v>
      </c>
      <c r="P62" s="184">
        <v>8700</v>
      </c>
      <c r="Q62" s="83">
        <v>8400</v>
      </c>
      <c r="R62" s="83">
        <v>8900</v>
      </c>
      <c r="S62" s="83">
        <v>8200</v>
      </c>
      <c r="T62" s="83">
        <v>8700</v>
      </c>
      <c r="U62" s="83">
        <v>8200</v>
      </c>
      <c r="V62" s="83">
        <v>8700</v>
      </c>
      <c r="W62" s="191"/>
      <c r="X62" s="191"/>
      <c r="Y62" s="83">
        <v>8700</v>
      </c>
      <c r="Z62" s="83">
        <v>9200</v>
      </c>
      <c r="AA62" s="83">
        <v>9300</v>
      </c>
      <c r="AB62" s="83">
        <v>9800</v>
      </c>
      <c r="AC62" s="83">
        <v>9300</v>
      </c>
      <c r="AD62" s="83">
        <v>9800</v>
      </c>
      <c r="AE62" s="216">
        <v>8700</v>
      </c>
      <c r="AF62" s="216">
        <v>9200</v>
      </c>
      <c r="AG62" s="83">
        <v>10200</v>
      </c>
      <c r="AH62" s="83">
        <v>10700</v>
      </c>
    </row>
    <row r="63" spans="1:34">
      <c r="A63" s="115" t="s">
        <v>145</v>
      </c>
      <c r="B63" s="116" t="s">
        <v>237</v>
      </c>
      <c r="C63" s="83">
        <v>7600</v>
      </c>
      <c r="D63" s="83">
        <v>8100</v>
      </c>
      <c r="E63" s="83">
        <v>7700</v>
      </c>
      <c r="F63" s="83">
        <v>8200</v>
      </c>
      <c r="G63" s="83">
        <v>8300</v>
      </c>
      <c r="H63" s="83">
        <v>8800</v>
      </c>
      <c r="I63" s="83">
        <v>8500</v>
      </c>
      <c r="J63" s="83">
        <v>9000</v>
      </c>
      <c r="K63" s="83">
        <v>8500</v>
      </c>
      <c r="L63" s="83">
        <v>9000</v>
      </c>
      <c r="M63" s="83">
        <v>8300</v>
      </c>
      <c r="N63" s="83">
        <v>8800</v>
      </c>
      <c r="O63" s="184">
        <v>8300</v>
      </c>
      <c r="P63" s="184">
        <v>8800</v>
      </c>
      <c r="Q63" s="83">
        <v>8500</v>
      </c>
      <c r="R63" s="83">
        <v>9000</v>
      </c>
      <c r="S63" s="83">
        <v>8300</v>
      </c>
      <c r="T63" s="83">
        <v>8800</v>
      </c>
      <c r="U63" s="83">
        <v>8300</v>
      </c>
      <c r="V63" s="83">
        <v>8800</v>
      </c>
      <c r="W63" s="191"/>
      <c r="X63" s="191"/>
      <c r="Y63" s="83">
        <v>8800</v>
      </c>
      <c r="Z63" s="83">
        <v>9300</v>
      </c>
      <c r="AA63" s="83">
        <v>9400</v>
      </c>
      <c r="AB63" s="83">
        <v>9900</v>
      </c>
      <c r="AC63" s="83">
        <v>9400</v>
      </c>
      <c r="AD63" s="83">
        <v>9900</v>
      </c>
      <c r="AE63" s="216">
        <v>8800</v>
      </c>
      <c r="AF63" s="216">
        <v>9300</v>
      </c>
      <c r="AG63" s="83">
        <v>10300</v>
      </c>
      <c r="AH63" s="83">
        <v>10800</v>
      </c>
    </row>
    <row r="64" spans="1:34">
      <c r="A64" s="115" t="s">
        <v>146</v>
      </c>
      <c r="B64" s="116" t="s">
        <v>238</v>
      </c>
      <c r="C64" s="83">
        <v>7600</v>
      </c>
      <c r="D64" s="83">
        <v>8100</v>
      </c>
      <c r="E64" s="83">
        <v>7700</v>
      </c>
      <c r="F64" s="83">
        <v>8200</v>
      </c>
      <c r="G64" s="83">
        <v>8300</v>
      </c>
      <c r="H64" s="83">
        <v>8800</v>
      </c>
      <c r="I64" s="83">
        <v>8500</v>
      </c>
      <c r="J64" s="83">
        <v>9000</v>
      </c>
      <c r="K64" s="83">
        <v>8500</v>
      </c>
      <c r="L64" s="83">
        <v>9000</v>
      </c>
      <c r="M64" s="83">
        <v>8300</v>
      </c>
      <c r="N64" s="83">
        <v>8800</v>
      </c>
      <c r="O64" s="184">
        <v>8300</v>
      </c>
      <c r="P64" s="184">
        <v>8800</v>
      </c>
      <c r="Q64" s="83">
        <v>8500</v>
      </c>
      <c r="R64" s="83">
        <v>9000</v>
      </c>
      <c r="S64" s="83">
        <v>8300</v>
      </c>
      <c r="T64" s="83">
        <v>8800</v>
      </c>
      <c r="U64" s="83">
        <v>8300</v>
      </c>
      <c r="V64" s="83">
        <v>8800</v>
      </c>
      <c r="W64" s="191"/>
      <c r="X64" s="191"/>
      <c r="Y64" s="83">
        <v>8800</v>
      </c>
      <c r="Z64" s="83">
        <v>9300</v>
      </c>
      <c r="AA64" s="83">
        <v>9400</v>
      </c>
      <c r="AB64" s="83">
        <v>9900</v>
      </c>
      <c r="AC64" s="83">
        <v>9400</v>
      </c>
      <c r="AD64" s="83">
        <v>9900</v>
      </c>
      <c r="AE64" s="216">
        <v>8800</v>
      </c>
      <c r="AF64" s="216">
        <v>9300</v>
      </c>
      <c r="AG64" s="83">
        <v>10300</v>
      </c>
      <c r="AH64" s="83">
        <v>10800</v>
      </c>
    </row>
    <row r="65" spans="1:34">
      <c r="A65" s="115" t="s">
        <v>147</v>
      </c>
      <c r="B65" s="116" t="s">
        <v>239</v>
      </c>
      <c r="C65" s="83">
        <v>7700</v>
      </c>
      <c r="D65" s="83">
        <v>8200</v>
      </c>
      <c r="E65" s="83">
        <v>7800</v>
      </c>
      <c r="F65" s="83">
        <v>8300</v>
      </c>
      <c r="G65" s="83">
        <v>8400</v>
      </c>
      <c r="H65" s="83">
        <v>8900</v>
      </c>
      <c r="I65" s="83">
        <v>8600</v>
      </c>
      <c r="J65" s="83">
        <v>9100</v>
      </c>
      <c r="K65" s="83">
        <v>8600</v>
      </c>
      <c r="L65" s="83">
        <v>9100</v>
      </c>
      <c r="M65" s="83">
        <v>8400</v>
      </c>
      <c r="N65" s="83">
        <v>8900</v>
      </c>
      <c r="O65" s="184">
        <v>8400</v>
      </c>
      <c r="P65" s="184">
        <v>8900</v>
      </c>
      <c r="Q65" s="83">
        <v>8600</v>
      </c>
      <c r="R65" s="83">
        <v>9100</v>
      </c>
      <c r="S65" s="83">
        <v>8400</v>
      </c>
      <c r="T65" s="83">
        <v>8900</v>
      </c>
      <c r="U65" s="83">
        <v>8400</v>
      </c>
      <c r="V65" s="83">
        <v>8900</v>
      </c>
      <c r="W65" s="191"/>
      <c r="X65" s="191"/>
      <c r="Y65" s="83">
        <v>8900</v>
      </c>
      <c r="Z65" s="83">
        <v>9400</v>
      </c>
      <c r="AA65" s="83">
        <v>9500</v>
      </c>
      <c r="AB65" s="83">
        <v>10000</v>
      </c>
      <c r="AC65" s="83">
        <v>9500</v>
      </c>
      <c r="AD65" s="83">
        <v>10000</v>
      </c>
      <c r="AE65" s="216">
        <v>8900</v>
      </c>
      <c r="AF65" s="216">
        <v>9400</v>
      </c>
      <c r="AG65" s="83">
        <v>10400</v>
      </c>
      <c r="AH65" s="83">
        <v>10900</v>
      </c>
    </row>
    <row r="66" spans="1:34">
      <c r="A66" s="115" t="s">
        <v>148</v>
      </c>
      <c r="B66" s="116" t="s">
        <v>149</v>
      </c>
      <c r="C66" s="83">
        <v>7700</v>
      </c>
      <c r="D66" s="83">
        <v>8200</v>
      </c>
      <c r="E66" s="83">
        <v>7800</v>
      </c>
      <c r="F66" s="83">
        <v>8300</v>
      </c>
      <c r="G66" s="83">
        <v>8400</v>
      </c>
      <c r="H66" s="83">
        <v>8900</v>
      </c>
      <c r="I66" s="83">
        <v>8600</v>
      </c>
      <c r="J66" s="83">
        <v>9100</v>
      </c>
      <c r="K66" s="83">
        <v>8600</v>
      </c>
      <c r="L66" s="83">
        <v>9100</v>
      </c>
      <c r="M66" s="83">
        <v>8400</v>
      </c>
      <c r="N66" s="83">
        <v>8900</v>
      </c>
      <c r="O66" s="184">
        <v>8400</v>
      </c>
      <c r="P66" s="184">
        <v>8900</v>
      </c>
      <c r="Q66" s="83">
        <v>8600</v>
      </c>
      <c r="R66" s="83">
        <v>9100</v>
      </c>
      <c r="S66" s="83">
        <v>8400</v>
      </c>
      <c r="T66" s="83">
        <v>8900</v>
      </c>
      <c r="U66" s="83">
        <v>8400</v>
      </c>
      <c r="V66" s="83">
        <v>8900</v>
      </c>
      <c r="W66" s="191"/>
      <c r="X66" s="191"/>
      <c r="Y66" s="83">
        <v>8900</v>
      </c>
      <c r="Z66" s="83">
        <v>9400</v>
      </c>
      <c r="AA66" s="83">
        <v>9500</v>
      </c>
      <c r="AB66" s="83">
        <v>10000</v>
      </c>
      <c r="AC66" s="83">
        <v>9500</v>
      </c>
      <c r="AD66" s="83">
        <v>10000</v>
      </c>
      <c r="AE66" s="216">
        <v>8900</v>
      </c>
      <c r="AF66" s="216">
        <v>9400</v>
      </c>
      <c r="AG66" s="83">
        <v>10400</v>
      </c>
      <c r="AH66" s="83">
        <v>10900</v>
      </c>
    </row>
    <row r="67" spans="1:34">
      <c r="A67" s="115" t="s">
        <v>171</v>
      </c>
      <c r="B67" s="116" t="s">
        <v>172</v>
      </c>
      <c r="C67" s="83">
        <v>7515</v>
      </c>
      <c r="D67" s="83">
        <v>8100</v>
      </c>
      <c r="E67" s="83">
        <v>7615</v>
      </c>
      <c r="F67" s="83">
        <v>8200</v>
      </c>
      <c r="G67" s="83">
        <v>8215</v>
      </c>
      <c r="H67" s="83">
        <v>8800</v>
      </c>
      <c r="I67" s="83">
        <v>8415</v>
      </c>
      <c r="J67" s="83">
        <v>9000</v>
      </c>
      <c r="K67" s="83">
        <v>8415</v>
      </c>
      <c r="L67" s="83">
        <v>9000</v>
      </c>
      <c r="M67" s="83">
        <v>8215</v>
      </c>
      <c r="N67" s="83">
        <v>8800</v>
      </c>
      <c r="O67" s="184">
        <v>8215</v>
      </c>
      <c r="P67" s="184">
        <v>8800</v>
      </c>
      <c r="Q67" s="83">
        <v>8415</v>
      </c>
      <c r="R67" s="83">
        <v>9000</v>
      </c>
      <c r="S67" s="83">
        <v>8215</v>
      </c>
      <c r="T67" s="83">
        <v>8800</v>
      </c>
      <c r="U67" s="83">
        <v>8215</v>
      </c>
      <c r="V67" s="83">
        <v>8800</v>
      </c>
      <c r="W67" s="191"/>
      <c r="X67" s="191"/>
      <c r="Y67" s="83">
        <v>8715</v>
      </c>
      <c r="Z67" s="83">
        <v>9300</v>
      </c>
      <c r="AA67" s="83">
        <v>9315</v>
      </c>
      <c r="AB67" s="83">
        <v>9900</v>
      </c>
      <c r="AC67" s="83">
        <v>9315</v>
      </c>
      <c r="AD67" s="83">
        <v>9900</v>
      </c>
      <c r="AE67" s="216">
        <v>8715</v>
      </c>
      <c r="AF67" s="216">
        <v>9300</v>
      </c>
      <c r="AG67" s="83">
        <v>10215</v>
      </c>
      <c r="AH67" s="83">
        <v>10800</v>
      </c>
    </row>
    <row r="68" spans="1:34">
      <c r="A68" s="113" t="s">
        <v>67</v>
      </c>
      <c r="B68" s="117" t="s">
        <v>68</v>
      </c>
      <c r="C68" s="83">
        <v>7500</v>
      </c>
      <c r="D68" s="83">
        <v>8000</v>
      </c>
      <c r="E68" s="83">
        <v>7600</v>
      </c>
      <c r="F68" s="83">
        <v>8100</v>
      </c>
      <c r="G68" s="83">
        <v>8200</v>
      </c>
      <c r="H68" s="83">
        <v>8700</v>
      </c>
      <c r="I68" s="83">
        <v>8400</v>
      </c>
      <c r="J68" s="83">
        <v>8900</v>
      </c>
      <c r="K68" s="83">
        <v>8400</v>
      </c>
      <c r="L68" s="83">
        <v>8900</v>
      </c>
      <c r="M68" s="83">
        <v>8200</v>
      </c>
      <c r="N68" s="83">
        <v>8700</v>
      </c>
      <c r="O68" s="184">
        <v>8200</v>
      </c>
      <c r="P68" s="184">
        <v>8700</v>
      </c>
      <c r="Q68" s="83">
        <v>8400</v>
      </c>
      <c r="R68" s="83">
        <v>8900</v>
      </c>
      <c r="S68" s="83">
        <v>8200</v>
      </c>
      <c r="T68" s="83">
        <v>8700</v>
      </c>
      <c r="U68" s="83">
        <v>8200</v>
      </c>
      <c r="V68" s="83">
        <v>8700</v>
      </c>
      <c r="W68" s="191"/>
      <c r="X68" s="191"/>
      <c r="Y68" s="83">
        <v>8700</v>
      </c>
      <c r="Z68" s="83">
        <v>9200</v>
      </c>
      <c r="AA68" s="83">
        <v>9300</v>
      </c>
      <c r="AB68" s="83">
        <v>9800</v>
      </c>
      <c r="AC68" s="83">
        <v>9300</v>
      </c>
      <c r="AD68" s="83">
        <v>9800</v>
      </c>
      <c r="AE68" s="216">
        <v>8700</v>
      </c>
      <c r="AF68" s="216">
        <v>9200</v>
      </c>
      <c r="AG68" s="83">
        <v>10200</v>
      </c>
      <c r="AH68" s="83">
        <v>10700</v>
      </c>
    </row>
    <row r="69" spans="1:34">
      <c r="A69" s="113" t="s">
        <v>69</v>
      </c>
      <c r="B69" s="118" t="s">
        <v>70</v>
      </c>
      <c r="C69" s="83">
        <v>7500</v>
      </c>
      <c r="D69" s="83">
        <v>8000</v>
      </c>
      <c r="E69" s="83">
        <v>7600</v>
      </c>
      <c r="F69" s="83">
        <v>8100</v>
      </c>
      <c r="G69" s="83">
        <v>8200</v>
      </c>
      <c r="H69" s="83">
        <v>8700</v>
      </c>
      <c r="I69" s="83">
        <v>8400</v>
      </c>
      <c r="J69" s="83">
        <v>8900</v>
      </c>
      <c r="K69" s="83">
        <v>8400</v>
      </c>
      <c r="L69" s="83">
        <v>8900</v>
      </c>
      <c r="M69" s="83">
        <v>8200</v>
      </c>
      <c r="N69" s="83">
        <v>8700</v>
      </c>
      <c r="O69" s="184">
        <v>8200</v>
      </c>
      <c r="P69" s="184">
        <v>8700</v>
      </c>
      <c r="Q69" s="83">
        <v>8400</v>
      </c>
      <c r="R69" s="83">
        <v>8900</v>
      </c>
      <c r="S69" s="83">
        <v>8200</v>
      </c>
      <c r="T69" s="83">
        <v>8700</v>
      </c>
      <c r="U69" s="83">
        <v>8200</v>
      </c>
      <c r="V69" s="83">
        <v>8700</v>
      </c>
      <c r="W69" s="191"/>
      <c r="X69" s="191"/>
      <c r="Y69" s="83">
        <v>8700</v>
      </c>
      <c r="Z69" s="83">
        <v>9200</v>
      </c>
      <c r="AA69" s="83">
        <v>9300</v>
      </c>
      <c r="AB69" s="83">
        <v>9800</v>
      </c>
      <c r="AC69" s="83">
        <v>9300</v>
      </c>
      <c r="AD69" s="83">
        <v>9800</v>
      </c>
      <c r="AE69" s="216">
        <v>8700</v>
      </c>
      <c r="AF69" s="216">
        <v>9200</v>
      </c>
      <c r="AG69" s="83">
        <v>10200</v>
      </c>
      <c r="AH69" s="83">
        <v>10700</v>
      </c>
    </row>
    <row r="70" spans="1:34">
      <c r="A70" s="113" t="s">
        <v>71</v>
      </c>
      <c r="B70" s="119" t="s">
        <v>72</v>
      </c>
      <c r="C70" s="83">
        <v>7600</v>
      </c>
      <c r="D70" s="83">
        <v>8165</v>
      </c>
      <c r="E70" s="83">
        <v>7700</v>
      </c>
      <c r="F70" s="83">
        <v>8265</v>
      </c>
      <c r="G70" s="83">
        <v>8300</v>
      </c>
      <c r="H70" s="83">
        <v>8865</v>
      </c>
      <c r="I70" s="83">
        <v>8500</v>
      </c>
      <c r="J70" s="83">
        <v>9065</v>
      </c>
      <c r="K70" s="83">
        <v>8500</v>
      </c>
      <c r="L70" s="83">
        <v>9065</v>
      </c>
      <c r="M70" s="83">
        <v>8300</v>
      </c>
      <c r="N70" s="83">
        <v>8865</v>
      </c>
      <c r="O70" s="184">
        <v>8300</v>
      </c>
      <c r="P70" s="184">
        <v>8865</v>
      </c>
      <c r="Q70" s="83">
        <v>8500</v>
      </c>
      <c r="R70" s="83">
        <v>9065</v>
      </c>
      <c r="S70" s="83">
        <v>8300</v>
      </c>
      <c r="T70" s="83">
        <v>8865</v>
      </c>
      <c r="U70" s="83">
        <v>8300</v>
      </c>
      <c r="V70" s="83">
        <v>8825</v>
      </c>
      <c r="W70" s="191"/>
      <c r="X70" s="191"/>
      <c r="Y70" s="83">
        <v>8800</v>
      </c>
      <c r="Z70" s="83">
        <v>9325</v>
      </c>
      <c r="AA70" s="83">
        <v>9400</v>
      </c>
      <c r="AB70" s="83">
        <v>9925</v>
      </c>
      <c r="AC70" s="83">
        <v>9400</v>
      </c>
      <c r="AD70" s="83">
        <v>9925</v>
      </c>
      <c r="AE70" s="216">
        <v>8800</v>
      </c>
      <c r="AF70" s="216">
        <v>9325</v>
      </c>
      <c r="AG70" s="83">
        <v>10300</v>
      </c>
      <c r="AH70" s="83">
        <v>10825</v>
      </c>
    </row>
    <row r="71" spans="1:34">
      <c r="A71" s="91" t="s">
        <v>73</v>
      </c>
      <c r="B71" s="92" t="s">
        <v>74</v>
      </c>
      <c r="C71" s="83">
        <v>7500</v>
      </c>
      <c r="D71" s="83">
        <v>8000</v>
      </c>
      <c r="E71" s="83">
        <v>7600</v>
      </c>
      <c r="F71" s="83">
        <v>8100</v>
      </c>
      <c r="G71" s="83">
        <v>8200</v>
      </c>
      <c r="H71" s="83">
        <v>8700</v>
      </c>
      <c r="I71" s="83">
        <v>8400</v>
      </c>
      <c r="J71" s="83">
        <v>8900</v>
      </c>
      <c r="K71" s="83">
        <v>8400</v>
      </c>
      <c r="L71" s="83">
        <v>8900</v>
      </c>
      <c r="M71" s="83">
        <v>8200</v>
      </c>
      <c r="N71" s="83">
        <v>8700</v>
      </c>
      <c r="O71" s="184">
        <v>8200</v>
      </c>
      <c r="P71" s="184">
        <v>8700</v>
      </c>
      <c r="Q71" s="83">
        <v>8400</v>
      </c>
      <c r="R71" s="83">
        <v>8900</v>
      </c>
      <c r="S71" s="83">
        <v>8200</v>
      </c>
      <c r="T71" s="83">
        <v>8700</v>
      </c>
      <c r="U71" s="83">
        <v>8200</v>
      </c>
      <c r="V71" s="83">
        <v>8700</v>
      </c>
      <c r="W71" s="191"/>
      <c r="X71" s="191"/>
      <c r="Y71" s="83">
        <v>8700</v>
      </c>
      <c r="Z71" s="83">
        <v>9200</v>
      </c>
      <c r="AA71" s="83">
        <v>9300</v>
      </c>
      <c r="AB71" s="83">
        <v>9800</v>
      </c>
      <c r="AC71" s="83">
        <v>9300</v>
      </c>
      <c r="AD71" s="83">
        <v>9800</v>
      </c>
      <c r="AE71" s="216">
        <v>8700</v>
      </c>
      <c r="AF71" s="216">
        <v>9200</v>
      </c>
      <c r="AG71" s="83">
        <v>10200</v>
      </c>
      <c r="AH71" s="83">
        <v>10700</v>
      </c>
    </row>
    <row r="72" spans="1:34">
      <c r="A72" s="91" t="s">
        <v>75</v>
      </c>
      <c r="B72" s="92" t="s">
        <v>76</v>
      </c>
      <c r="C72" s="83">
        <v>7500</v>
      </c>
      <c r="D72" s="83">
        <v>8000</v>
      </c>
      <c r="E72" s="83">
        <v>7600</v>
      </c>
      <c r="F72" s="83">
        <v>8100</v>
      </c>
      <c r="G72" s="83">
        <v>8200</v>
      </c>
      <c r="H72" s="83">
        <v>8700</v>
      </c>
      <c r="I72" s="83">
        <v>8400</v>
      </c>
      <c r="J72" s="83">
        <v>8900</v>
      </c>
      <c r="K72" s="83">
        <v>8400</v>
      </c>
      <c r="L72" s="83">
        <v>8900</v>
      </c>
      <c r="M72" s="83">
        <v>8200</v>
      </c>
      <c r="N72" s="83">
        <v>8700</v>
      </c>
      <c r="O72" s="184">
        <v>8200</v>
      </c>
      <c r="P72" s="184">
        <v>8700</v>
      </c>
      <c r="Q72" s="83">
        <v>8400</v>
      </c>
      <c r="R72" s="83">
        <v>8900</v>
      </c>
      <c r="S72" s="83">
        <v>8200</v>
      </c>
      <c r="T72" s="83">
        <v>8700</v>
      </c>
      <c r="U72" s="83">
        <v>8200</v>
      </c>
      <c r="V72" s="83">
        <v>8700</v>
      </c>
      <c r="W72" s="191"/>
      <c r="X72" s="191"/>
      <c r="Y72" s="83">
        <v>8700</v>
      </c>
      <c r="Z72" s="83">
        <v>9200</v>
      </c>
      <c r="AA72" s="83">
        <v>9300</v>
      </c>
      <c r="AB72" s="83">
        <v>9800</v>
      </c>
      <c r="AC72" s="83">
        <v>9300</v>
      </c>
      <c r="AD72" s="83">
        <v>9800</v>
      </c>
      <c r="AE72" s="216">
        <v>8700</v>
      </c>
      <c r="AF72" s="216">
        <v>9200</v>
      </c>
      <c r="AG72" s="83">
        <v>10200</v>
      </c>
      <c r="AH72" s="83">
        <v>10700</v>
      </c>
    </row>
    <row r="73" spans="1:34">
      <c r="A73" s="91" t="s">
        <v>174</v>
      </c>
      <c r="B73" s="92" t="s">
        <v>175</v>
      </c>
      <c r="C73" s="83">
        <v>7500</v>
      </c>
      <c r="D73" s="83">
        <v>8100</v>
      </c>
      <c r="E73" s="83">
        <v>7600</v>
      </c>
      <c r="F73" s="83">
        <v>8200</v>
      </c>
      <c r="G73" s="83">
        <v>8200</v>
      </c>
      <c r="H73" s="83">
        <v>8800</v>
      </c>
      <c r="I73" s="83">
        <v>8400</v>
      </c>
      <c r="J73" s="83">
        <v>9000</v>
      </c>
      <c r="K73" s="83">
        <v>8400</v>
      </c>
      <c r="L73" s="83">
        <v>9000</v>
      </c>
      <c r="M73" s="83">
        <v>8200</v>
      </c>
      <c r="N73" s="83">
        <v>8800</v>
      </c>
      <c r="O73" s="184">
        <v>8200</v>
      </c>
      <c r="P73" s="184">
        <v>8800</v>
      </c>
      <c r="Q73" s="83">
        <v>8400</v>
      </c>
      <c r="R73" s="83">
        <v>9000</v>
      </c>
      <c r="S73" s="83">
        <v>8200</v>
      </c>
      <c r="T73" s="83">
        <v>8800</v>
      </c>
      <c r="U73" s="83">
        <v>8200</v>
      </c>
      <c r="V73" s="83">
        <v>8800</v>
      </c>
      <c r="W73" s="191"/>
      <c r="X73" s="191"/>
      <c r="Y73" s="83">
        <v>8700</v>
      </c>
      <c r="Z73" s="83">
        <v>9300</v>
      </c>
      <c r="AA73" s="83">
        <v>9300</v>
      </c>
      <c r="AB73" s="83">
        <v>9900</v>
      </c>
      <c r="AC73" s="83">
        <v>9300</v>
      </c>
      <c r="AD73" s="83">
        <v>9900</v>
      </c>
      <c r="AE73" s="216">
        <v>8700</v>
      </c>
      <c r="AF73" s="216">
        <v>9300</v>
      </c>
      <c r="AG73" s="83">
        <v>10200</v>
      </c>
      <c r="AH73" s="83">
        <v>10800</v>
      </c>
    </row>
    <row r="74" spans="1:34">
      <c r="A74" s="92" t="s">
        <v>176</v>
      </c>
      <c r="B74" s="92" t="s">
        <v>177</v>
      </c>
      <c r="C74" s="83">
        <v>7480</v>
      </c>
      <c r="D74" s="83">
        <v>8050</v>
      </c>
      <c r="E74" s="83">
        <v>7580</v>
      </c>
      <c r="F74" s="83">
        <v>8150</v>
      </c>
      <c r="G74" s="83">
        <v>8180</v>
      </c>
      <c r="H74" s="83">
        <v>8750</v>
      </c>
      <c r="I74" s="83">
        <v>8380</v>
      </c>
      <c r="J74" s="83">
        <v>8950</v>
      </c>
      <c r="K74" s="83">
        <v>8380</v>
      </c>
      <c r="L74" s="83">
        <v>8950</v>
      </c>
      <c r="M74" s="83">
        <v>8180</v>
      </c>
      <c r="N74" s="83">
        <v>8750</v>
      </c>
      <c r="O74" s="184">
        <v>8180</v>
      </c>
      <c r="P74" s="184">
        <v>8750</v>
      </c>
      <c r="Q74" s="83">
        <v>8380</v>
      </c>
      <c r="R74" s="83">
        <v>8950</v>
      </c>
      <c r="S74" s="83">
        <v>8180</v>
      </c>
      <c r="T74" s="83">
        <v>8750</v>
      </c>
      <c r="U74" s="83">
        <v>8180</v>
      </c>
      <c r="V74" s="83">
        <v>8750</v>
      </c>
      <c r="W74" s="191"/>
      <c r="X74" s="191"/>
      <c r="Y74" s="83">
        <v>8680</v>
      </c>
      <c r="Z74" s="83">
        <v>9250</v>
      </c>
      <c r="AA74" s="83">
        <v>9280</v>
      </c>
      <c r="AB74" s="83">
        <v>9850</v>
      </c>
      <c r="AC74" s="83">
        <v>9280</v>
      </c>
      <c r="AD74" s="83">
        <v>9850</v>
      </c>
      <c r="AE74" s="216">
        <v>8680</v>
      </c>
      <c r="AF74" s="216">
        <v>9250</v>
      </c>
      <c r="AG74" s="83">
        <v>10180</v>
      </c>
      <c r="AH74" s="83">
        <v>10750</v>
      </c>
    </row>
    <row r="75" spans="1:34">
      <c r="A75" s="92" t="s">
        <v>178</v>
      </c>
      <c r="B75" s="92" t="s">
        <v>179</v>
      </c>
      <c r="C75" s="83">
        <v>7580</v>
      </c>
      <c r="D75" s="83">
        <v>8130</v>
      </c>
      <c r="E75" s="83">
        <v>7680</v>
      </c>
      <c r="F75" s="83">
        <v>8230</v>
      </c>
      <c r="G75" s="83">
        <v>8280</v>
      </c>
      <c r="H75" s="83">
        <v>8830</v>
      </c>
      <c r="I75" s="83">
        <v>8480</v>
      </c>
      <c r="J75" s="83">
        <v>9030</v>
      </c>
      <c r="K75" s="83">
        <v>8480</v>
      </c>
      <c r="L75" s="83">
        <v>9030</v>
      </c>
      <c r="M75" s="83">
        <v>8280</v>
      </c>
      <c r="N75" s="83">
        <v>8830</v>
      </c>
      <c r="O75" s="184">
        <v>8280</v>
      </c>
      <c r="P75" s="184">
        <v>8830</v>
      </c>
      <c r="Q75" s="83">
        <v>8480</v>
      </c>
      <c r="R75" s="83">
        <v>9030</v>
      </c>
      <c r="S75" s="83">
        <v>8280</v>
      </c>
      <c r="T75" s="83">
        <v>8830</v>
      </c>
      <c r="U75" s="83">
        <v>8280</v>
      </c>
      <c r="V75" s="83">
        <v>8830</v>
      </c>
      <c r="W75" s="191"/>
      <c r="X75" s="191"/>
      <c r="Y75" s="83">
        <v>8780</v>
      </c>
      <c r="Z75" s="83">
        <v>9330</v>
      </c>
      <c r="AA75" s="83">
        <v>9380</v>
      </c>
      <c r="AB75" s="83">
        <v>9930</v>
      </c>
      <c r="AC75" s="83">
        <v>9380</v>
      </c>
      <c r="AD75" s="83">
        <v>9930</v>
      </c>
      <c r="AE75" s="216">
        <v>8780</v>
      </c>
      <c r="AF75" s="216">
        <v>9330</v>
      </c>
      <c r="AG75" s="83">
        <v>10280</v>
      </c>
      <c r="AH75" s="83">
        <v>10830</v>
      </c>
    </row>
    <row r="76" spans="1:34">
      <c r="A76" s="92" t="s">
        <v>180</v>
      </c>
      <c r="B76" s="92" t="s">
        <v>181</v>
      </c>
      <c r="C76" s="83">
        <v>7450</v>
      </c>
      <c r="D76" s="83">
        <v>8020</v>
      </c>
      <c r="E76" s="83">
        <v>7550</v>
      </c>
      <c r="F76" s="83">
        <v>8120</v>
      </c>
      <c r="G76" s="83">
        <v>8150</v>
      </c>
      <c r="H76" s="83">
        <v>8720</v>
      </c>
      <c r="I76" s="83">
        <v>8350</v>
      </c>
      <c r="J76" s="83">
        <v>8920</v>
      </c>
      <c r="K76" s="83">
        <v>8350</v>
      </c>
      <c r="L76" s="83">
        <v>8920</v>
      </c>
      <c r="M76" s="83">
        <v>8150</v>
      </c>
      <c r="N76" s="83">
        <v>8720</v>
      </c>
      <c r="O76" s="184">
        <v>8150</v>
      </c>
      <c r="P76" s="184">
        <v>8720</v>
      </c>
      <c r="Q76" s="83">
        <v>8350</v>
      </c>
      <c r="R76" s="83">
        <v>8920</v>
      </c>
      <c r="S76" s="83">
        <v>8150</v>
      </c>
      <c r="T76" s="83">
        <v>8720</v>
      </c>
      <c r="U76" s="83">
        <v>8150</v>
      </c>
      <c r="V76" s="83">
        <v>8720</v>
      </c>
      <c r="W76" s="191"/>
      <c r="X76" s="191"/>
      <c r="Y76" s="83">
        <v>8650</v>
      </c>
      <c r="Z76" s="83">
        <v>9220</v>
      </c>
      <c r="AA76" s="83">
        <v>9250</v>
      </c>
      <c r="AB76" s="83">
        <v>9820</v>
      </c>
      <c r="AC76" s="83">
        <v>9250</v>
      </c>
      <c r="AD76" s="83">
        <v>9820</v>
      </c>
      <c r="AE76" s="216">
        <v>8650</v>
      </c>
      <c r="AF76" s="216">
        <v>9220</v>
      </c>
      <c r="AG76" s="83">
        <v>10150</v>
      </c>
      <c r="AH76" s="83">
        <v>10720</v>
      </c>
    </row>
    <row r="77" spans="1:34">
      <c r="A77" s="92" t="s">
        <v>182</v>
      </c>
      <c r="B77" s="92" t="s">
        <v>183</v>
      </c>
      <c r="C77" s="83">
        <v>7800</v>
      </c>
      <c r="D77" s="83">
        <v>8550</v>
      </c>
      <c r="E77" s="83">
        <v>7900</v>
      </c>
      <c r="F77" s="83">
        <v>8650</v>
      </c>
      <c r="G77" s="83">
        <v>8500</v>
      </c>
      <c r="H77" s="83">
        <v>9250</v>
      </c>
      <c r="I77" s="83">
        <v>8700</v>
      </c>
      <c r="J77" s="83">
        <v>9450</v>
      </c>
      <c r="K77" s="83">
        <v>8700</v>
      </c>
      <c r="L77" s="83">
        <v>9450</v>
      </c>
      <c r="M77" s="83">
        <v>8500</v>
      </c>
      <c r="N77" s="83">
        <v>9250</v>
      </c>
      <c r="O77" s="184">
        <v>8500</v>
      </c>
      <c r="P77" s="184">
        <v>9250</v>
      </c>
      <c r="Q77" s="83">
        <v>8700</v>
      </c>
      <c r="R77" s="83">
        <v>9450</v>
      </c>
      <c r="S77" s="83">
        <v>8500</v>
      </c>
      <c r="T77" s="83">
        <v>9250</v>
      </c>
      <c r="U77" s="83">
        <v>8500</v>
      </c>
      <c r="V77" s="83">
        <v>9250</v>
      </c>
      <c r="W77" s="191"/>
      <c r="X77" s="191"/>
      <c r="Y77" s="83">
        <v>9000</v>
      </c>
      <c r="Z77" s="83">
        <v>9750</v>
      </c>
      <c r="AA77" s="83">
        <v>9600</v>
      </c>
      <c r="AB77" s="83">
        <v>10350</v>
      </c>
      <c r="AC77" s="83">
        <v>9600</v>
      </c>
      <c r="AD77" s="83">
        <v>10350</v>
      </c>
      <c r="AE77" s="216">
        <v>9000</v>
      </c>
      <c r="AF77" s="216">
        <v>9750</v>
      </c>
      <c r="AG77" s="83">
        <v>10500</v>
      </c>
      <c r="AH77" s="83">
        <v>11250</v>
      </c>
    </row>
    <row r="81" spans="1:30" ht="23.5">
      <c r="A81" s="73" t="s">
        <v>302</v>
      </c>
      <c r="B81" s="126"/>
      <c r="C81" s="127"/>
      <c r="D81" s="127"/>
      <c r="E81" s="127"/>
      <c r="F81" s="127"/>
      <c r="G81" s="128"/>
      <c r="H81" s="128"/>
      <c r="I81" s="128"/>
      <c r="J81" s="128"/>
      <c r="K81" s="128"/>
      <c r="L81" s="129"/>
      <c r="M81" s="130"/>
      <c r="N81" s="130"/>
      <c r="O81" s="130"/>
      <c r="P81" s="130"/>
      <c r="Q81" s="130"/>
    </row>
    <row r="82" spans="1:30" ht="23.5">
      <c r="A82" s="131" t="s">
        <v>167</v>
      </c>
      <c r="B82" s="132"/>
      <c r="C82" s="133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4"/>
      <c r="P82" s="130"/>
      <c r="Q82" s="130"/>
    </row>
    <row r="83" spans="1:30" ht="26">
      <c r="A83" s="135" t="s">
        <v>246</v>
      </c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</row>
    <row r="84" spans="1:30">
      <c r="A84" s="5"/>
      <c r="B84" s="6"/>
      <c r="C84" s="8"/>
      <c r="D84" s="8"/>
      <c r="E84" s="8"/>
      <c r="F84" s="8"/>
    </row>
    <row r="85" spans="1:30" ht="21">
      <c r="A85" s="136" t="s">
        <v>77</v>
      </c>
      <c r="B85" s="6"/>
      <c r="C85" s="8"/>
      <c r="D85" s="8"/>
      <c r="E85" s="8"/>
      <c r="F85" s="8"/>
    </row>
    <row r="86" spans="1:30" ht="23.5">
      <c r="A86" s="137" t="s">
        <v>247</v>
      </c>
      <c r="B86" s="138"/>
      <c r="C86" s="138"/>
      <c r="D86" s="138"/>
      <c r="E86" s="138"/>
      <c r="F86" s="138"/>
      <c r="G86" s="139"/>
      <c r="H86" s="139"/>
      <c r="I86" s="139"/>
      <c r="J86" s="139"/>
      <c r="K86" s="140"/>
      <c r="L86" s="140"/>
      <c r="M86" s="140"/>
      <c r="N86" s="140"/>
      <c r="O86" s="140"/>
      <c r="P86" s="140"/>
      <c r="Q86" s="140"/>
    </row>
    <row r="87" spans="1:30" ht="23.5">
      <c r="A87" s="137" t="s">
        <v>248</v>
      </c>
      <c r="B87" s="138"/>
      <c r="C87" s="138"/>
      <c r="D87" s="138"/>
      <c r="E87" s="138"/>
      <c r="F87" s="138"/>
      <c r="G87" s="139"/>
      <c r="H87" s="139"/>
      <c r="I87" s="139"/>
      <c r="J87" s="139"/>
      <c r="K87" s="140"/>
      <c r="L87" s="140"/>
      <c r="M87" s="140"/>
      <c r="N87" s="140"/>
      <c r="O87" s="140"/>
      <c r="P87" s="140"/>
      <c r="Q87" s="140"/>
    </row>
    <row r="88" spans="1:30" ht="21">
      <c r="A88" s="141" t="s">
        <v>111</v>
      </c>
      <c r="B88" s="6"/>
      <c r="C88" s="8"/>
      <c r="D88" s="8"/>
      <c r="E88" s="8"/>
      <c r="F88" s="8"/>
    </row>
    <row r="89" spans="1:30" ht="21">
      <c r="A89" s="141" t="s">
        <v>249</v>
      </c>
    </row>
    <row r="90" spans="1:30" ht="26">
      <c r="A90" s="142" t="s">
        <v>349</v>
      </c>
      <c r="B90" s="143"/>
      <c r="C90" s="143"/>
      <c r="D90" s="143"/>
      <c r="E90" s="143"/>
      <c r="F90" s="143"/>
      <c r="G90" s="143"/>
      <c r="H90" s="143"/>
      <c r="I90" s="143"/>
      <c r="J90" s="143"/>
    </row>
    <row r="91" spans="1:30" ht="21">
      <c r="A91" s="243" t="s">
        <v>111</v>
      </c>
    </row>
    <row r="92" spans="1:30" ht="18.5">
      <c r="A92" s="149" t="s">
        <v>350</v>
      </c>
      <c r="B92" s="150"/>
      <c r="C92" s="151"/>
      <c r="D92" s="151"/>
      <c r="E92" s="151"/>
      <c r="F92" s="151"/>
      <c r="G92" s="152"/>
      <c r="H92" s="152"/>
      <c r="I92" s="153"/>
      <c r="J92" s="153"/>
      <c r="K92" s="153"/>
      <c r="L92" s="153"/>
      <c r="M92" s="153"/>
      <c r="N92" s="153"/>
      <c r="O92" s="153"/>
      <c r="P92" s="153"/>
      <c r="Q92" s="153"/>
    </row>
    <row r="93" spans="1:30" ht="18.5">
      <c r="A93" s="149" t="s">
        <v>351</v>
      </c>
      <c r="B93" s="150"/>
      <c r="C93" s="151"/>
      <c r="D93" s="151"/>
      <c r="E93" s="151"/>
      <c r="F93" s="151"/>
      <c r="G93" s="152"/>
      <c r="H93" s="152"/>
      <c r="I93" s="154"/>
      <c r="J93" s="154"/>
      <c r="K93" s="154"/>
      <c r="L93" s="154"/>
      <c r="M93" s="154"/>
      <c r="N93" s="154"/>
      <c r="O93" s="154"/>
      <c r="P93" s="154"/>
      <c r="Q93" s="154"/>
      <c r="R93" s="144"/>
      <c r="S93" s="144"/>
      <c r="T93" s="144"/>
      <c r="U93" s="144"/>
      <c r="V93" s="144"/>
      <c r="W93" s="144"/>
      <c r="X93" s="144"/>
      <c r="Y93" s="144"/>
      <c r="Z93" s="144"/>
      <c r="AA93" s="50"/>
      <c r="AB93" s="50"/>
      <c r="AC93" s="50"/>
      <c r="AD93" s="50"/>
    </row>
    <row r="94" spans="1:30" ht="18.5">
      <c r="A94" s="149" t="s">
        <v>352</v>
      </c>
      <c r="B94" s="150"/>
      <c r="C94" s="151"/>
      <c r="D94" s="151"/>
      <c r="E94" s="151"/>
      <c r="F94" s="151"/>
      <c r="G94" s="152"/>
      <c r="H94" s="152"/>
      <c r="I94" s="154"/>
      <c r="J94" s="154"/>
      <c r="K94" s="154"/>
      <c r="L94" s="154"/>
      <c r="M94" s="154"/>
      <c r="N94" s="154"/>
      <c r="O94" s="154"/>
      <c r="P94" s="154"/>
      <c r="Q94" s="154"/>
      <c r="R94" s="144"/>
      <c r="S94" s="144"/>
      <c r="T94" s="144"/>
      <c r="U94" s="144"/>
      <c r="V94" s="144"/>
      <c r="W94" s="144"/>
      <c r="X94" s="144"/>
      <c r="Y94" s="144"/>
      <c r="Z94" s="144"/>
      <c r="AA94" s="50"/>
      <c r="AB94" s="50"/>
      <c r="AC94" s="50"/>
      <c r="AD94" s="50"/>
    </row>
    <row r="95" spans="1:30" ht="3" customHeight="1">
      <c r="A95" s="50" t="s">
        <v>111</v>
      </c>
    </row>
    <row r="96" spans="1:30" ht="8.25" customHeight="1"/>
    <row r="97" spans="1:30" hidden="1"/>
    <row r="98" spans="1:30" s="158" customFormat="1" ht="37.5" customHeight="1">
      <c r="A98" s="270" t="s">
        <v>473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 spans="1:30" ht="33" customHeight="1">
      <c r="A99" s="244" t="str">
        <f>CSE!A90</f>
        <v>ONE Bunker Surcharge (OBS): usd 320/640/640/640 per D2/D4/D5/R5 NOR during Q3 2026 (Jul-Sep)</v>
      </c>
      <c r="B99" s="245"/>
      <c r="C99" s="245"/>
      <c r="D99" s="245"/>
      <c r="E99" s="245"/>
      <c r="F99" s="246"/>
      <c r="G99" s="247"/>
      <c r="H99" s="247"/>
      <c r="I99" s="246"/>
      <c r="J99" s="246"/>
      <c r="K99" s="246"/>
    </row>
    <row r="100" spans="1:30" s="158" customFormat="1" ht="28.5">
      <c r="A100" s="244" t="s">
        <v>111</v>
      </c>
      <c r="B100" s="246"/>
      <c r="C100" s="246"/>
      <c r="D100" s="246"/>
      <c r="E100" s="246"/>
      <c r="F100" s="246"/>
      <c r="G100" s="246"/>
      <c r="H100" s="246"/>
      <c r="I100" s="246"/>
      <c r="J100" s="246"/>
      <c r="K100" s="246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 spans="1:30" s="40" customForma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3" spans="1:30">
      <c r="A103" s="145" t="s">
        <v>250</v>
      </c>
      <c r="B103" s="146"/>
    </row>
    <row r="104" spans="1:30">
      <c r="A104" s="145" t="s">
        <v>251</v>
      </c>
      <c r="B104" s="146"/>
    </row>
    <row r="105" spans="1:30" ht="15.5">
      <c r="A105" s="147" t="s">
        <v>252</v>
      </c>
      <c r="B105" s="146"/>
    </row>
    <row r="106" spans="1:30">
      <c r="A106" s="145" t="s">
        <v>253</v>
      </c>
      <c r="B106" s="146"/>
    </row>
    <row r="107" spans="1:30">
      <c r="A107" s="145" t="s">
        <v>254</v>
      </c>
      <c r="B107" s="146"/>
    </row>
    <row r="108" spans="1:30">
      <c r="A108" s="145" t="s">
        <v>255</v>
      </c>
      <c r="B108" s="146"/>
    </row>
    <row r="109" spans="1:30">
      <c r="A109" s="145" t="s">
        <v>256</v>
      </c>
      <c r="B109" s="146"/>
    </row>
    <row r="110" spans="1:30">
      <c r="A110" s="148" t="s">
        <v>257</v>
      </c>
      <c r="B110" s="146"/>
    </row>
    <row r="113" spans="1:21" ht="18.5">
      <c r="A113" s="202" t="s">
        <v>272</v>
      </c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1"/>
      <c r="M113" s="201"/>
      <c r="N113" s="201"/>
      <c r="O113" s="201"/>
      <c r="P113" s="201"/>
      <c r="Q113" s="201"/>
      <c r="R113" s="201"/>
      <c r="S113" s="201"/>
      <c r="T113" s="201"/>
      <c r="U113" s="201"/>
    </row>
    <row r="114" spans="1:21" ht="18.5">
      <c r="A114" s="202" t="s">
        <v>311</v>
      </c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</row>
    <row r="115" spans="1:21" ht="18.5">
      <c r="A115" s="203" t="s">
        <v>313</v>
      </c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</row>
    <row r="116" spans="1:21" ht="18.5">
      <c r="A116" s="204" t="s">
        <v>312</v>
      </c>
      <c r="B116" s="203"/>
      <c r="C116" s="203"/>
      <c r="D116" s="203"/>
      <c r="E116" s="203"/>
      <c r="F116" s="203"/>
      <c r="G116" s="203"/>
      <c r="H116" s="203"/>
      <c r="I116" s="203"/>
      <c r="J116" s="203"/>
      <c r="K116" s="203"/>
      <c r="L116" s="201"/>
      <c r="M116" s="201"/>
      <c r="N116" s="201"/>
      <c r="O116" s="201"/>
      <c r="P116" s="201"/>
      <c r="Q116" s="201"/>
      <c r="R116" s="201"/>
      <c r="S116" s="201"/>
      <c r="T116" s="201"/>
      <c r="U116" s="201"/>
    </row>
    <row r="117" spans="1:21">
      <c r="A117" s="201"/>
      <c r="B117" s="201"/>
      <c r="C117" s="201"/>
      <c r="D117" s="201"/>
      <c r="E117" s="201"/>
      <c r="F117" s="201"/>
      <c r="G117" s="201"/>
      <c r="H117" s="201"/>
      <c r="I117" s="201"/>
      <c r="J117" s="201"/>
      <c r="K117" s="201"/>
      <c r="L117" s="201"/>
      <c r="M117" s="201"/>
      <c r="N117" s="201"/>
      <c r="O117" s="201"/>
      <c r="P117" s="201"/>
      <c r="Q117" s="201"/>
      <c r="R117" s="201"/>
      <c r="S117" s="201"/>
      <c r="T117" s="201"/>
      <c r="U117" s="201"/>
    </row>
    <row r="118" spans="1:21">
      <c r="A118" s="201"/>
      <c r="B118" s="201"/>
      <c r="C118" s="201"/>
      <c r="D118" s="201"/>
      <c r="E118" s="201"/>
      <c r="F118" s="201"/>
      <c r="G118" s="201"/>
      <c r="H118" s="201"/>
      <c r="I118" s="201"/>
      <c r="J118" s="201"/>
      <c r="K118" s="201"/>
      <c r="L118" s="201"/>
      <c r="M118" s="201"/>
      <c r="N118" s="201"/>
      <c r="O118" s="201"/>
      <c r="P118" s="201"/>
      <c r="Q118" s="201"/>
      <c r="R118" s="201"/>
      <c r="S118" s="201"/>
      <c r="T118" s="201"/>
      <c r="U118" s="201"/>
    </row>
  </sheetData>
  <mergeCells count="35">
    <mergeCell ref="M7:N7"/>
    <mergeCell ref="O7:P7"/>
    <mergeCell ref="AA7:AB7"/>
    <mergeCell ref="Q7:R7"/>
    <mergeCell ref="M6:N6"/>
    <mergeCell ref="O6:P6"/>
    <mergeCell ref="Q6:R6"/>
    <mergeCell ref="S6:T6"/>
    <mergeCell ref="U6:V6"/>
    <mergeCell ref="W6:X6"/>
    <mergeCell ref="Y6:Z6"/>
    <mergeCell ref="Y7:Z7"/>
    <mergeCell ref="S7:T7"/>
    <mergeCell ref="U7:V7"/>
    <mergeCell ref="A4:B4"/>
    <mergeCell ref="C6:D6"/>
    <mergeCell ref="E6:F6"/>
    <mergeCell ref="G6:H6"/>
    <mergeCell ref="I6:J6"/>
    <mergeCell ref="W5:X5"/>
    <mergeCell ref="AG6:AH6"/>
    <mergeCell ref="AG7:AH7"/>
    <mergeCell ref="C7:D7"/>
    <mergeCell ref="E7:F7"/>
    <mergeCell ref="G7:H7"/>
    <mergeCell ref="I7:J7"/>
    <mergeCell ref="K7:L7"/>
    <mergeCell ref="W7:X7"/>
    <mergeCell ref="AE6:AF6"/>
    <mergeCell ref="AE7:AF7"/>
    <mergeCell ref="AC7:AD7"/>
    <mergeCell ref="AA6:AB6"/>
    <mergeCell ref="AC6:AD6"/>
    <mergeCell ref="O5:P5"/>
    <mergeCell ref="K6:L6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9966FF"/>
  </sheetPr>
  <dimension ref="A1:I24"/>
  <sheetViews>
    <sheetView zoomScale="81" zoomScaleNormal="81" workbookViewId="0">
      <selection activeCell="D17" sqref="D17"/>
    </sheetView>
  </sheetViews>
  <sheetFormatPr defaultColWidth="9.1796875" defaultRowHeight="14.5"/>
  <cols>
    <col min="1" max="1" width="19.54296875" customWidth="1"/>
    <col min="2" max="2" width="61.26953125" bestFit="1" customWidth="1"/>
    <col min="3" max="3" width="24.54296875" customWidth="1"/>
    <col min="4" max="4" width="16.1796875" bestFit="1" customWidth="1"/>
    <col min="5" max="5" width="29.453125" customWidth="1"/>
    <col min="6" max="6" width="67" customWidth="1"/>
    <col min="7" max="7" width="20.54296875" hidden="1" customWidth="1"/>
    <col min="8" max="8" width="0" hidden="1" customWidth="1"/>
  </cols>
  <sheetData>
    <row r="1" spans="1:9" s="18" customFormat="1" ht="23.5">
      <c r="A1"/>
      <c r="B1"/>
      <c r="C1"/>
      <c r="D1"/>
      <c r="E1"/>
      <c r="F1"/>
      <c r="G1"/>
      <c r="H1"/>
      <c r="I1"/>
    </row>
    <row r="2" spans="1:9" s="18" customFormat="1" ht="44.25" customHeight="1">
      <c r="A2" s="17" t="s">
        <v>78</v>
      </c>
      <c r="G2"/>
      <c r="H2"/>
      <c r="I2"/>
    </row>
    <row r="3" spans="1:9" ht="14.5" customHeight="1" thickBot="1">
      <c r="A3" s="17"/>
      <c r="B3" s="18"/>
      <c r="C3" s="18"/>
      <c r="D3" s="18"/>
      <c r="E3" s="18"/>
      <c r="F3" s="18"/>
    </row>
    <row r="4" spans="1:9">
      <c r="A4" s="350" t="s">
        <v>79</v>
      </c>
      <c r="B4" s="19" t="s">
        <v>80</v>
      </c>
      <c r="C4" s="20" t="s">
        <v>81</v>
      </c>
      <c r="D4" s="20" t="s">
        <v>82</v>
      </c>
      <c r="E4" s="20" t="s">
        <v>83</v>
      </c>
      <c r="F4" s="21" t="s">
        <v>84</v>
      </c>
    </row>
    <row r="5" spans="1:9">
      <c r="A5" s="351"/>
      <c r="B5" s="225" t="s">
        <v>85</v>
      </c>
      <c r="C5" s="353" t="s">
        <v>86</v>
      </c>
      <c r="D5" s="353"/>
      <c r="E5" s="353"/>
      <c r="F5" s="22"/>
    </row>
    <row r="6" spans="1:9">
      <c r="A6" s="351"/>
      <c r="B6" s="226" t="s">
        <v>264</v>
      </c>
      <c r="C6" s="227" t="s">
        <v>266</v>
      </c>
      <c r="D6" s="227" t="s">
        <v>267</v>
      </c>
      <c r="E6" s="227" t="s">
        <v>267</v>
      </c>
      <c r="F6" s="22"/>
    </row>
    <row r="7" spans="1:9">
      <c r="A7" s="351"/>
      <c r="B7" s="226" t="s">
        <v>265</v>
      </c>
      <c r="C7" s="227" t="s">
        <v>268</v>
      </c>
      <c r="D7" s="227" t="s">
        <v>269</v>
      </c>
      <c r="E7" s="227" t="s">
        <v>269</v>
      </c>
      <c r="F7" s="22"/>
    </row>
    <row r="8" spans="1:9">
      <c r="A8" s="351"/>
      <c r="B8" s="226" t="s">
        <v>273</v>
      </c>
      <c r="C8" s="227" t="s">
        <v>270</v>
      </c>
      <c r="D8" s="227" t="s">
        <v>271</v>
      </c>
      <c r="E8" s="227" t="s">
        <v>271</v>
      </c>
      <c r="F8" s="22"/>
    </row>
    <row r="9" spans="1:9">
      <c r="A9" s="351"/>
      <c r="B9" s="225" t="s">
        <v>87</v>
      </c>
      <c r="C9" s="228" t="s">
        <v>89</v>
      </c>
      <c r="D9" s="228" t="s">
        <v>91</v>
      </c>
      <c r="E9" s="228" t="s">
        <v>91</v>
      </c>
      <c r="F9" s="160"/>
    </row>
    <row r="10" spans="1:9">
      <c r="A10" s="351"/>
      <c r="B10" s="225" t="s">
        <v>90</v>
      </c>
      <c r="C10" s="229" t="s">
        <v>89</v>
      </c>
      <c r="D10" s="229" t="s">
        <v>91</v>
      </c>
      <c r="E10" s="229" t="s">
        <v>91</v>
      </c>
      <c r="F10" s="22"/>
    </row>
    <row r="11" spans="1:9">
      <c r="A11" s="351"/>
      <c r="B11" s="226" t="s">
        <v>274</v>
      </c>
      <c r="C11" s="229" t="s">
        <v>89</v>
      </c>
      <c r="D11" s="229" t="s">
        <v>91</v>
      </c>
      <c r="E11" s="229" t="s">
        <v>91</v>
      </c>
      <c r="F11" s="22"/>
    </row>
    <row r="12" spans="1:9">
      <c r="A12" s="351"/>
      <c r="B12" s="230" t="s">
        <v>327</v>
      </c>
      <c r="C12" s="231" t="s">
        <v>275</v>
      </c>
      <c r="D12" s="231" t="s">
        <v>276</v>
      </c>
      <c r="E12" s="231" t="s">
        <v>276</v>
      </c>
      <c r="F12" s="161"/>
    </row>
    <row r="13" spans="1:9">
      <c r="A13" s="351"/>
      <c r="B13" s="225" t="s">
        <v>92</v>
      </c>
      <c r="C13" s="228" t="s">
        <v>89</v>
      </c>
      <c r="D13" s="228" t="s">
        <v>91</v>
      </c>
      <c r="E13" s="228" t="s">
        <v>91</v>
      </c>
      <c r="F13" s="160"/>
    </row>
    <row r="14" spans="1:9">
      <c r="A14" s="351"/>
      <c r="B14" s="225" t="s">
        <v>93</v>
      </c>
      <c r="C14" s="353" t="s">
        <v>86</v>
      </c>
      <c r="D14" s="353"/>
      <c r="E14" s="353"/>
      <c r="F14" s="22"/>
    </row>
    <row r="15" spans="1:9">
      <c r="A15" s="351"/>
      <c r="B15" s="225" t="s">
        <v>94</v>
      </c>
      <c r="C15" s="228" t="s">
        <v>88</v>
      </c>
      <c r="D15" s="228" t="s">
        <v>89</v>
      </c>
      <c r="E15" s="228" t="s">
        <v>89</v>
      </c>
      <c r="F15" s="160"/>
    </row>
    <row r="16" spans="1:9" ht="15" thickBot="1">
      <c r="A16" s="352"/>
      <c r="B16" s="23" t="s">
        <v>95</v>
      </c>
      <c r="C16" s="162" t="s">
        <v>88</v>
      </c>
      <c r="D16" s="162" t="s">
        <v>89</v>
      </c>
      <c r="E16" s="162" t="s">
        <v>89</v>
      </c>
      <c r="F16" s="163"/>
    </row>
    <row r="17" spans="1:6">
      <c r="A17" s="24" t="s">
        <v>96</v>
      </c>
      <c r="B17" s="25"/>
      <c r="C17" s="26"/>
      <c r="D17" s="26"/>
      <c r="E17" s="26"/>
      <c r="F17" s="27"/>
    </row>
    <row r="18" spans="1:6">
      <c r="B18" s="28"/>
      <c r="C18" s="29"/>
      <c r="D18" s="29"/>
      <c r="E18" s="29"/>
      <c r="F18" s="30"/>
    </row>
    <row r="19" spans="1:6" ht="15" customHeight="1"/>
    <row r="20" spans="1:6" ht="15" customHeight="1" thickBot="1"/>
    <row r="21" spans="1:6">
      <c r="A21" s="354" t="s">
        <v>99</v>
      </c>
      <c r="B21" s="19" t="s">
        <v>97</v>
      </c>
      <c r="C21" s="20" t="s">
        <v>81</v>
      </c>
      <c r="D21" s="20" t="s">
        <v>82</v>
      </c>
      <c r="E21" s="20" t="s">
        <v>83</v>
      </c>
      <c r="F21" s="21" t="s">
        <v>84</v>
      </c>
    </row>
    <row r="22" spans="1:6" ht="29">
      <c r="A22" s="355"/>
      <c r="B22" s="189" t="s">
        <v>328</v>
      </c>
      <c r="C22" s="190" t="s">
        <v>300</v>
      </c>
      <c r="D22" s="190" t="s">
        <v>301</v>
      </c>
      <c r="E22" s="190" t="s">
        <v>301</v>
      </c>
      <c r="F22" s="31" t="s">
        <v>100</v>
      </c>
    </row>
    <row r="23" spans="1:6" ht="29">
      <c r="A23" s="355"/>
      <c r="B23" s="232" t="s">
        <v>329</v>
      </c>
      <c r="C23" s="233">
        <v>0</v>
      </c>
      <c r="D23" s="233">
        <v>0</v>
      </c>
      <c r="E23" s="233">
        <v>0</v>
      </c>
      <c r="F23" s="31" t="s">
        <v>100</v>
      </c>
    </row>
    <row r="24" spans="1:6" ht="30.75" customHeight="1" thickBot="1">
      <c r="A24" s="356"/>
      <c r="B24" s="234" t="s">
        <v>101</v>
      </c>
      <c r="C24" s="235">
        <v>0</v>
      </c>
      <c r="D24" s="235">
        <v>0</v>
      </c>
      <c r="E24" s="235">
        <v>0</v>
      </c>
      <c r="F24" s="32" t="s">
        <v>98</v>
      </c>
    </row>
  </sheetData>
  <mergeCells count="4">
    <mergeCell ref="A4:A16"/>
    <mergeCell ref="C5:E5"/>
    <mergeCell ref="C14:E14"/>
    <mergeCell ref="A21:A24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A679-5493-4119-AF69-07A58CE069C8}">
  <sheetPr>
    <tabColor rgb="FFFF3399"/>
  </sheetPr>
  <dimension ref="A1:J85"/>
  <sheetViews>
    <sheetView zoomScale="70" zoomScaleNormal="70" workbookViewId="0">
      <selection activeCell="W16" sqref="W16"/>
    </sheetView>
  </sheetViews>
  <sheetFormatPr defaultColWidth="8.81640625" defaultRowHeight="14"/>
  <cols>
    <col min="1" max="2" width="15.1796875" style="209" customWidth="1"/>
    <col min="3" max="3" width="25.54296875" style="209" customWidth="1"/>
    <col min="4" max="4" width="12.453125" style="209" customWidth="1"/>
    <col min="5" max="5" width="43.54296875" style="209" customWidth="1"/>
    <col min="6" max="8" width="15.1796875" style="209" customWidth="1"/>
    <col min="9" max="9" width="16.453125" style="209" customWidth="1"/>
    <col min="10" max="16384" width="8.81640625" style="209"/>
  </cols>
  <sheetData>
    <row r="1" spans="1:10" ht="14.5">
      <c r="A1" s="205"/>
      <c r="B1" s="206"/>
      <c r="C1" s="207" t="s">
        <v>184</v>
      </c>
      <c r="D1" s="207"/>
      <c r="E1" s="207"/>
      <c r="F1" s="207"/>
      <c r="G1" s="263" t="s">
        <v>354</v>
      </c>
      <c r="H1" s="208"/>
      <c r="I1" s="208"/>
      <c r="J1" s="208"/>
    </row>
    <row r="2" spans="1:10">
      <c r="A2" s="217" t="s">
        <v>185</v>
      </c>
      <c r="B2" s="217" t="s">
        <v>186</v>
      </c>
      <c r="C2" s="217" t="s">
        <v>187</v>
      </c>
      <c r="D2" s="217" t="s">
        <v>240</v>
      </c>
      <c r="E2" s="217" t="s">
        <v>188</v>
      </c>
      <c r="F2" s="217" t="s">
        <v>295</v>
      </c>
      <c r="G2" s="218" t="s">
        <v>298</v>
      </c>
      <c r="H2" s="217"/>
      <c r="I2" s="217"/>
      <c r="J2" s="264"/>
    </row>
    <row r="3" spans="1:10">
      <c r="A3" s="217"/>
      <c r="B3" s="217"/>
      <c r="C3" s="217"/>
      <c r="D3" s="217"/>
      <c r="E3" s="217"/>
      <c r="F3" s="217"/>
      <c r="G3" s="219" t="s">
        <v>241</v>
      </c>
      <c r="H3" s="219" t="s">
        <v>242</v>
      </c>
      <c r="I3" s="219" t="s">
        <v>243</v>
      </c>
      <c r="J3" s="265"/>
    </row>
    <row r="4" spans="1:10">
      <c r="A4" s="210" t="s">
        <v>191</v>
      </c>
      <c r="B4" s="210" t="s">
        <v>189</v>
      </c>
      <c r="C4" s="210" t="s">
        <v>355</v>
      </c>
      <c r="D4" s="210" t="s">
        <v>356</v>
      </c>
      <c r="E4" s="210" t="s">
        <v>190</v>
      </c>
      <c r="F4" s="211" t="str">
        <f>VLOOKUP(E4,[2]Lookup!F:G,2,0)</f>
        <v>CNSHA</v>
      </c>
      <c r="G4" s="212">
        <v>145</v>
      </c>
      <c r="H4" s="212">
        <v>270</v>
      </c>
      <c r="I4" s="212">
        <v>270</v>
      </c>
      <c r="J4" s="266"/>
    </row>
    <row r="5" spans="1:10">
      <c r="A5" s="210" t="s">
        <v>191</v>
      </c>
      <c r="B5" s="210" t="s">
        <v>192</v>
      </c>
      <c r="C5" s="210" t="s">
        <v>357</v>
      </c>
      <c r="D5" s="210" t="s">
        <v>358</v>
      </c>
      <c r="E5" s="210" t="s">
        <v>359</v>
      </c>
      <c r="F5" s="211" t="str">
        <f>VLOOKUP(E5,[2]Lookup!F:G,2,0)</f>
        <v>CNSHA</v>
      </c>
      <c r="G5" s="212">
        <v>175</v>
      </c>
      <c r="H5" s="212">
        <v>535</v>
      </c>
      <c r="I5" s="212">
        <v>535</v>
      </c>
      <c r="J5" s="266"/>
    </row>
    <row r="6" spans="1:10">
      <c r="A6" s="210" t="s">
        <v>360</v>
      </c>
      <c r="B6" s="210" t="s">
        <v>192</v>
      </c>
      <c r="C6" s="210" t="s">
        <v>361</v>
      </c>
      <c r="D6" s="210" t="s">
        <v>362</v>
      </c>
      <c r="E6" s="210" t="s">
        <v>190</v>
      </c>
      <c r="F6" s="210" t="str">
        <f>VLOOKUP(E6,[2]Lookup!F:G,2,0)</f>
        <v>CNSHA</v>
      </c>
      <c r="G6" s="212">
        <v>320</v>
      </c>
      <c r="H6" s="212">
        <v>345</v>
      </c>
      <c r="I6" s="212">
        <v>345</v>
      </c>
      <c r="J6" s="266"/>
    </row>
    <row r="7" spans="1:10" ht="14.5">
      <c r="A7" s="210" t="s">
        <v>193</v>
      </c>
      <c r="B7" s="210" t="s">
        <v>363</v>
      </c>
      <c r="C7" s="210" t="s">
        <v>364</v>
      </c>
      <c r="D7" s="210" t="s">
        <v>365</v>
      </c>
      <c r="E7" s="210" t="s">
        <v>366</v>
      </c>
      <c r="F7" s="211" t="str">
        <f>VLOOKUP(E7,[2]Lookup!F:G,2,0)</f>
        <v>CNDLC</v>
      </c>
      <c r="G7" s="212">
        <v>395</v>
      </c>
      <c r="H7" s="212">
        <v>520</v>
      </c>
      <c r="I7" s="212">
        <v>520</v>
      </c>
      <c r="J7" s="206"/>
    </row>
    <row r="8" spans="1:10">
      <c r="A8" s="210" t="s">
        <v>191</v>
      </c>
      <c r="B8" s="210" t="s">
        <v>367</v>
      </c>
      <c r="C8" s="210" t="s">
        <v>368</v>
      </c>
      <c r="D8" s="210" t="s">
        <v>369</v>
      </c>
      <c r="E8" s="210" t="s">
        <v>190</v>
      </c>
      <c r="F8" s="211" t="str">
        <f>VLOOKUP(E8,[2]Lookup!F:G,2,0)</f>
        <v>CNSHA</v>
      </c>
      <c r="G8" s="212">
        <v>335</v>
      </c>
      <c r="H8" s="212">
        <v>615</v>
      </c>
      <c r="I8" s="212">
        <v>615</v>
      </c>
      <c r="J8" s="266"/>
    </row>
    <row r="9" spans="1:10">
      <c r="A9" s="210" t="s">
        <v>191</v>
      </c>
      <c r="B9" s="210" t="s">
        <v>194</v>
      </c>
      <c r="C9" s="210" t="s">
        <v>370</v>
      </c>
      <c r="D9" s="210" t="s">
        <v>371</v>
      </c>
      <c r="E9" s="210" t="s">
        <v>359</v>
      </c>
      <c r="F9" s="211" t="str">
        <f>VLOOKUP(E9,[2]Lookup!F:G,2,0)</f>
        <v>CNSHA</v>
      </c>
      <c r="G9" s="212">
        <v>60</v>
      </c>
      <c r="H9" s="212">
        <v>245</v>
      </c>
      <c r="I9" s="212">
        <v>245</v>
      </c>
      <c r="J9" s="266"/>
    </row>
    <row r="10" spans="1:10">
      <c r="A10" s="210" t="s">
        <v>191</v>
      </c>
      <c r="B10" s="210" t="s">
        <v>194</v>
      </c>
      <c r="C10" s="210" t="s">
        <v>372</v>
      </c>
      <c r="D10" s="210" t="s">
        <v>373</v>
      </c>
      <c r="E10" s="210" t="s">
        <v>190</v>
      </c>
      <c r="F10" s="211" t="str">
        <f>VLOOKUP(E10,[2]Lookup!F:G,2,0)</f>
        <v>CNSHA</v>
      </c>
      <c r="G10" s="212">
        <v>215</v>
      </c>
      <c r="H10" s="212">
        <v>375</v>
      </c>
      <c r="I10" s="212">
        <v>375</v>
      </c>
      <c r="J10" s="266"/>
    </row>
    <row r="11" spans="1:10">
      <c r="A11" s="210" t="s">
        <v>360</v>
      </c>
      <c r="B11" s="210" t="s">
        <v>374</v>
      </c>
      <c r="C11" s="210" t="s">
        <v>375</v>
      </c>
      <c r="D11" s="210" t="s">
        <v>373</v>
      </c>
      <c r="E11" s="210" t="s">
        <v>359</v>
      </c>
      <c r="F11" s="211" t="str">
        <f>VLOOKUP(E11,[2]Lookup!F:G,2,0)</f>
        <v>CNSHA</v>
      </c>
      <c r="G11" s="212">
        <v>195</v>
      </c>
      <c r="H11" s="212">
        <v>210</v>
      </c>
      <c r="I11" s="212">
        <v>210</v>
      </c>
      <c r="J11" s="266"/>
    </row>
    <row r="12" spans="1:10">
      <c r="A12" s="257" t="s">
        <v>191</v>
      </c>
      <c r="B12" s="258" t="s">
        <v>189</v>
      </c>
      <c r="C12" s="259" t="s">
        <v>376</v>
      </c>
      <c r="D12" s="258" t="s">
        <v>377</v>
      </c>
      <c r="E12" s="260" t="s">
        <v>195</v>
      </c>
      <c r="F12" s="211" t="str">
        <f>VLOOKUP(E12,[2]Lookup!F:G,2,0)</f>
        <v>CNNGB</v>
      </c>
      <c r="G12" s="212">
        <v>100</v>
      </c>
      <c r="H12" s="212">
        <v>115</v>
      </c>
      <c r="I12" s="212">
        <v>115</v>
      </c>
      <c r="J12" s="266"/>
    </row>
    <row r="13" spans="1:10">
      <c r="A13" s="210" t="s">
        <v>360</v>
      </c>
      <c r="B13" s="210" t="s">
        <v>378</v>
      </c>
      <c r="C13" s="210" t="s">
        <v>379</v>
      </c>
      <c r="D13" s="210" t="s">
        <v>380</v>
      </c>
      <c r="E13" s="210" t="s">
        <v>190</v>
      </c>
      <c r="F13" s="211" t="str">
        <f>VLOOKUP(E13,[2]Lookup!F:G,2,0)</f>
        <v>CNSHA</v>
      </c>
      <c r="G13" s="212">
        <v>1210</v>
      </c>
      <c r="H13" s="212">
        <v>1695</v>
      </c>
      <c r="I13" s="212">
        <v>1695</v>
      </c>
      <c r="J13" s="266"/>
    </row>
    <row r="14" spans="1:10">
      <c r="A14" s="210" t="s">
        <v>193</v>
      </c>
      <c r="B14" s="210" t="s">
        <v>381</v>
      </c>
      <c r="C14" s="210" t="s">
        <v>381</v>
      </c>
      <c r="D14" s="210" t="s">
        <v>380</v>
      </c>
      <c r="E14" s="220" t="s">
        <v>382</v>
      </c>
      <c r="F14" s="211" t="str">
        <f>VLOOKUP(E14,[2]Lookup!F:G,2,0)</f>
        <v>CNYTN</v>
      </c>
      <c r="G14" s="212" t="s">
        <v>326</v>
      </c>
      <c r="H14" s="212">
        <v>1050</v>
      </c>
      <c r="I14" s="212">
        <v>1050</v>
      </c>
      <c r="J14" s="265"/>
    </row>
    <row r="15" spans="1:10" ht="14.5">
      <c r="A15" s="210" t="s">
        <v>191</v>
      </c>
      <c r="B15" s="210" t="s">
        <v>383</v>
      </c>
      <c r="C15" s="210" t="s">
        <v>384</v>
      </c>
      <c r="D15" s="210" t="s">
        <v>385</v>
      </c>
      <c r="E15" s="210" t="s">
        <v>190</v>
      </c>
      <c r="F15" s="211" t="str">
        <f>VLOOKUP(E15,[2]Lookup!F:G,2,0)</f>
        <v>CNSHA</v>
      </c>
      <c r="G15" s="212">
        <v>210</v>
      </c>
      <c r="H15" s="212">
        <v>975</v>
      </c>
      <c r="I15" s="212">
        <v>975</v>
      </c>
      <c r="J15" s="213" t="s">
        <v>286</v>
      </c>
    </row>
    <row r="16" spans="1:10" ht="14.5">
      <c r="A16" s="210" t="s">
        <v>193</v>
      </c>
      <c r="B16" s="210" t="s">
        <v>24</v>
      </c>
      <c r="C16" s="210" t="s">
        <v>24</v>
      </c>
      <c r="D16" s="210" t="s">
        <v>385</v>
      </c>
      <c r="E16" s="210" t="s">
        <v>195</v>
      </c>
      <c r="F16" s="211" t="str">
        <f>VLOOKUP(E16,[2]Lookup!F:G,2,0)</f>
        <v>CNNGB</v>
      </c>
      <c r="G16" s="212">
        <v>870</v>
      </c>
      <c r="H16" s="212">
        <v>1025</v>
      </c>
      <c r="I16" s="212">
        <v>1025</v>
      </c>
      <c r="J16" s="213" t="s">
        <v>286</v>
      </c>
    </row>
    <row r="17" spans="1:10" ht="14.5">
      <c r="A17" s="210" t="s">
        <v>193</v>
      </c>
      <c r="B17" s="210" t="s">
        <v>24</v>
      </c>
      <c r="C17" s="210" t="s">
        <v>24</v>
      </c>
      <c r="D17" s="210" t="s">
        <v>385</v>
      </c>
      <c r="E17" s="210" t="s">
        <v>260</v>
      </c>
      <c r="F17" s="211" t="str">
        <f>VLOOKUP(E17,[2]Lookup!F:G,2,0)</f>
        <v>CNYTN</v>
      </c>
      <c r="G17" s="212">
        <v>865</v>
      </c>
      <c r="H17" s="212">
        <v>910</v>
      </c>
      <c r="I17" s="212">
        <v>910</v>
      </c>
      <c r="J17" s="213" t="s">
        <v>286</v>
      </c>
    </row>
    <row r="18" spans="1:10" ht="45" customHeight="1">
      <c r="A18" s="210" t="s">
        <v>193</v>
      </c>
      <c r="B18" s="210" t="s">
        <v>24</v>
      </c>
      <c r="C18" s="210" t="s">
        <v>24</v>
      </c>
      <c r="D18" s="210" t="s">
        <v>385</v>
      </c>
      <c r="E18" s="220" t="s">
        <v>336</v>
      </c>
      <c r="F18" s="211" t="str">
        <f>VLOOKUP(LEFT(E18,7),[2]Lookup!F:G,2,0)</f>
        <v>CNQZH</v>
      </c>
      <c r="G18" s="212">
        <v>400</v>
      </c>
      <c r="H18" s="212">
        <v>495</v>
      </c>
      <c r="I18" s="212">
        <v>495</v>
      </c>
      <c r="J18" s="213" t="s">
        <v>286</v>
      </c>
    </row>
    <row r="19" spans="1:10" ht="44.15" customHeight="1">
      <c r="A19" s="210" t="s">
        <v>193</v>
      </c>
      <c r="B19" s="210" t="s">
        <v>24</v>
      </c>
      <c r="C19" s="210" t="s">
        <v>24</v>
      </c>
      <c r="D19" s="210" t="s">
        <v>385</v>
      </c>
      <c r="E19" s="220" t="s">
        <v>337</v>
      </c>
      <c r="F19" s="211" t="str">
        <f>VLOOKUP(LEFT(E19,7),[2]Lookup!F:G,2,0)</f>
        <v>CNQZH</v>
      </c>
      <c r="G19" s="357" t="s">
        <v>338</v>
      </c>
      <c r="H19" s="358"/>
      <c r="I19" s="359"/>
      <c r="J19" s="213" t="s">
        <v>286</v>
      </c>
    </row>
    <row r="20" spans="1:10">
      <c r="A20" s="210" t="s">
        <v>360</v>
      </c>
      <c r="B20" s="210" t="s">
        <v>192</v>
      </c>
      <c r="C20" s="210" t="s">
        <v>386</v>
      </c>
      <c r="D20" s="210" t="s">
        <v>387</v>
      </c>
      <c r="E20" s="210" t="s">
        <v>190</v>
      </c>
      <c r="F20" s="210" t="str">
        <f>VLOOKUP(E20,[2]Lookup!F:G,2,0)</f>
        <v>CNSHA</v>
      </c>
      <c r="G20" s="212">
        <v>320</v>
      </c>
      <c r="H20" s="212">
        <v>320</v>
      </c>
      <c r="I20" s="212">
        <v>320</v>
      </c>
      <c r="J20" s="266"/>
    </row>
    <row r="21" spans="1:10">
      <c r="A21" s="210" t="s">
        <v>191</v>
      </c>
      <c r="B21" s="210" t="s">
        <v>374</v>
      </c>
      <c r="C21" s="210" t="s">
        <v>388</v>
      </c>
      <c r="D21" s="210" t="s">
        <v>389</v>
      </c>
      <c r="E21" s="210" t="s">
        <v>359</v>
      </c>
      <c r="F21" s="211" t="str">
        <f>VLOOKUP(E21,[2]Lookup!F:G,2,0)</f>
        <v>CNSHA</v>
      </c>
      <c r="G21" s="212">
        <v>260</v>
      </c>
      <c r="H21" s="212">
        <v>420</v>
      </c>
      <c r="I21" s="212">
        <v>420</v>
      </c>
      <c r="J21" s="266"/>
    </row>
    <row r="22" spans="1:10">
      <c r="A22" s="210" t="s">
        <v>193</v>
      </c>
      <c r="B22" s="210" t="s">
        <v>194</v>
      </c>
      <c r="C22" s="210" t="s">
        <v>314</v>
      </c>
      <c r="D22" s="210" t="s">
        <v>315</v>
      </c>
      <c r="E22" s="210" t="s">
        <v>190</v>
      </c>
      <c r="F22" s="211" t="str">
        <f>VLOOKUP(E22,[2]Lookup!F:G,2,0)</f>
        <v>CNSHA</v>
      </c>
      <c r="G22" s="212">
        <v>225</v>
      </c>
      <c r="H22" s="212">
        <v>255</v>
      </c>
      <c r="I22" s="212">
        <v>260</v>
      </c>
      <c r="J22" s="266"/>
    </row>
    <row r="23" spans="1:10">
      <c r="A23" s="210" t="s">
        <v>191</v>
      </c>
      <c r="B23" s="210" t="s">
        <v>192</v>
      </c>
      <c r="C23" s="210" t="s">
        <v>390</v>
      </c>
      <c r="D23" s="210" t="s">
        <v>391</v>
      </c>
      <c r="E23" s="210" t="s">
        <v>190</v>
      </c>
      <c r="F23" s="211" t="str">
        <f>VLOOKUP(E23,[2]Lookup!F:G,2,0)</f>
        <v>CNSHA</v>
      </c>
      <c r="G23" s="212">
        <v>105</v>
      </c>
      <c r="H23" s="212">
        <v>500</v>
      </c>
      <c r="I23" s="212">
        <v>460</v>
      </c>
      <c r="J23" s="266"/>
    </row>
    <row r="24" spans="1:10">
      <c r="A24" s="210" t="s">
        <v>360</v>
      </c>
      <c r="B24" s="210" t="s">
        <v>192</v>
      </c>
      <c r="C24" s="210" t="s">
        <v>196</v>
      </c>
      <c r="D24" s="210" t="s">
        <v>391</v>
      </c>
      <c r="E24" s="210" t="s">
        <v>190</v>
      </c>
      <c r="F24" s="211" t="str">
        <f>VLOOKUP(E24,[2]Lookup!F:G,2,0)</f>
        <v>CNSHA</v>
      </c>
      <c r="G24" s="212">
        <v>335</v>
      </c>
      <c r="H24" s="212">
        <v>345</v>
      </c>
      <c r="I24" s="212">
        <v>345</v>
      </c>
      <c r="J24" s="266"/>
    </row>
    <row r="25" spans="1:10">
      <c r="A25" s="210" t="s">
        <v>191</v>
      </c>
      <c r="B25" s="210" t="s">
        <v>194</v>
      </c>
      <c r="C25" s="210" t="s">
        <v>392</v>
      </c>
      <c r="D25" s="210" t="s">
        <v>393</v>
      </c>
      <c r="E25" s="210" t="s">
        <v>190</v>
      </c>
      <c r="F25" s="211" t="str">
        <f>VLOOKUP(E25,[2]Lookup!F:G,2,0)</f>
        <v>CNSHA</v>
      </c>
      <c r="G25" s="212">
        <v>235</v>
      </c>
      <c r="H25" s="212">
        <v>365</v>
      </c>
      <c r="I25" s="212">
        <v>365</v>
      </c>
      <c r="J25" s="266"/>
    </row>
    <row r="26" spans="1:10">
      <c r="A26" s="210" t="s">
        <v>360</v>
      </c>
      <c r="B26" s="210" t="s">
        <v>374</v>
      </c>
      <c r="C26" s="210" t="s">
        <v>394</v>
      </c>
      <c r="D26" s="210" t="s">
        <v>393</v>
      </c>
      <c r="E26" s="210" t="s">
        <v>190</v>
      </c>
      <c r="F26" s="211" t="str">
        <f>VLOOKUP(E26,[2]Lookup!F:G,2,0)</f>
        <v>CNSHA</v>
      </c>
      <c r="G26" s="212">
        <v>375</v>
      </c>
      <c r="H26" s="212">
        <v>360</v>
      </c>
      <c r="I26" s="212">
        <v>360</v>
      </c>
      <c r="J26" s="266"/>
    </row>
    <row r="27" spans="1:10">
      <c r="A27" s="210" t="s">
        <v>193</v>
      </c>
      <c r="B27" s="210" t="s">
        <v>192</v>
      </c>
      <c r="C27" s="210" t="s">
        <v>316</v>
      </c>
      <c r="D27" s="210" t="s">
        <v>317</v>
      </c>
      <c r="E27" s="210" t="s">
        <v>190</v>
      </c>
      <c r="F27" s="211" t="str">
        <f>VLOOKUP(E27,[2]Lookup!F:G,2,0)</f>
        <v>CNSHA</v>
      </c>
      <c r="G27" s="212">
        <v>290</v>
      </c>
      <c r="H27" s="212">
        <v>315</v>
      </c>
      <c r="I27" s="212">
        <v>315</v>
      </c>
      <c r="J27" s="265"/>
    </row>
    <row r="28" spans="1:10">
      <c r="A28" s="210" t="s">
        <v>191</v>
      </c>
      <c r="B28" s="210" t="s">
        <v>395</v>
      </c>
      <c r="C28" s="210" t="s">
        <v>396</v>
      </c>
      <c r="D28" s="210" t="s">
        <v>397</v>
      </c>
      <c r="E28" s="210" t="s">
        <v>190</v>
      </c>
      <c r="F28" s="211" t="str">
        <f>VLOOKUP(E28,[2]Lookup!F:G,2,0)</f>
        <v>CNSHA</v>
      </c>
      <c r="G28" s="212">
        <v>185</v>
      </c>
      <c r="H28" s="212">
        <v>385</v>
      </c>
      <c r="I28" s="212">
        <v>385</v>
      </c>
      <c r="J28" s="266"/>
    </row>
    <row r="29" spans="1:10">
      <c r="A29" s="210" t="s">
        <v>191</v>
      </c>
      <c r="B29" s="210" t="s">
        <v>194</v>
      </c>
      <c r="C29" s="210" t="s">
        <v>398</v>
      </c>
      <c r="D29" s="210" t="s">
        <v>399</v>
      </c>
      <c r="E29" s="210" t="s">
        <v>190</v>
      </c>
      <c r="F29" s="211" t="str">
        <f>VLOOKUP(E29,[2]Lookup!F:G,2,0)</f>
        <v>CNSHA</v>
      </c>
      <c r="G29" s="212">
        <v>130</v>
      </c>
      <c r="H29" s="212">
        <v>255</v>
      </c>
      <c r="I29" s="212">
        <v>255</v>
      </c>
      <c r="J29" s="265"/>
    </row>
    <row r="30" spans="1:10">
      <c r="A30" s="210" t="s">
        <v>191</v>
      </c>
      <c r="B30" s="210" t="s">
        <v>194</v>
      </c>
      <c r="C30" s="221" t="s">
        <v>398</v>
      </c>
      <c r="D30" s="221" t="s">
        <v>399</v>
      </c>
      <c r="E30" s="210" t="s">
        <v>195</v>
      </c>
      <c r="F30" s="211" t="str">
        <f>VLOOKUP(E30,[2]Lookup!F:G,2,0)</f>
        <v>CNNGB</v>
      </c>
      <c r="G30" s="212">
        <v>160</v>
      </c>
      <c r="H30" s="212">
        <v>135</v>
      </c>
      <c r="I30" s="212">
        <v>135</v>
      </c>
      <c r="J30" s="266"/>
    </row>
    <row r="31" spans="1:10">
      <c r="A31" s="210" t="s">
        <v>400</v>
      </c>
      <c r="B31" s="210" t="s">
        <v>395</v>
      </c>
      <c r="C31" s="210" t="s">
        <v>401</v>
      </c>
      <c r="D31" s="210" t="s">
        <v>402</v>
      </c>
      <c r="E31" s="210" t="s">
        <v>190</v>
      </c>
      <c r="F31" s="211" t="str">
        <f>VLOOKUP(E31,[2]Lookup!F:G,2,0)</f>
        <v>CNSHA</v>
      </c>
      <c r="G31" s="212">
        <v>250</v>
      </c>
      <c r="H31" s="212">
        <v>675</v>
      </c>
      <c r="I31" s="212">
        <v>675</v>
      </c>
      <c r="J31" s="266"/>
    </row>
    <row r="32" spans="1:10">
      <c r="A32" s="210" t="s">
        <v>191</v>
      </c>
      <c r="B32" s="210" t="s">
        <v>403</v>
      </c>
      <c r="C32" s="210" t="s">
        <v>404</v>
      </c>
      <c r="D32" s="210" t="s">
        <v>405</v>
      </c>
      <c r="E32" s="210" t="s">
        <v>190</v>
      </c>
      <c r="F32" s="211" t="str">
        <f>VLOOKUP(E32,[2]Lookup!F:G,2,0)</f>
        <v>CNSHA</v>
      </c>
      <c r="G32" s="212">
        <v>140</v>
      </c>
      <c r="H32" s="212">
        <v>345</v>
      </c>
      <c r="I32" s="212">
        <v>345</v>
      </c>
      <c r="J32" s="265"/>
    </row>
    <row r="33" spans="1:10">
      <c r="A33" s="210" t="s">
        <v>191</v>
      </c>
      <c r="B33" s="210" t="s">
        <v>194</v>
      </c>
      <c r="C33" s="210" t="s">
        <v>406</v>
      </c>
      <c r="D33" s="210" t="s">
        <v>407</v>
      </c>
      <c r="E33" s="210" t="s">
        <v>190</v>
      </c>
      <c r="F33" s="211" t="str">
        <f>VLOOKUP(E33,[2]Lookup!F:G,2,0)</f>
        <v>CNSHA</v>
      </c>
      <c r="G33" s="212">
        <v>100</v>
      </c>
      <c r="H33" s="212">
        <v>200</v>
      </c>
      <c r="I33" s="212">
        <v>200</v>
      </c>
      <c r="J33" s="265"/>
    </row>
    <row r="34" spans="1:10" ht="14.5">
      <c r="A34" s="210" t="s">
        <v>191</v>
      </c>
      <c r="B34" s="210" t="s">
        <v>194</v>
      </c>
      <c r="C34" s="210" t="s">
        <v>21</v>
      </c>
      <c r="D34" s="210" t="s">
        <v>407</v>
      </c>
      <c r="E34" s="210" t="s">
        <v>195</v>
      </c>
      <c r="F34" s="211" t="str">
        <f>VLOOKUP(E34,[2]Lookup!F:G,2,0)</f>
        <v>CNNGB</v>
      </c>
      <c r="G34" s="212">
        <v>85</v>
      </c>
      <c r="H34" s="212">
        <v>255</v>
      </c>
      <c r="I34" s="212">
        <v>255</v>
      </c>
      <c r="J34" s="206"/>
    </row>
    <row r="35" spans="1:10">
      <c r="A35" s="210" t="s">
        <v>191</v>
      </c>
      <c r="B35" s="210" t="s">
        <v>194</v>
      </c>
      <c r="C35" s="210" t="s">
        <v>21</v>
      </c>
      <c r="D35" s="210" t="s">
        <v>407</v>
      </c>
      <c r="E35" s="210" t="s">
        <v>199</v>
      </c>
      <c r="F35" s="211" t="str">
        <f>VLOOKUP(E35,[2]Lookup!F:G,2,0)</f>
        <v>CNTAO</v>
      </c>
      <c r="G35" s="212">
        <v>15</v>
      </c>
      <c r="H35" s="212">
        <v>165</v>
      </c>
      <c r="I35" s="212">
        <v>165</v>
      </c>
      <c r="J35" s="266"/>
    </row>
    <row r="36" spans="1:10">
      <c r="A36" s="210" t="s">
        <v>191</v>
      </c>
      <c r="B36" s="210" t="s">
        <v>194</v>
      </c>
      <c r="C36" s="210" t="s">
        <v>406</v>
      </c>
      <c r="D36" s="210" t="s">
        <v>407</v>
      </c>
      <c r="E36" s="210" t="s">
        <v>318</v>
      </c>
      <c r="F36" s="211" t="str">
        <f>VLOOKUP(E36,[2]Lookup!F:G,2,0)</f>
        <v>KRPUS</v>
      </c>
      <c r="G36" s="212">
        <v>100</v>
      </c>
      <c r="H36" s="212">
        <v>200</v>
      </c>
      <c r="I36" s="212">
        <v>200</v>
      </c>
      <c r="J36" s="266"/>
    </row>
    <row r="37" spans="1:10">
      <c r="A37" s="210" t="s">
        <v>193</v>
      </c>
      <c r="B37" s="210" t="s">
        <v>192</v>
      </c>
      <c r="C37" s="210" t="s">
        <v>319</v>
      </c>
      <c r="D37" s="210" t="s">
        <v>320</v>
      </c>
      <c r="E37" s="210" t="s">
        <v>190</v>
      </c>
      <c r="F37" s="211" t="str">
        <f>VLOOKUP(E37,[2]Lookup!F:G,2,0)</f>
        <v>CNSHA</v>
      </c>
      <c r="G37" s="212">
        <v>390</v>
      </c>
      <c r="H37" s="212">
        <v>400</v>
      </c>
      <c r="I37" s="212">
        <v>400</v>
      </c>
      <c r="J37" s="266"/>
    </row>
    <row r="38" spans="1:10">
      <c r="A38" s="210" t="s">
        <v>191</v>
      </c>
      <c r="B38" s="210" t="s">
        <v>378</v>
      </c>
      <c r="C38" s="210" t="s">
        <v>408</v>
      </c>
      <c r="D38" s="210" t="s">
        <v>409</v>
      </c>
      <c r="E38" s="210" t="s">
        <v>190</v>
      </c>
      <c r="F38" s="211" t="str">
        <f>VLOOKUP(E38,[2]Lookup!F:G,2,0)</f>
        <v>CNSHA</v>
      </c>
      <c r="G38" s="212">
        <v>220</v>
      </c>
      <c r="H38" s="212">
        <v>870</v>
      </c>
      <c r="I38" s="212">
        <v>870</v>
      </c>
      <c r="J38" s="265"/>
    </row>
    <row r="39" spans="1:10">
      <c r="A39" s="210" t="s">
        <v>191</v>
      </c>
      <c r="B39" s="210" t="s">
        <v>192</v>
      </c>
      <c r="C39" s="210" t="s">
        <v>410</v>
      </c>
      <c r="D39" s="210" t="s">
        <v>411</v>
      </c>
      <c r="E39" s="210" t="s">
        <v>190</v>
      </c>
      <c r="F39" s="211" t="str">
        <f>VLOOKUP(E39,[2]Lookup!F:G,2,0)</f>
        <v>CNSHA</v>
      </c>
      <c r="G39" s="212">
        <v>240</v>
      </c>
      <c r="H39" s="212">
        <v>295</v>
      </c>
      <c r="I39" s="212">
        <v>295</v>
      </c>
      <c r="J39" s="265"/>
    </row>
    <row r="40" spans="1:10">
      <c r="A40" s="210" t="s">
        <v>191</v>
      </c>
      <c r="B40" s="210" t="s">
        <v>403</v>
      </c>
      <c r="C40" s="210" t="s">
        <v>412</v>
      </c>
      <c r="D40" s="210" t="s">
        <v>413</v>
      </c>
      <c r="E40" s="210" t="s">
        <v>190</v>
      </c>
      <c r="F40" s="211" t="str">
        <f>VLOOKUP(E40,[2]Lookup!F:G,2,0)</f>
        <v>CNSHA</v>
      </c>
      <c r="G40" s="212">
        <v>190</v>
      </c>
      <c r="H40" s="212">
        <v>320</v>
      </c>
      <c r="I40" s="212">
        <v>605</v>
      </c>
      <c r="J40" s="265"/>
    </row>
    <row r="41" spans="1:10">
      <c r="A41" s="210" t="s">
        <v>360</v>
      </c>
      <c r="B41" s="210" t="s">
        <v>198</v>
      </c>
      <c r="C41" s="210" t="s">
        <v>414</v>
      </c>
      <c r="D41" s="210" t="s">
        <v>413</v>
      </c>
      <c r="E41" s="210" t="s">
        <v>415</v>
      </c>
      <c r="F41" s="211" t="str">
        <f>VLOOKUP(E41,[2]Lookup!F:G,2,0)</f>
        <v>CNNGB</v>
      </c>
      <c r="G41" s="212">
        <v>595</v>
      </c>
      <c r="H41" s="212">
        <v>810</v>
      </c>
      <c r="I41" s="212">
        <v>810</v>
      </c>
      <c r="J41" s="265"/>
    </row>
    <row r="42" spans="1:10" ht="14.5">
      <c r="A42" s="210" t="s">
        <v>193</v>
      </c>
      <c r="B42" s="210" t="s">
        <v>197</v>
      </c>
      <c r="C42" s="210" t="s">
        <v>414</v>
      </c>
      <c r="D42" s="210" t="s">
        <v>296</v>
      </c>
      <c r="E42" s="210" t="s">
        <v>260</v>
      </c>
      <c r="F42" s="211" t="str">
        <f>VLOOKUP(E42,[2]Lookup!F:G,2,0)</f>
        <v>CNYTN</v>
      </c>
      <c r="G42" s="212">
        <v>650</v>
      </c>
      <c r="H42" s="212">
        <v>830</v>
      </c>
      <c r="I42" s="212">
        <v>830</v>
      </c>
      <c r="J42" s="267" t="s">
        <v>416</v>
      </c>
    </row>
    <row r="43" spans="1:10" ht="14.5">
      <c r="A43" s="210" t="s">
        <v>193</v>
      </c>
      <c r="B43" s="210" t="s">
        <v>197</v>
      </c>
      <c r="C43" s="210" t="s">
        <v>414</v>
      </c>
      <c r="D43" s="210" t="s">
        <v>296</v>
      </c>
      <c r="E43" s="210" t="s">
        <v>294</v>
      </c>
      <c r="F43" s="211" t="str">
        <f>VLOOKUP(E43,[2]Lookup!F:G,2,0)</f>
        <v>CNSHK</v>
      </c>
      <c r="G43" s="212">
        <v>650</v>
      </c>
      <c r="H43" s="212">
        <v>830</v>
      </c>
      <c r="I43" s="212">
        <v>830</v>
      </c>
      <c r="J43" s="267" t="s">
        <v>416</v>
      </c>
    </row>
    <row r="44" spans="1:10" ht="14.5">
      <c r="A44" s="210" t="s">
        <v>193</v>
      </c>
      <c r="B44" s="210" t="s">
        <v>197</v>
      </c>
      <c r="C44" s="210" t="s">
        <v>414</v>
      </c>
      <c r="D44" s="210" t="s">
        <v>296</v>
      </c>
      <c r="E44" s="210" t="s">
        <v>417</v>
      </c>
      <c r="F44" s="211" t="str">
        <f>VLOOKUP(E44,[2]Lookup!F:G,2,0)</f>
        <v>CNNSA</v>
      </c>
      <c r="G44" s="212">
        <v>625</v>
      </c>
      <c r="H44" s="212">
        <v>840</v>
      </c>
      <c r="I44" s="212">
        <v>840</v>
      </c>
      <c r="J44" s="267" t="s">
        <v>416</v>
      </c>
    </row>
    <row r="45" spans="1:10" ht="14.5">
      <c r="A45" s="210" t="s">
        <v>193</v>
      </c>
      <c r="B45" s="210" t="s">
        <v>197</v>
      </c>
      <c r="C45" s="210" t="s">
        <v>23</v>
      </c>
      <c r="D45" s="210" t="s">
        <v>296</v>
      </c>
      <c r="E45" s="210" t="s">
        <v>309</v>
      </c>
      <c r="F45" s="211" t="str">
        <f>VLOOKUP(E45,[2]Lookup!F:G,2,0)</f>
        <v>CNXMN</v>
      </c>
      <c r="G45" s="212">
        <v>485</v>
      </c>
      <c r="H45" s="212">
        <v>645</v>
      </c>
      <c r="I45" s="212">
        <v>645</v>
      </c>
      <c r="J45" s="267" t="s">
        <v>416</v>
      </c>
    </row>
    <row r="46" spans="1:10">
      <c r="A46" s="210" t="s">
        <v>191</v>
      </c>
      <c r="B46" s="210" t="s">
        <v>194</v>
      </c>
      <c r="C46" s="210" t="s">
        <v>418</v>
      </c>
      <c r="D46" s="210" t="s">
        <v>419</v>
      </c>
      <c r="E46" s="210" t="s">
        <v>190</v>
      </c>
      <c r="F46" s="211" t="str">
        <f>VLOOKUP(E46,[2]Lookup!F:G,2,0)</f>
        <v>CNSHA</v>
      </c>
      <c r="G46" s="212">
        <v>220</v>
      </c>
      <c r="H46" s="212">
        <v>400</v>
      </c>
      <c r="I46" s="212">
        <v>400</v>
      </c>
      <c r="J46" s="266"/>
    </row>
    <row r="47" spans="1:10" ht="14.5">
      <c r="A47" s="210" t="s">
        <v>191</v>
      </c>
      <c r="B47" s="210" t="s">
        <v>194</v>
      </c>
      <c r="C47" s="221" t="s">
        <v>418</v>
      </c>
      <c r="D47" s="221" t="s">
        <v>419</v>
      </c>
      <c r="E47" s="210" t="s">
        <v>195</v>
      </c>
      <c r="F47" s="211" t="str">
        <f>VLOOKUP(E47,[2]Lookup!F:G,2,0)</f>
        <v>CNNGB</v>
      </c>
      <c r="G47" s="212">
        <v>250</v>
      </c>
      <c r="H47" s="212">
        <v>280</v>
      </c>
      <c r="I47" s="212">
        <v>280</v>
      </c>
      <c r="J47" s="206"/>
    </row>
    <row r="48" spans="1:10">
      <c r="A48" s="210" t="s">
        <v>191</v>
      </c>
      <c r="B48" s="210" t="s">
        <v>194</v>
      </c>
      <c r="C48" s="210" t="s">
        <v>420</v>
      </c>
      <c r="D48" s="210" t="s">
        <v>421</v>
      </c>
      <c r="E48" s="210" t="s">
        <v>190</v>
      </c>
      <c r="F48" s="211" t="str">
        <f>VLOOKUP(E48,[2]Lookup!F:G,2,0)</f>
        <v>CNSHA</v>
      </c>
      <c r="G48" s="212">
        <v>155</v>
      </c>
      <c r="H48" s="212">
        <v>380</v>
      </c>
      <c r="I48" s="212">
        <v>380</v>
      </c>
      <c r="J48" s="266"/>
    </row>
    <row r="49" spans="1:10" ht="14.5">
      <c r="A49" s="210" t="s">
        <v>191</v>
      </c>
      <c r="B49" s="210" t="s">
        <v>194</v>
      </c>
      <c r="C49" s="221" t="s">
        <v>420</v>
      </c>
      <c r="D49" s="221" t="s">
        <v>421</v>
      </c>
      <c r="E49" s="210" t="s">
        <v>195</v>
      </c>
      <c r="F49" s="211" t="str">
        <f>VLOOKUP(E49,[2]Lookup!F:G,2,0)</f>
        <v>CNNGB</v>
      </c>
      <c r="G49" s="212">
        <v>185</v>
      </c>
      <c r="H49" s="212">
        <v>260</v>
      </c>
      <c r="I49" s="212">
        <v>260</v>
      </c>
      <c r="J49" s="206"/>
    </row>
    <row r="50" spans="1:10" ht="14.5">
      <c r="A50" s="210" t="s">
        <v>191</v>
      </c>
      <c r="B50" s="210" t="s">
        <v>200</v>
      </c>
      <c r="C50" s="210" t="s">
        <v>201</v>
      </c>
      <c r="D50" s="210" t="s">
        <v>422</v>
      </c>
      <c r="E50" s="210" t="s">
        <v>199</v>
      </c>
      <c r="F50" s="211" t="str">
        <f>VLOOKUP(E50,[2]Lookup!F:G,2,0)</f>
        <v>CNTAO</v>
      </c>
      <c r="G50" s="212">
        <v>50</v>
      </c>
      <c r="H50" s="212">
        <v>80</v>
      </c>
      <c r="I50" s="212">
        <v>80</v>
      </c>
      <c r="J50" s="206"/>
    </row>
    <row r="51" spans="1:10">
      <c r="A51" s="210" t="s">
        <v>191</v>
      </c>
      <c r="B51" s="210" t="s">
        <v>194</v>
      </c>
      <c r="C51" s="210" t="s">
        <v>423</v>
      </c>
      <c r="D51" s="210" t="s">
        <v>424</v>
      </c>
      <c r="E51" s="210" t="s">
        <v>190</v>
      </c>
      <c r="F51" s="210" t="str">
        <f>VLOOKUP(E51,[2]Lookup!F:G,2,0)</f>
        <v>CNSHA</v>
      </c>
      <c r="G51" s="212">
        <v>135</v>
      </c>
      <c r="H51" s="212">
        <v>235</v>
      </c>
      <c r="I51" s="212">
        <v>285</v>
      </c>
      <c r="J51" s="266"/>
    </row>
    <row r="52" spans="1:10">
      <c r="A52" s="210" t="s">
        <v>191</v>
      </c>
      <c r="B52" s="210" t="s">
        <v>200</v>
      </c>
      <c r="C52" s="210" t="s">
        <v>202</v>
      </c>
      <c r="D52" s="210" t="s">
        <v>425</v>
      </c>
      <c r="E52" s="210" t="s">
        <v>199</v>
      </c>
      <c r="F52" s="211" t="str">
        <f>VLOOKUP(E52,[2]Lookup!F:G,2,0)</f>
        <v>CNTAO</v>
      </c>
      <c r="G52" s="212">
        <v>10</v>
      </c>
      <c r="H52" s="212">
        <v>35</v>
      </c>
      <c r="I52" s="212">
        <v>35</v>
      </c>
      <c r="J52" s="265"/>
    </row>
    <row r="53" spans="1:10">
      <c r="A53" s="257" t="s">
        <v>191</v>
      </c>
      <c r="B53" s="258" t="s">
        <v>374</v>
      </c>
      <c r="C53" s="259" t="s">
        <v>426</v>
      </c>
      <c r="D53" s="260" t="s">
        <v>427</v>
      </c>
      <c r="E53" s="260" t="s">
        <v>359</v>
      </c>
      <c r="F53" s="211" t="str">
        <f>VLOOKUP(E53,[2]Lookup!F:G,2,0)</f>
        <v>CNSHA</v>
      </c>
      <c r="G53" s="212">
        <v>170</v>
      </c>
      <c r="H53" s="212">
        <v>415</v>
      </c>
      <c r="I53" s="212">
        <v>220</v>
      </c>
      <c r="J53" s="265"/>
    </row>
    <row r="54" spans="1:10" ht="14.5">
      <c r="A54" s="210" t="s">
        <v>191</v>
      </c>
      <c r="B54" s="210" t="s">
        <v>194</v>
      </c>
      <c r="C54" s="210" t="s">
        <v>428</v>
      </c>
      <c r="D54" s="210" t="s">
        <v>429</v>
      </c>
      <c r="E54" s="210" t="s">
        <v>190</v>
      </c>
      <c r="F54" s="211" t="str">
        <f>VLOOKUP(E54,[2]Lookup!F:G,2,0)</f>
        <v>CNSHA</v>
      </c>
      <c r="G54" s="212">
        <v>190</v>
      </c>
      <c r="H54" s="212">
        <v>125</v>
      </c>
      <c r="I54" s="212">
        <v>415</v>
      </c>
      <c r="J54" s="206"/>
    </row>
    <row r="55" spans="1:10">
      <c r="A55" s="210" t="s">
        <v>191</v>
      </c>
      <c r="B55" s="210" t="s">
        <v>194</v>
      </c>
      <c r="C55" s="221" t="s">
        <v>428</v>
      </c>
      <c r="D55" s="221" t="s">
        <v>429</v>
      </c>
      <c r="E55" s="210" t="s">
        <v>195</v>
      </c>
      <c r="F55" s="211" t="str">
        <f>VLOOKUP(E55,[2]Lookup!F:G,2,0)</f>
        <v>CNNGB</v>
      </c>
      <c r="G55" s="212">
        <v>160</v>
      </c>
      <c r="H55" s="212">
        <v>60</v>
      </c>
      <c r="I55" s="212">
        <v>215</v>
      </c>
      <c r="J55" s="268"/>
    </row>
    <row r="56" spans="1:10">
      <c r="A56" s="210" t="s">
        <v>191</v>
      </c>
      <c r="B56" s="210" t="s">
        <v>194</v>
      </c>
      <c r="C56" s="210" t="s">
        <v>430</v>
      </c>
      <c r="D56" s="210" t="s">
        <v>431</v>
      </c>
      <c r="E56" s="210" t="s">
        <v>359</v>
      </c>
      <c r="F56" s="211" t="str">
        <f>VLOOKUP(E56,[2]Lookup!F:G,2,0)</f>
        <v>CNSHA</v>
      </c>
      <c r="G56" s="212">
        <v>135</v>
      </c>
      <c r="H56" s="212">
        <v>380</v>
      </c>
      <c r="I56" s="212">
        <v>380</v>
      </c>
      <c r="J56" s="265"/>
    </row>
    <row r="57" spans="1:10">
      <c r="A57" s="210" t="s">
        <v>193</v>
      </c>
      <c r="B57" s="210" t="s">
        <v>432</v>
      </c>
      <c r="C57" s="210" t="s">
        <v>433</v>
      </c>
      <c r="D57" s="210" t="s">
        <v>434</v>
      </c>
      <c r="E57" s="210" t="s">
        <v>366</v>
      </c>
      <c r="F57" s="211" t="str">
        <f>VLOOKUP(E57,[2]Lookup!F:G,2,0)</f>
        <v>CNDLC</v>
      </c>
      <c r="G57" s="212">
        <v>445</v>
      </c>
      <c r="H57" s="212">
        <v>670</v>
      </c>
      <c r="I57" s="212">
        <v>670</v>
      </c>
      <c r="J57" s="266"/>
    </row>
    <row r="58" spans="1:10">
      <c r="A58" s="210" t="s">
        <v>191</v>
      </c>
      <c r="B58" s="210" t="s">
        <v>200</v>
      </c>
      <c r="C58" s="210" t="s">
        <v>203</v>
      </c>
      <c r="D58" s="210" t="s">
        <v>435</v>
      </c>
      <c r="E58" s="210" t="s">
        <v>199</v>
      </c>
      <c r="F58" s="211" t="str">
        <f>VLOOKUP(E58,[2]Lookup!F:G,2,0)</f>
        <v>CNTAO</v>
      </c>
      <c r="G58" s="212">
        <v>80</v>
      </c>
      <c r="H58" s="212">
        <v>220</v>
      </c>
      <c r="I58" s="212">
        <v>220</v>
      </c>
      <c r="J58" s="265"/>
    </row>
    <row r="59" spans="1:10">
      <c r="A59" s="210" t="s">
        <v>191</v>
      </c>
      <c r="B59" s="210" t="s">
        <v>189</v>
      </c>
      <c r="C59" s="210" t="s">
        <v>26</v>
      </c>
      <c r="D59" s="210" t="s">
        <v>436</v>
      </c>
      <c r="E59" s="210" t="s">
        <v>195</v>
      </c>
      <c r="F59" s="211" t="str">
        <f>VLOOKUP(E59,[2]Lookup!F:G,2,0)</f>
        <v>CNNGB</v>
      </c>
      <c r="G59" s="212">
        <v>105</v>
      </c>
      <c r="H59" s="212">
        <v>175</v>
      </c>
      <c r="I59" s="212">
        <v>315</v>
      </c>
      <c r="J59" s="265"/>
    </row>
    <row r="60" spans="1:10">
      <c r="A60" s="210" t="s">
        <v>191</v>
      </c>
      <c r="B60" s="210" t="s">
        <v>197</v>
      </c>
      <c r="C60" s="210" t="s">
        <v>437</v>
      </c>
      <c r="D60" s="210" t="s">
        <v>438</v>
      </c>
      <c r="E60" s="210" t="s">
        <v>190</v>
      </c>
      <c r="F60" s="211" t="str">
        <f>VLOOKUP(E60,[2]Lookup!F:G,2,0)</f>
        <v>CNSHA</v>
      </c>
      <c r="G60" s="212">
        <v>250</v>
      </c>
      <c r="H60" s="212">
        <v>190</v>
      </c>
      <c r="I60" s="212">
        <v>485</v>
      </c>
      <c r="J60" s="266"/>
    </row>
    <row r="61" spans="1:10">
      <c r="A61" s="210" t="s">
        <v>360</v>
      </c>
      <c r="B61" s="210" t="s">
        <v>197</v>
      </c>
      <c r="C61" s="210" t="s">
        <v>439</v>
      </c>
      <c r="D61" s="210" t="s">
        <v>438</v>
      </c>
      <c r="E61" s="210" t="s">
        <v>415</v>
      </c>
      <c r="F61" s="211" t="str">
        <f>VLOOKUP(E61,[2]Lookup!F:G,2,0)</f>
        <v>CNNGB</v>
      </c>
      <c r="G61" s="212">
        <v>510</v>
      </c>
      <c r="H61" s="212">
        <v>575</v>
      </c>
      <c r="I61" s="212">
        <v>575</v>
      </c>
      <c r="J61" s="266"/>
    </row>
    <row r="62" spans="1:10">
      <c r="A62" s="210" t="s">
        <v>193</v>
      </c>
      <c r="B62" s="210" t="s">
        <v>197</v>
      </c>
      <c r="C62" s="210" t="s">
        <v>439</v>
      </c>
      <c r="D62" s="210" t="s">
        <v>438</v>
      </c>
      <c r="E62" s="210" t="s">
        <v>440</v>
      </c>
      <c r="F62" s="211" t="str">
        <f>VLOOKUP(E62,[2]Lookup!F:G,2,0)</f>
        <v>CNXMN</v>
      </c>
      <c r="G62" s="212">
        <v>630</v>
      </c>
      <c r="H62" s="212">
        <v>710</v>
      </c>
      <c r="I62" s="212">
        <v>710</v>
      </c>
      <c r="J62" s="265"/>
    </row>
    <row r="63" spans="1:10">
      <c r="A63" s="210" t="s">
        <v>191</v>
      </c>
      <c r="B63" s="210" t="s">
        <v>192</v>
      </c>
      <c r="C63" s="210" t="s">
        <v>441</v>
      </c>
      <c r="D63" s="210" t="s">
        <v>442</v>
      </c>
      <c r="E63" s="210" t="s">
        <v>359</v>
      </c>
      <c r="F63" s="211" t="str">
        <f>VLOOKUP(E63,[2]Lookup!F:G,2,0)</f>
        <v>CNSHA</v>
      </c>
      <c r="G63" s="212">
        <v>240</v>
      </c>
      <c r="H63" s="212">
        <v>435</v>
      </c>
      <c r="I63" s="212">
        <v>435</v>
      </c>
      <c r="J63" s="266"/>
    </row>
    <row r="64" spans="1:10">
      <c r="A64" s="210" t="s">
        <v>360</v>
      </c>
      <c r="B64" s="210" t="s">
        <v>197</v>
      </c>
      <c r="C64" s="210" t="s">
        <v>443</v>
      </c>
      <c r="D64" s="210" t="s">
        <v>444</v>
      </c>
      <c r="E64" s="210" t="s">
        <v>415</v>
      </c>
      <c r="F64" s="211" t="str">
        <f>VLOOKUP(E64,[2]Lookup!F:G,2,0)</f>
        <v>CNNGB</v>
      </c>
      <c r="G64" s="212">
        <v>555</v>
      </c>
      <c r="H64" s="212">
        <v>770</v>
      </c>
      <c r="I64" s="212">
        <v>770</v>
      </c>
      <c r="J64" s="266"/>
    </row>
    <row r="65" spans="1:10">
      <c r="A65" s="210" t="s">
        <v>193</v>
      </c>
      <c r="B65" s="210" t="s">
        <v>374</v>
      </c>
      <c r="C65" s="210" t="s">
        <v>321</v>
      </c>
      <c r="D65" s="210" t="s">
        <v>445</v>
      </c>
      <c r="E65" s="210" t="s">
        <v>21</v>
      </c>
      <c r="F65" s="211" t="str">
        <f>VLOOKUP(E65,[2]Lookup!F:G,2,0)</f>
        <v>CNLYG</v>
      </c>
      <c r="G65" s="212">
        <v>125</v>
      </c>
      <c r="H65" s="212">
        <v>120</v>
      </c>
      <c r="I65" s="212">
        <v>120</v>
      </c>
      <c r="J65" s="266"/>
    </row>
    <row r="66" spans="1:10" ht="14.5">
      <c r="A66" s="210" t="s">
        <v>193</v>
      </c>
      <c r="B66" s="210" t="s">
        <v>194</v>
      </c>
      <c r="C66" s="210" t="s">
        <v>322</v>
      </c>
      <c r="D66" s="210" t="s">
        <v>323</v>
      </c>
      <c r="E66" s="210" t="s">
        <v>190</v>
      </c>
      <c r="F66" s="211" t="str">
        <f>VLOOKUP(E66,[2]Lookup!F:G,2,0)</f>
        <v>CNSHA</v>
      </c>
      <c r="G66" s="212">
        <v>295</v>
      </c>
      <c r="H66" s="212">
        <v>315</v>
      </c>
      <c r="I66" s="212">
        <v>315</v>
      </c>
      <c r="J66" s="206"/>
    </row>
    <row r="67" spans="1:10">
      <c r="A67" s="210" t="s">
        <v>191</v>
      </c>
      <c r="B67" s="210" t="s">
        <v>194</v>
      </c>
      <c r="C67" s="210" t="s">
        <v>446</v>
      </c>
      <c r="D67" s="210" t="s">
        <v>447</v>
      </c>
      <c r="E67" s="210" t="s">
        <v>359</v>
      </c>
      <c r="F67" s="211" t="str">
        <f>VLOOKUP(E67,[2]Lookup!F:G,2,0)</f>
        <v>CNSHA</v>
      </c>
      <c r="G67" s="212">
        <v>220</v>
      </c>
      <c r="H67" s="212">
        <v>390</v>
      </c>
      <c r="I67" s="212">
        <v>380</v>
      </c>
      <c r="J67" s="265"/>
    </row>
    <row r="68" spans="1:10">
      <c r="A68" s="210" t="s">
        <v>191</v>
      </c>
      <c r="B68" s="210" t="s">
        <v>200</v>
      </c>
      <c r="C68" s="210" t="s">
        <v>22</v>
      </c>
      <c r="D68" s="210" t="s">
        <v>448</v>
      </c>
      <c r="E68" s="210" t="s">
        <v>199</v>
      </c>
      <c r="F68" s="211" t="str">
        <f>VLOOKUP(E68,[2]Lookup!F:G,2,0)</f>
        <v>CNTAO</v>
      </c>
      <c r="G68" s="212">
        <v>140</v>
      </c>
      <c r="H68" s="212">
        <v>125</v>
      </c>
      <c r="I68" s="212">
        <v>125</v>
      </c>
      <c r="J68" s="266"/>
    </row>
    <row r="69" spans="1:10">
      <c r="A69" s="210" t="s">
        <v>191</v>
      </c>
      <c r="B69" s="210" t="s">
        <v>378</v>
      </c>
      <c r="C69" s="210" t="s">
        <v>449</v>
      </c>
      <c r="D69" s="210" t="s">
        <v>450</v>
      </c>
      <c r="E69" s="210" t="s">
        <v>190</v>
      </c>
      <c r="F69" s="211" t="str">
        <f>VLOOKUP(E69,[2]Lookup!F:G,2,0)</f>
        <v>CNSHA</v>
      </c>
      <c r="G69" s="212">
        <v>235</v>
      </c>
      <c r="H69" s="212">
        <v>850</v>
      </c>
      <c r="I69" s="212">
        <v>925</v>
      </c>
      <c r="J69" s="266"/>
    </row>
    <row r="70" spans="1:10">
      <c r="A70" s="210" t="s">
        <v>191</v>
      </c>
      <c r="B70" s="210" t="s">
        <v>395</v>
      </c>
      <c r="C70" s="210" t="s">
        <v>451</v>
      </c>
      <c r="D70" s="210" t="s">
        <v>452</v>
      </c>
      <c r="E70" s="210" t="s">
        <v>190</v>
      </c>
      <c r="F70" s="211" t="str">
        <f>VLOOKUP(E70,[2]Lookup!F:G,2,0)</f>
        <v>CNSHA</v>
      </c>
      <c r="G70" s="212">
        <v>410</v>
      </c>
      <c r="H70" s="212">
        <v>695</v>
      </c>
      <c r="I70" s="212">
        <v>695</v>
      </c>
      <c r="J70" s="266"/>
    </row>
    <row r="71" spans="1:10">
      <c r="A71" s="210" t="s">
        <v>193</v>
      </c>
      <c r="B71" s="210" t="s">
        <v>453</v>
      </c>
      <c r="C71" s="210" t="s">
        <v>454</v>
      </c>
      <c r="D71" s="210" t="s">
        <v>455</v>
      </c>
      <c r="E71" s="210" t="s">
        <v>456</v>
      </c>
      <c r="F71" s="211" t="str">
        <f>VLOOKUP(E71,[2]Lookup!F:G,2,0)</f>
        <v>CNTXG</v>
      </c>
      <c r="G71" s="212">
        <v>590</v>
      </c>
      <c r="H71" s="212">
        <v>745</v>
      </c>
      <c r="I71" s="212">
        <v>745</v>
      </c>
      <c r="J71" s="265"/>
    </row>
    <row r="72" spans="1:10">
      <c r="A72" s="210" t="s">
        <v>360</v>
      </c>
      <c r="B72" s="210" t="s">
        <v>457</v>
      </c>
      <c r="C72" s="210" t="s">
        <v>458</v>
      </c>
      <c r="D72" s="210" t="s">
        <v>459</v>
      </c>
      <c r="E72" s="210" t="s">
        <v>415</v>
      </c>
      <c r="F72" s="211" t="str">
        <f>VLOOKUP(E72,[2]Lookup!F:G,2,0)</f>
        <v>CNNGB</v>
      </c>
      <c r="G72" s="212">
        <v>305</v>
      </c>
      <c r="H72" s="212">
        <v>325</v>
      </c>
      <c r="I72" s="212">
        <v>325</v>
      </c>
      <c r="J72" s="265"/>
    </row>
    <row r="73" spans="1:10" ht="14.5">
      <c r="A73" s="210" t="s">
        <v>191</v>
      </c>
      <c r="B73" s="210" t="s">
        <v>367</v>
      </c>
      <c r="C73" s="210" t="s">
        <v>460</v>
      </c>
      <c r="D73" s="210" t="s">
        <v>297</v>
      </c>
      <c r="E73" s="210" t="s">
        <v>190</v>
      </c>
      <c r="F73" s="211" t="str">
        <f>VLOOKUP(E73,[2]Lookup!F:G,2,0)</f>
        <v>CNSHA</v>
      </c>
      <c r="G73" s="212">
        <v>230</v>
      </c>
      <c r="H73" s="212">
        <v>350</v>
      </c>
      <c r="I73" s="212">
        <v>530</v>
      </c>
      <c r="J73" s="206"/>
    </row>
    <row r="74" spans="1:10">
      <c r="A74" s="210" t="s">
        <v>191</v>
      </c>
      <c r="B74" s="210" t="s">
        <v>367</v>
      </c>
      <c r="C74" s="210" t="s">
        <v>460</v>
      </c>
      <c r="D74" s="210" t="s">
        <v>310</v>
      </c>
      <c r="E74" s="210" t="s">
        <v>190</v>
      </c>
      <c r="F74" s="211" t="str">
        <f>VLOOKUP(E74,[2]Lookup!F:G,2,0)</f>
        <v>CNSHA</v>
      </c>
      <c r="G74" s="212">
        <v>230</v>
      </c>
      <c r="H74" s="212">
        <v>350</v>
      </c>
      <c r="I74" s="212">
        <v>530</v>
      </c>
      <c r="J74" s="266"/>
    </row>
    <row r="75" spans="1:10">
      <c r="A75" s="210" t="s">
        <v>191</v>
      </c>
      <c r="B75" s="210" t="s">
        <v>194</v>
      </c>
      <c r="C75" s="210" t="s">
        <v>461</v>
      </c>
      <c r="D75" s="210" t="s">
        <v>462</v>
      </c>
      <c r="E75" s="210" t="s">
        <v>359</v>
      </c>
      <c r="F75" s="210" t="str">
        <f>VLOOKUP(E75,[2]Lookup!F:G,2,0)</f>
        <v>CNSHA</v>
      </c>
      <c r="G75" s="212">
        <v>185</v>
      </c>
      <c r="H75" s="212">
        <v>415</v>
      </c>
      <c r="I75" s="212">
        <v>415</v>
      </c>
      <c r="J75" s="265"/>
    </row>
    <row r="76" spans="1:10" ht="14.5">
      <c r="A76" s="210" t="s">
        <v>191</v>
      </c>
      <c r="B76" s="210" t="s">
        <v>194</v>
      </c>
      <c r="C76" s="221" t="s">
        <v>461</v>
      </c>
      <c r="D76" s="221" t="s">
        <v>462</v>
      </c>
      <c r="E76" s="210" t="s">
        <v>195</v>
      </c>
      <c r="F76" s="211" t="str">
        <f>VLOOKUP(E76,[2]Lookup!F:G,2,0)</f>
        <v>CNNGB</v>
      </c>
      <c r="G76" s="212">
        <v>215</v>
      </c>
      <c r="H76" s="212">
        <v>290</v>
      </c>
      <c r="I76" s="212">
        <v>290</v>
      </c>
      <c r="J76" s="206"/>
    </row>
    <row r="77" spans="1:10" ht="14.5">
      <c r="A77" s="210" t="s">
        <v>191</v>
      </c>
      <c r="B77" s="210" t="s">
        <v>189</v>
      </c>
      <c r="C77" s="210" t="s">
        <v>25</v>
      </c>
      <c r="D77" s="210" t="s">
        <v>463</v>
      </c>
      <c r="E77" s="210" t="s">
        <v>195</v>
      </c>
      <c r="F77" s="211" t="str">
        <f>VLOOKUP(E77,[2]Lookup!F:G,2,0)</f>
        <v>CNNGB</v>
      </c>
      <c r="G77" s="212">
        <v>105</v>
      </c>
      <c r="H77" s="212">
        <v>175</v>
      </c>
      <c r="I77" s="212">
        <v>175</v>
      </c>
      <c r="J77" s="206"/>
    </row>
    <row r="78" spans="1:10" ht="14.5">
      <c r="A78" s="210" t="s">
        <v>193</v>
      </c>
      <c r="B78" s="210" t="s">
        <v>200</v>
      </c>
      <c r="C78" s="210" t="s">
        <v>464</v>
      </c>
      <c r="D78" s="210" t="s">
        <v>465</v>
      </c>
      <c r="E78" s="210" t="s">
        <v>466</v>
      </c>
      <c r="F78" s="211" t="str">
        <f>VLOOKUP(E78,[2]Lookup!F:G,2,0)</f>
        <v>CNTAO</v>
      </c>
      <c r="G78" s="212">
        <v>575</v>
      </c>
      <c r="H78" s="212">
        <v>715</v>
      </c>
      <c r="I78" s="212">
        <v>715</v>
      </c>
      <c r="J78" s="206"/>
    </row>
    <row r="79" spans="1:10" ht="14.5">
      <c r="A79" s="210" t="s">
        <v>191</v>
      </c>
      <c r="B79" s="210" t="s">
        <v>194</v>
      </c>
      <c r="C79" s="210" t="s">
        <v>467</v>
      </c>
      <c r="D79" s="210" t="s">
        <v>468</v>
      </c>
      <c r="E79" s="210" t="s">
        <v>359</v>
      </c>
      <c r="F79" s="210" t="str">
        <f>VLOOKUP(E79,[2]Lookup!F:G,2,0)</f>
        <v>CNSHA</v>
      </c>
      <c r="G79" s="212">
        <v>135</v>
      </c>
      <c r="H79" s="212">
        <v>290</v>
      </c>
      <c r="I79" s="212">
        <v>290</v>
      </c>
      <c r="J79" s="206"/>
    </row>
    <row r="80" spans="1:10" ht="14.5">
      <c r="A80" s="210" t="s">
        <v>191</v>
      </c>
      <c r="B80" s="210" t="s">
        <v>194</v>
      </c>
      <c r="C80" s="221" t="s">
        <v>467</v>
      </c>
      <c r="D80" s="221" t="s">
        <v>468</v>
      </c>
      <c r="E80" s="210" t="s">
        <v>195</v>
      </c>
      <c r="F80" s="211" t="str">
        <f>VLOOKUP(E80,[2]Lookup!F:G,2,0)</f>
        <v>CNNGB</v>
      </c>
      <c r="G80" s="212">
        <v>160</v>
      </c>
      <c r="H80" s="212">
        <v>170</v>
      </c>
      <c r="I80" s="212">
        <v>170</v>
      </c>
      <c r="J80" s="206"/>
    </row>
    <row r="81" spans="1:10" ht="14.5">
      <c r="A81" s="206"/>
      <c r="B81" s="206"/>
      <c r="C81" s="206"/>
      <c r="D81" s="206"/>
      <c r="E81" s="206"/>
      <c r="F81" s="206"/>
      <c r="G81" s="206"/>
      <c r="H81" s="206"/>
      <c r="I81" s="206"/>
      <c r="J81" s="206"/>
    </row>
    <row r="82" spans="1:10" ht="14.5">
      <c r="A82" s="248" t="s">
        <v>469</v>
      </c>
      <c r="B82" s="249" t="s">
        <v>470</v>
      </c>
      <c r="C82" s="250"/>
      <c r="D82" s="236"/>
      <c r="E82" s="236"/>
      <c r="F82" s="206"/>
      <c r="G82" s="206"/>
      <c r="H82" s="206"/>
      <c r="I82" s="206"/>
      <c r="J82" s="206"/>
    </row>
    <row r="83" spans="1:10" ht="14.5">
      <c r="A83" s="251"/>
      <c r="B83" s="249" t="s">
        <v>471</v>
      </c>
      <c r="C83" s="250"/>
      <c r="D83" s="236"/>
      <c r="E83" s="236"/>
      <c r="F83" s="206"/>
      <c r="G83" s="206"/>
      <c r="H83" s="206"/>
      <c r="I83" s="206"/>
      <c r="J83" s="206"/>
    </row>
    <row r="84" spans="1:10" ht="14.5">
      <c r="A84" s="251"/>
      <c r="B84" s="249" t="s">
        <v>472</v>
      </c>
      <c r="C84" s="250"/>
      <c r="D84" s="236"/>
      <c r="E84" s="236"/>
      <c r="F84" s="206"/>
      <c r="G84" s="206"/>
      <c r="H84" s="206"/>
      <c r="I84" s="206"/>
      <c r="J84" s="206"/>
    </row>
    <row r="85" spans="1:10" ht="14.5">
      <c r="A85"/>
      <c r="B85"/>
      <c r="C85"/>
      <c r="D85"/>
      <c r="E85"/>
      <c r="F85"/>
      <c r="G85"/>
      <c r="H85"/>
      <c r="I85"/>
    </row>
  </sheetData>
  <mergeCells count="1">
    <mergeCell ref="G19:I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BA66-80BC-494A-956E-29EE4D3F1952}">
  <dimension ref="B4:D29"/>
  <sheetViews>
    <sheetView workbookViewId="0">
      <selection activeCell="D21" sqref="D21"/>
    </sheetView>
  </sheetViews>
  <sheetFormatPr defaultRowHeight="14.5"/>
  <cols>
    <col min="2" max="4" width="48" customWidth="1"/>
  </cols>
  <sheetData>
    <row r="4" spans="2:4">
      <c r="B4" s="360"/>
      <c r="C4" s="360"/>
      <c r="D4" s="360"/>
    </row>
    <row r="5" spans="2:4" ht="19" thickBot="1">
      <c r="B5" s="361" t="s">
        <v>476</v>
      </c>
      <c r="C5" s="361"/>
      <c r="D5" s="361"/>
    </row>
    <row r="6" spans="2:4" ht="39.5" thickBot="1">
      <c r="B6" s="362" t="s">
        <v>102</v>
      </c>
      <c r="C6" s="363" t="s">
        <v>103</v>
      </c>
      <c r="D6" s="364" t="s">
        <v>477</v>
      </c>
    </row>
    <row r="7" spans="2:4" ht="15" thickBot="1">
      <c r="B7" s="365" t="s">
        <v>5</v>
      </c>
      <c r="C7" s="366" t="s">
        <v>478</v>
      </c>
      <c r="D7" s="367" t="s">
        <v>479</v>
      </c>
    </row>
    <row r="8" spans="2:4" ht="15" thickBot="1">
      <c r="B8" s="365" t="s">
        <v>104</v>
      </c>
      <c r="C8" s="366" t="s">
        <v>478</v>
      </c>
      <c r="D8" s="367" t="s">
        <v>479</v>
      </c>
    </row>
    <row r="9" spans="2:4" ht="15" thickBot="1">
      <c r="B9" s="365" t="s">
        <v>480</v>
      </c>
      <c r="C9" s="366" t="s">
        <v>481</v>
      </c>
      <c r="D9" s="367" t="s">
        <v>479</v>
      </c>
    </row>
    <row r="10" spans="2:4" ht="15" thickBot="1">
      <c r="B10" s="365" t="s">
        <v>105</v>
      </c>
      <c r="C10" s="366" t="s">
        <v>481</v>
      </c>
      <c r="D10" s="367" t="s">
        <v>479</v>
      </c>
    </row>
    <row r="11" spans="2:4" ht="15" thickBot="1">
      <c r="B11" s="365" t="s">
        <v>106</v>
      </c>
      <c r="C11" s="366" t="s">
        <v>481</v>
      </c>
      <c r="D11" s="367" t="s">
        <v>479</v>
      </c>
    </row>
    <row r="12" spans="2:4" ht="15" thickBot="1">
      <c r="B12" s="365" t="s">
        <v>482</v>
      </c>
      <c r="C12" s="366" t="s">
        <v>481</v>
      </c>
      <c r="D12" s="367" t="s">
        <v>479</v>
      </c>
    </row>
    <row r="13" spans="2:4" ht="15" thickBot="1">
      <c r="B13" s="365" t="s">
        <v>108</v>
      </c>
      <c r="C13" s="366" t="s">
        <v>483</v>
      </c>
      <c r="D13" s="367" t="s">
        <v>479</v>
      </c>
    </row>
    <row r="14" spans="2:4" ht="15" thickBot="1">
      <c r="B14" s="365" t="s">
        <v>484</v>
      </c>
      <c r="C14" s="366" t="s">
        <v>483</v>
      </c>
      <c r="D14" s="367" t="s">
        <v>479</v>
      </c>
    </row>
    <row r="15" spans="2:4" ht="15" thickBot="1">
      <c r="B15" s="365" t="s">
        <v>107</v>
      </c>
      <c r="C15" s="366" t="s">
        <v>481</v>
      </c>
      <c r="D15" s="367" t="s">
        <v>479</v>
      </c>
    </row>
    <row r="16" spans="2:4" ht="15" thickBot="1">
      <c r="B16" s="365" t="s">
        <v>7</v>
      </c>
      <c r="C16" s="366" t="s">
        <v>481</v>
      </c>
      <c r="D16" s="367" t="s">
        <v>479</v>
      </c>
    </row>
    <row r="17" spans="2:4" ht="15" thickBot="1">
      <c r="B17" s="365" t="s">
        <v>110</v>
      </c>
      <c r="C17" s="366" t="s">
        <v>478</v>
      </c>
      <c r="D17" s="367" t="s">
        <v>479</v>
      </c>
    </row>
    <row r="18" spans="2:4" ht="15" thickBot="1">
      <c r="B18" s="365" t="s">
        <v>109</v>
      </c>
      <c r="C18" s="366" t="s">
        <v>481</v>
      </c>
      <c r="D18" s="367" t="s">
        <v>479</v>
      </c>
    </row>
    <row r="19" spans="2:4" ht="15" thickBot="1">
      <c r="B19" s="365" t="s">
        <v>485</v>
      </c>
      <c r="C19" s="366" t="s">
        <v>486</v>
      </c>
      <c r="D19" s="367" t="s">
        <v>479</v>
      </c>
    </row>
    <row r="20" spans="2:4" ht="15" thickBot="1">
      <c r="B20" s="365" t="s">
        <v>487</v>
      </c>
      <c r="C20" s="366" t="s">
        <v>486</v>
      </c>
      <c r="D20" s="367" t="s">
        <v>479</v>
      </c>
    </row>
    <row r="21" spans="2:4" ht="15" thickBot="1">
      <c r="B21" s="365" t="s">
        <v>258</v>
      </c>
      <c r="C21" s="366" t="s">
        <v>488</v>
      </c>
      <c r="D21" s="367" t="s">
        <v>479</v>
      </c>
    </row>
    <row r="22" spans="2:4">
      <c r="B22" s="368"/>
      <c r="C22" s="368"/>
      <c r="D22" s="368"/>
    </row>
    <row r="23" spans="2:4" ht="15" thickBot="1">
      <c r="B23" s="369" t="s">
        <v>158</v>
      </c>
      <c r="C23" s="369"/>
      <c r="D23" s="370"/>
    </row>
    <row r="24" spans="2:4" ht="39.5" thickBot="1">
      <c r="B24" s="362" t="s">
        <v>102</v>
      </c>
      <c r="C24" s="363" t="s">
        <v>103</v>
      </c>
      <c r="D24" s="364" t="s">
        <v>477</v>
      </c>
    </row>
    <row r="25" spans="2:4" ht="15" thickBot="1">
      <c r="B25" s="365" t="s">
        <v>5</v>
      </c>
      <c r="C25" s="366">
        <v>12</v>
      </c>
      <c r="D25" s="367" t="s">
        <v>479</v>
      </c>
    </row>
    <row r="26" spans="2:4" ht="15" thickBot="1">
      <c r="B26" s="365" t="s">
        <v>104</v>
      </c>
      <c r="C26" s="366">
        <v>12</v>
      </c>
      <c r="D26" s="367" t="s">
        <v>479</v>
      </c>
    </row>
    <row r="27" spans="2:4" ht="15" thickBot="1">
      <c r="B27" s="365" t="s">
        <v>110</v>
      </c>
      <c r="C27" s="366">
        <v>12</v>
      </c>
      <c r="D27" s="367" t="s">
        <v>479</v>
      </c>
    </row>
    <row r="28" spans="2:4" ht="15" thickBot="1">
      <c r="B28" s="365" t="s">
        <v>109</v>
      </c>
      <c r="C28" s="366">
        <v>12</v>
      </c>
      <c r="D28" s="367" t="s">
        <v>479</v>
      </c>
    </row>
    <row r="29" spans="2:4">
      <c r="B29" s="360"/>
      <c r="C29" s="360"/>
      <c r="D29" s="360"/>
    </row>
  </sheetData>
  <mergeCells count="2">
    <mergeCell ref="B5:D5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CSE</vt:lpstr>
      <vt:lpstr>NOR(PA)</vt:lpstr>
      <vt:lpstr>CSE (MAOVLD)</vt:lpstr>
      <vt:lpstr>NOR (MAOVLD)</vt:lpstr>
      <vt:lpstr>In guage guideline</vt:lpstr>
      <vt:lpstr>DG surcharges</vt:lpstr>
      <vt:lpstr>Yangtze ARB Add-on</vt:lpstr>
      <vt:lpstr>Free Time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Yip</dc:creator>
  <cp:lastModifiedBy>Jane Yap</cp:lastModifiedBy>
  <dcterms:created xsi:type="dcterms:W3CDTF">2019-09-17T08:31:21Z</dcterms:created>
  <dcterms:modified xsi:type="dcterms:W3CDTF">2026-08-12T02:20:42Z</dcterms:modified>
</cp:coreProperties>
</file>