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NEA to AUFRE" sheetId="1" r:id="rId5"/>
    <sheet state="visible" name="ex NEA to AUADL " sheetId="2" r:id="rId6"/>
  </sheets>
  <definedNames/>
  <calcPr/>
</workbook>
</file>

<file path=xl/sharedStrings.xml><?xml version="1.0" encoding="utf-8"?>
<sst xmlns="http://schemas.openxmlformats.org/spreadsheetml/2006/main" count="782" uniqueCount="182">
  <si>
    <t>ONE Minimum Rate Guideline</t>
  </si>
  <si>
    <t xml:space="preserve">Validity: </t>
  </si>
  <si>
    <t>15 Aug to 31 Aug 2026</t>
  </si>
  <si>
    <t>ISSUE DATE:</t>
  </si>
  <si>
    <t>POL</t>
  </si>
  <si>
    <t>POD</t>
  </si>
  <si>
    <t>Service</t>
  </si>
  <si>
    <t>20'</t>
  </si>
  <si>
    <t>40'</t>
  </si>
  <si>
    <t>40'HC</t>
  </si>
  <si>
    <t>20'Reefer</t>
  </si>
  <si>
    <t>40'HC Reefer</t>
  </si>
  <si>
    <t>20'NOR</t>
  </si>
  <si>
    <t>40'HC NOR</t>
  </si>
  <si>
    <t>USD</t>
  </si>
  <si>
    <t>China</t>
  </si>
  <si>
    <t>Qingdao</t>
  </si>
  <si>
    <t>Fremantle</t>
  </si>
  <si>
    <t>WAU</t>
  </si>
  <si>
    <t xml:space="preserve">Adelaide </t>
  </si>
  <si>
    <t>AU1</t>
  </si>
  <si>
    <t>Shanghai</t>
  </si>
  <si>
    <t>Ningbo</t>
  </si>
  <si>
    <t>Xingang</t>
  </si>
  <si>
    <t>Dalian</t>
  </si>
  <si>
    <t>on top of Qingdao</t>
  </si>
  <si>
    <t>Changsha</t>
  </si>
  <si>
    <t>on top of Shanghai</t>
  </si>
  <si>
    <t>Changshu</t>
  </si>
  <si>
    <t>Changzhou</t>
  </si>
  <si>
    <t>Chengdu</t>
  </si>
  <si>
    <t>Chengdu (via CNYTN by rail)</t>
  </si>
  <si>
    <t>on top of Yantian</t>
  </si>
  <si>
    <t>Chongqing (via CNSHA)</t>
  </si>
  <si>
    <t>Chongqing (via CNYTN by rail)</t>
  </si>
  <si>
    <t>Guiyang (via CNYTN by rail)</t>
  </si>
  <si>
    <t>Jiangyin</t>
  </si>
  <si>
    <t>Jiujiang (CNJIU)</t>
  </si>
  <si>
    <t>Lianyungang</t>
  </si>
  <si>
    <t>Nanchang (via CNSHA)</t>
  </si>
  <si>
    <t>Nanchang (via CNYTN by rail)</t>
  </si>
  <si>
    <t>Nanchang</t>
  </si>
  <si>
    <t>Nanjing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</si>
  <si>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</si>
  <si>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</si>
  <si>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</si>
  <si>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</si>
  <si>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</si>
  <si>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</si>
  <si>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</si>
  <si>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</si>
  <si>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</si>
  <si>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</si>
  <si>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</si>
  <si>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</si>
  <si>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</si>
  <si>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</si>
  <si>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</si>
  <si>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</si>
  <si>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</si>
  <si>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</si>
  <si>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</si>
  <si>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</si>
  <si>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</si>
  <si>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Yantian</t>
  </si>
  <si>
    <t>Shekou</t>
  </si>
  <si>
    <t>Huangpu</t>
  </si>
  <si>
    <t>on top of Hong Kong</t>
  </si>
  <si>
    <t>Ganzhou (CNGAN)</t>
  </si>
  <si>
    <t xml:space="preserve">on top of Yantian </t>
  </si>
  <si>
    <t>Zhuzhou (CNZUU)</t>
  </si>
  <si>
    <t>PRDA*</t>
  </si>
  <si>
    <t>PRDB*</t>
  </si>
  <si>
    <t>Korea</t>
  </si>
  <si>
    <t>Busan</t>
  </si>
  <si>
    <t>Taiwan (include ISL)</t>
  </si>
  <si>
    <t>Kaohsiung</t>
  </si>
  <si>
    <t>Keelung (Direct POL)</t>
  </si>
  <si>
    <t>Taichung</t>
  </si>
  <si>
    <t>on top of Kaohsiung</t>
  </si>
  <si>
    <t>Taoyuan</t>
  </si>
  <si>
    <t xml:space="preserve">Taichung 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</si>
  <si>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</si>
  <si>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</si>
  <si>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</si>
  <si>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</si>
  <si>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Ganzhou/Nanchang/Chongqing/Zhuzhou/Guiyang (Rail):</t>
  </si>
  <si>
    <t>D2 must be moved in pairs,  odd number of D2 containers are prohibited</t>
  </si>
  <si>
    <t>Surcharges</t>
  </si>
  <si>
    <t>20'RF</t>
  </si>
  <si>
    <t>40'HC RF</t>
  </si>
  <si>
    <t>Ganzhou/Nanchang/Chongqing/Zhuzhou/Guiyang (Rail)</t>
  </si>
  <si>
    <t>OBS</t>
  </si>
  <si>
    <t>ONE Bunker Surcharge</t>
  </si>
  <si>
    <t>included</t>
  </si>
  <si>
    <t>THD</t>
  </si>
  <si>
    <t>Terminal Handling Destination</t>
  </si>
  <si>
    <t>ONE Tariff</t>
  </si>
  <si>
    <t xml:space="preserve">OBS 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</si>
  <si>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</si>
  <si>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</si>
  <si>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</si>
  <si>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</si>
  <si>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</si>
  <si>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</si>
  <si>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</si>
  <si>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</si>
  <si>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</si>
  <si>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</si>
  <si>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Remarks:</t>
  </si>
  <si>
    <t>Rate incl OBS, EFS (ex KR &amp; HK), PSS, subject to ISL/THL/THD/LND/DOC/DOF/EFS and all applicable surcharges as per ONE tariff</t>
  </si>
  <si>
    <t>Ex TW only: Rate incl OBS/ISL, PSS, subject to THL/THD/LND/DOC/DOF and all applicable surcharges as per ONE tariff</t>
  </si>
  <si>
    <t>DRS</t>
  </si>
  <si>
    <t>Adelaide Channel Windening Levy - Applicable for import/export Adelaide only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</si>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</sst>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3C09]d\ mmm\ yyyy"/>
    <numFmt numFmtId="165" formatCode="d mmm yyyy"/>
    <numFmt numFmtId="166" formatCode="[$-409]d\-mmm\-yy"/>
    <numFmt numFmtId="167" formatCode="&quot;$&quot;#,##0"/>
  </numFmts>
  <fonts count="34">
    <font>
      <sz val="11.0"/>
      <color theme="1"/>
      <name val="Calibri"/>
      <scheme val="minor"/>
    </font>
    <font>
      <b/>
      <sz val="28.0"/>
      <color rgb="FFBD0F72"/>
      <name val="Calibri"/>
    </font>
    <font/>
    <font>
      <b/>
      <sz val="11.0"/>
      <color theme="1"/>
      <name val="Calibri"/>
    </font>
    <font>
      <b/>
      <sz val="20.0"/>
      <color rgb="FFBD0F72"/>
      <name val="Calibri"/>
    </font>
    <font>
      <b/>
      <sz val="12.0"/>
      <color rgb="FFBD0F72"/>
      <name val="Calibri"/>
    </font>
    <font>
      <b/>
      <sz val="11.0"/>
      <color rgb="FFCCD3D1"/>
      <name val="Calibri"/>
    </font>
    <font>
      <b/>
      <sz val="11.0"/>
      <color theme="0"/>
      <name val="Calibri"/>
    </font>
    <font>
      <b/>
      <sz val="11.0"/>
      <color rgb="FFFF0000"/>
      <name val="Calibri"/>
    </font>
    <font>
      <sz val="11.0"/>
      <color rgb="FFBD0F72"/>
      <name val="Calibri"/>
    </font>
    <font>
      <sz val="11.0"/>
      <color rgb="FF0000FF"/>
      <name val="Calibri"/>
    </font>
    <font>
      <sz val="11.0"/>
      <color theme="0"/>
      <name val="Calibri"/>
    </font>
    <font>
      <b/>
      <sz val="11.0"/>
      <color rgb="FFBD0F72"/>
      <name val="Calibri"/>
    </font>
    <font>
      <sz val="11.0"/>
      <color theme="1"/>
      <name val="Calibri"/>
    </font>
    <font>
      <sz val="11.0"/>
      <color rgb="FFFFFFFF"/>
      <name val="Calibri"/>
    </font>
    <font>
      <sz val="11.0"/>
      <color rgb="FFF2F2F2"/>
      <name val="Calibri"/>
    </font>
    <font>
      <sz val="11.0"/>
      <color rgb="FF980000"/>
      <name val="Calibri"/>
    </font>
    <font>
      <b/>
      <sz val="14.0"/>
      <color rgb="FFBD0F72"/>
      <name val="Calibri"/>
    </font>
    <font>
      <b/>
      <sz val="11.0"/>
      <color rgb="FFFFFF00"/>
      <name val="Calibri"/>
    </font>
    <font>
      <b/>
      <sz val="11.0"/>
      <color rgb="FFD0CECE"/>
      <name val="Calibri"/>
    </font>
    <font>
      <b/>
      <sz val="11.0"/>
      <color rgb="FFD8D8D8"/>
      <name val="Calibri"/>
    </font>
    <font>
      <b/>
      <sz val="11.0"/>
      <color rgb="FF000000"/>
      <name val="Calibri"/>
    </font>
    <font>
      <b/>
      <u/>
      <sz val="18.0"/>
      <color theme="1"/>
      <name val="Calibri"/>
    </font>
    <font>
      <b/>
      <sz val="11.0"/>
      <color rgb="FFFF0000"/>
      <name val="Times New Roman"/>
    </font>
    <font>
      <sz val="12.0"/>
      <color rgb="FFFF0000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FF"/>
      <name val="Calibri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CC0099"/>
        <bgColor rgb="FFCC0099"/>
      </patternFill>
    </fill>
  </fills>
  <borders count="101">
    <border/>
    <border>
      <left style="medium">
        <color rgb="FF000000"/>
      </left>
      <top/>
    </border>
    <border>
      <top/>
    </border>
    <border>
      <right/>
      <top/>
    </border>
    <border>
      <left/>
      <right/>
      <top/>
      <bottom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0" fillId="0" fontId="3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ont="1">
      <alignment horizontal="right"/>
    </xf>
    <xf borderId="9" fillId="2" fontId="4" numFmtId="0" xfId="0" applyAlignment="1" applyBorder="1" applyFont="1">
      <alignment horizontal="left" readingOrder="0"/>
    </xf>
    <xf borderId="9" fillId="2" fontId="1" numFmtId="0" xfId="0" applyAlignment="1" applyBorder="1" applyFont="1">
      <alignment horizontal="center"/>
    </xf>
    <xf borderId="9" fillId="2" fontId="4" numFmtId="0" xfId="0" applyAlignment="1" applyBorder="1" applyFont="1">
      <alignment horizontal="left"/>
    </xf>
    <xf borderId="9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left" vertical="top"/>
    </xf>
    <xf borderId="9" fillId="2" fontId="5" numFmtId="164" xfId="0" applyAlignment="1" applyBorder="1" applyFont="1" applyNumberFormat="1">
      <alignment horizontal="left" vertical="top"/>
    </xf>
    <xf borderId="9" fillId="2" fontId="5" numFmtId="165" xfId="0" applyAlignment="1" applyBorder="1" applyFont="1" applyNumberFormat="1">
      <alignment horizontal="left" readingOrder="0" vertical="top"/>
    </xf>
    <xf borderId="10" fillId="3" fontId="6" numFmtId="166" xfId="0" applyBorder="1" applyFill="1" applyFont="1" applyNumberFormat="1"/>
    <xf borderId="11" fillId="3" fontId="7" numFmtId="0" xfId="0" applyAlignment="1" applyBorder="1" applyFont="1">
      <alignment horizontal="left" vertical="center"/>
    </xf>
    <xf borderId="12" fillId="3" fontId="7" numFmtId="0" xfId="0" applyAlignment="1" applyBorder="1" applyFont="1">
      <alignment horizontal="left" vertical="center"/>
    </xf>
    <xf borderId="13" fillId="3" fontId="7" numFmtId="0" xfId="0" applyAlignment="1" applyBorder="1" applyFont="1">
      <alignment horizontal="center" vertical="top"/>
    </xf>
    <xf borderId="14" fillId="3" fontId="7" numFmtId="0" xfId="0" applyAlignment="1" applyBorder="1" applyFont="1">
      <alignment horizontal="center" vertical="top"/>
    </xf>
    <xf borderId="15" fillId="3" fontId="7" numFmtId="0" xfId="0" applyAlignment="1" applyBorder="1" applyFont="1">
      <alignment horizontal="center" vertical="top"/>
    </xf>
    <xf borderId="13" fillId="4" fontId="8" numFmtId="0" xfId="0" applyAlignment="1" applyBorder="1" applyFill="1" applyFont="1">
      <alignment horizontal="center" vertical="top"/>
    </xf>
    <xf borderId="15" fillId="4" fontId="8" numFmtId="0" xfId="0" applyAlignment="1" applyBorder="1" applyFont="1">
      <alignment horizontal="center" vertical="top"/>
    </xf>
    <xf borderId="16" fillId="3" fontId="7" numFmtId="0" xfId="0" applyAlignment="1" applyBorder="1" applyFont="1">
      <alignment horizontal="center" vertical="top"/>
    </xf>
    <xf borderId="14" fillId="4" fontId="8" numFmtId="0" xfId="0" applyAlignment="1" applyBorder="1" applyFont="1">
      <alignment horizontal="center" vertical="top"/>
    </xf>
    <xf borderId="8" fillId="3" fontId="6" numFmtId="166" xfId="0" applyAlignment="1" applyBorder="1" applyFont="1" applyNumberFormat="1">
      <alignment horizontal="right" vertical="top"/>
    </xf>
    <xf borderId="17" fillId="0" fontId="2" numFmtId="0" xfId="0" applyBorder="1" applyFont="1"/>
    <xf borderId="18" fillId="0" fontId="2" numFmtId="0" xfId="0" applyBorder="1" applyFont="1"/>
    <xf borderId="19" fillId="4" fontId="8" numFmtId="0" xfId="0" applyAlignment="1" applyBorder="1" applyFont="1">
      <alignment horizontal="center" vertical="top"/>
    </xf>
    <xf borderId="20" fillId="3" fontId="7" numFmtId="0" xfId="0" applyAlignment="1" applyBorder="1" applyFont="1">
      <alignment horizontal="center" vertical="top"/>
    </xf>
    <xf borderId="21" fillId="3" fontId="7" numFmtId="0" xfId="0" applyAlignment="1" applyBorder="1" applyFont="1">
      <alignment horizontal="center" vertical="top"/>
    </xf>
    <xf borderId="22" fillId="3" fontId="7" numFmtId="0" xfId="0" applyAlignment="1" applyBorder="1" applyFont="1">
      <alignment horizontal="center" vertical="top"/>
    </xf>
    <xf borderId="23" fillId="3" fontId="7" numFmtId="0" xfId="0" applyAlignment="1" applyBorder="1" applyFont="1">
      <alignment horizontal="center" vertical="top"/>
    </xf>
    <xf borderId="24" fillId="3" fontId="7" numFmtId="166" xfId="0" applyBorder="1" applyFont="1" applyNumberFormat="1"/>
    <xf borderId="21" fillId="3" fontId="6" numFmtId="0" xfId="0" applyAlignment="1" applyBorder="1" applyFont="1">
      <alignment horizontal="center" vertical="top"/>
    </xf>
    <xf borderId="25" fillId="0" fontId="9" numFmtId="166" xfId="0" applyBorder="1" applyFont="1" applyNumberFormat="1"/>
    <xf borderId="22" fillId="3" fontId="6" numFmtId="0" xfId="0" applyAlignment="1" applyBorder="1" applyFont="1">
      <alignment horizontal="center" vertical="top"/>
    </xf>
    <xf borderId="26" fillId="0" fontId="9" numFmtId="166" xfId="0" applyBorder="1" applyFont="1" applyNumberFormat="1"/>
    <xf borderId="27" fillId="3" fontId="6" numFmtId="0" xfId="0" applyAlignment="1" applyBorder="1" applyFont="1">
      <alignment horizontal="center" vertical="top"/>
    </xf>
    <xf borderId="28" fillId="0" fontId="10" numFmtId="1" xfId="0" applyAlignment="1" applyBorder="1" applyFont="1" applyNumberFormat="1">
      <alignment horizontal="center" readingOrder="0" vertical="top"/>
    </xf>
    <xf borderId="25" fillId="0" fontId="10" numFmtId="1" xfId="0" applyAlignment="1" applyBorder="1" applyFont="1" applyNumberFormat="1">
      <alignment horizontal="center" readingOrder="0" vertical="top"/>
    </xf>
    <xf borderId="29" fillId="0" fontId="10" numFmtId="1" xfId="0" applyAlignment="1" applyBorder="1" applyFont="1" applyNumberFormat="1">
      <alignment horizontal="center" vertical="top"/>
    </xf>
    <xf borderId="28" fillId="0" fontId="9" numFmtId="1" xfId="0" applyAlignment="1" applyBorder="1" applyFont="1" applyNumberFormat="1">
      <alignment horizontal="center" vertical="top"/>
    </xf>
    <xf borderId="25" fillId="0" fontId="9" numFmtId="1" xfId="0" applyAlignment="1" applyBorder="1" applyFont="1" applyNumberFormat="1">
      <alignment horizontal="center" vertical="top"/>
    </xf>
    <xf borderId="30" fillId="5" fontId="9" numFmtId="1" xfId="0" applyAlignment="1" applyBorder="1" applyFill="1" applyFont="1" applyNumberFormat="1">
      <alignment horizontal="center" vertical="top"/>
    </xf>
    <xf borderId="29" fillId="0" fontId="9" numFmtId="1" xfId="0" applyAlignment="1" applyBorder="1" applyFont="1" applyNumberFormat="1">
      <alignment horizontal="center" vertical="top"/>
    </xf>
    <xf borderId="29" fillId="6" fontId="10" numFmtId="1" xfId="0" applyAlignment="1" applyBorder="1" applyFill="1" applyFont="1" applyNumberFormat="1">
      <alignment horizontal="center" readingOrder="0" vertical="top"/>
    </xf>
    <xf borderId="31" fillId="0" fontId="9" numFmtId="1" xfId="0" applyAlignment="1" applyBorder="1" applyFont="1" applyNumberFormat="1">
      <alignment horizontal="center" vertical="top"/>
    </xf>
    <xf borderId="0" fillId="0" fontId="3" numFmtId="1" xfId="0" applyFont="1" applyNumberFormat="1"/>
    <xf borderId="32" fillId="0" fontId="9" numFmtId="1" xfId="0" applyAlignment="1" applyBorder="1" applyFont="1" applyNumberFormat="1">
      <alignment horizontal="center" vertical="top"/>
    </xf>
    <xf borderId="33" fillId="6" fontId="10" numFmtId="1" xfId="0" applyAlignment="1" applyBorder="1" applyFont="1" applyNumberFormat="1">
      <alignment horizontal="center" vertical="top"/>
    </xf>
    <xf borderId="34" fillId="0" fontId="9" numFmtId="166" xfId="0" applyBorder="1" applyFont="1" applyNumberFormat="1"/>
    <xf borderId="35" fillId="0" fontId="9" numFmtId="166" xfId="0" applyBorder="1" applyFont="1" applyNumberFormat="1"/>
    <xf borderId="34" fillId="0" fontId="9" numFmtId="1" xfId="0" applyAlignment="1" applyBorder="1" applyFont="1" applyNumberFormat="1">
      <alignment horizontal="center" vertical="top"/>
    </xf>
    <xf borderId="35" fillId="0" fontId="9" numFmtId="1" xfId="0" applyAlignment="1" applyBorder="1" applyFont="1" applyNumberFormat="1">
      <alignment horizontal="center" vertical="top"/>
    </xf>
    <xf borderId="36" fillId="0" fontId="9" numFmtId="1" xfId="0" applyAlignment="1" applyBorder="1" applyFont="1" applyNumberFormat="1">
      <alignment horizontal="center" vertical="top"/>
    </xf>
    <xf borderId="33" fillId="6" fontId="9" numFmtId="1" xfId="0" applyAlignment="1" applyBorder="1" applyFont="1" applyNumberFormat="1">
      <alignment horizontal="center" vertical="top"/>
    </xf>
    <xf borderId="36" fillId="7" fontId="9" numFmtId="1" xfId="0" applyAlignment="1" applyBorder="1" applyFill="1" applyFont="1" applyNumberFormat="1">
      <alignment horizontal="center" vertical="top"/>
    </xf>
    <xf borderId="29" fillId="6" fontId="9" numFmtId="1" xfId="0" applyAlignment="1" applyBorder="1" applyFont="1" applyNumberFormat="1">
      <alignment horizontal="center" vertical="top"/>
    </xf>
    <xf borderId="37" fillId="0" fontId="9" numFmtId="1" xfId="0" applyAlignment="1" applyBorder="1" applyFont="1" applyNumberFormat="1">
      <alignment horizontal="center" vertical="top"/>
    </xf>
    <xf borderId="36" fillId="6" fontId="9" numFmtId="1" xfId="0" applyAlignment="1" applyBorder="1" applyFont="1" applyNumberFormat="1">
      <alignment horizontal="center" vertical="top"/>
    </xf>
    <xf borderId="34" fillId="3" fontId="11" numFmtId="166" xfId="0" applyBorder="1" applyFont="1" applyNumberFormat="1"/>
    <xf borderId="38" fillId="0" fontId="9" numFmtId="1" xfId="0" applyAlignment="1" applyBorder="1" applyFont="1" applyNumberFormat="1">
      <alignment horizontal="center" vertical="top"/>
    </xf>
    <xf borderId="38" fillId="3" fontId="11" numFmtId="1" xfId="0" applyAlignment="1" applyBorder="1" applyFont="1" applyNumberFormat="1">
      <alignment horizontal="center" vertical="top"/>
    </xf>
    <xf borderId="34" fillId="3" fontId="11" numFmtId="1" xfId="0" applyAlignment="1" applyBorder="1" applyFont="1" applyNumberFormat="1">
      <alignment horizontal="center" vertical="top"/>
    </xf>
    <xf borderId="0" fillId="0" fontId="12" numFmtId="167" xfId="0" applyAlignment="1" applyFont="1" applyNumberFormat="1">
      <alignment horizontal="center"/>
    </xf>
    <xf borderId="39" fillId="3" fontId="11" numFmtId="1" xfId="0" applyAlignment="1" applyBorder="1" applyFont="1" applyNumberFormat="1">
      <alignment horizontal="center" vertical="top"/>
    </xf>
    <xf borderId="0" fillId="0" fontId="13" numFmtId="0" xfId="0" applyAlignment="1" applyFont="1">
      <alignment horizontal="left"/>
    </xf>
    <xf borderId="36" fillId="3" fontId="11" numFmtId="1" xfId="0" applyAlignment="1" applyBorder="1" applyFont="1" applyNumberFormat="1">
      <alignment horizontal="center" vertical="top"/>
    </xf>
    <xf borderId="40" fillId="3" fontId="11" numFmtId="1" xfId="0" applyAlignment="1" applyBorder="1" applyFont="1" applyNumberFormat="1">
      <alignment horizontal="center" vertical="top"/>
    </xf>
    <xf borderId="39" fillId="3" fontId="11" numFmtId="166" xfId="0" applyBorder="1" applyFont="1" applyNumberFormat="1"/>
    <xf borderId="34" fillId="3" fontId="11" numFmtId="0" xfId="0" applyAlignment="1" applyBorder="1" applyFont="1">
      <alignment horizontal="left"/>
    </xf>
    <xf borderId="34" fillId="4" fontId="12" numFmtId="0" xfId="0" applyAlignment="1" applyBorder="1" applyFont="1">
      <alignment horizontal="left"/>
    </xf>
    <xf borderId="34" fillId="4" fontId="12" numFmtId="1" xfId="0" applyAlignment="1" applyBorder="1" applyFont="1" applyNumberFormat="1">
      <alignment horizontal="center" vertical="top"/>
    </xf>
    <xf borderId="36" fillId="4" fontId="12" numFmtId="1" xfId="0" applyAlignment="1" applyBorder="1" applyFont="1" applyNumberFormat="1">
      <alignment horizontal="center" vertical="top"/>
    </xf>
    <xf borderId="0" fillId="4" fontId="12" numFmtId="167" xfId="0" applyAlignment="1" applyFont="1" applyNumberFormat="1">
      <alignment horizontal="center" readingOrder="0"/>
    </xf>
    <xf borderId="0" fillId="0" fontId="12" numFmtId="167" xfId="0" applyAlignment="1" applyFont="1" applyNumberFormat="1">
      <alignment horizontal="center" readingOrder="0"/>
    </xf>
    <xf borderId="4" fillId="4" fontId="9" numFmtId="0" xfId="0" applyAlignment="1" applyBorder="1" applyFont="1">
      <alignment horizontal="left"/>
    </xf>
    <xf borderId="34" fillId="3" fontId="14" numFmtId="0" xfId="0" applyAlignment="1" applyBorder="1" applyFont="1">
      <alignment horizontal="left" readingOrder="0"/>
    </xf>
    <xf borderId="34" fillId="4" fontId="9" numFmtId="0" xfId="0" applyAlignment="1" applyBorder="1" applyFont="1">
      <alignment horizontal="left"/>
    </xf>
    <xf borderId="38" fillId="4" fontId="9" numFmtId="1" xfId="0" applyAlignment="1" applyBorder="1" applyFont="1" applyNumberFormat="1">
      <alignment horizontal="center" vertical="top"/>
    </xf>
    <xf borderId="34" fillId="4" fontId="9" numFmtId="1" xfId="0" applyAlignment="1" applyBorder="1" applyFont="1" applyNumberFormat="1">
      <alignment horizontal="center" vertical="top"/>
    </xf>
    <xf borderId="36" fillId="4" fontId="9" numFmtId="1" xfId="0" applyAlignment="1" applyBorder="1" applyFont="1" applyNumberFormat="1">
      <alignment horizontal="center" vertical="top"/>
    </xf>
    <xf borderId="4" fillId="4" fontId="12" numFmtId="167" xfId="0" applyAlignment="1" applyBorder="1" applyFont="1" applyNumberFormat="1">
      <alignment horizontal="center" readingOrder="0"/>
    </xf>
    <xf borderId="34" fillId="4" fontId="9" numFmtId="0" xfId="0" applyAlignment="1" applyBorder="1" applyFont="1">
      <alignment horizontal="left" readingOrder="0"/>
    </xf>
    <xf borderId="4" fillId="5" fontId="12" numFmtId="167" xfId="0" applyAlignment="1" applyBorder="1" applyFont="1" applyNumberFormat="1">
      <alignment horizontal="center"/>
    </xf>
    <xf borderId="4" fillId="5" fontId="13" numFmtId="0" xfId="0" applyAlignment="1" applyBorder="1" applyFont="1">
      <alignment horizontal="left"/>
    </xf>
    <xf borderId="4" fillId="4" fontId="12" numFmtId="167" xfId="0" applyAlignment="1" applyBorder="1" applyFont="1" applyNumberFormat="1">
      <alignment horizontal="center"/>
    </xf>
    <xf borderId="34" fillId="3" fontId="14" numFmtId="0" xfId="0" applyAlignment="1" applyBorder="1" applyFont="1">
      <alignment readingOrder="0"/>
    </xf>
    <xf borderId="8" fillId="3" fontId="7" numFmtId="166" xfId="0" applyBorder="1" applyFont="1" applyNumberFormat="1"/>
    <xf borderId="21" fillId="3" fontId="11" numFmtId="0" xfId="0" applyAlignment="1" applyBorder="1" applyFont="1">
      <alignment horizontal="left"/>
    </xf>
    <xf borderId="21" fillId="3" fontId="11" numFmtId="166" xfId="0" applyBorder="1" applyFont="1" applyNumberFormat="1"/>
    <xf borderId="23" fillId="3" fontId="11" numFmtId="166" xfId="0" applyBorder="1" applyFont="1" applyNumberFormat="1"/>
    <xf borderId="20" fillId="3" fontId="11" numFmtId="1" xfId="0" applyAlignment="1" applyBorder="1" applyFont="1" applyNumberFormat="1">
      <alignment horizontal="center" vertical="top"/>
    </xf>
    <xf borderId="21" fillId="3" fontId="11" numFmtId="1" xfId="0" applyAlignment="1" applyBorder="1" applyFont="1" applyNumberFormat="1">
      <alignment horizontal="center" vertical="top"/>
    </xf>
    <xf borderId="22" fillId="3" fontId="11" numFmtId="1" xfId="0" applyAlignment="1" applyBorder="1" applyFont="1" applyNumberFormat="1">
      <alignment horizontal="center" vertical="top"/>
    </xf>
    <xf borderId="41" fillId="3" fontId="11" numFmtId="1" xfId="0" applyAlignment="1" applyBorder="1" applyFont="1" applyNumberFormat="1">
      <alignment horizontal="center" vertical="top"/>
    </xf>
    <xf borderId="42" fillId="3" fontId="11" numFmtId="1" xfId="0" applyAlignment="1" applyBorder="1" applyFont="1" applyNumberFormat="1">
      <alignment horizontal="center" vertical="top"/>
    </xf>
    <xf borderId="43" fillId="3" fontId="7" numFmtId="166" xfId="0" applyAlignment="1" applyBorder="1" applyFont="1" applyNumberFormat="1">
      <alignment horizontal="left" vertical="center"/>
    </xf>
    <xf borderId="13" fillId="0" fontId="9" numFmtId="1" xfId="0" applyAlignment="1" applyBorder="1" applyFont="1" applyNumberFormat="1">
      <alignment horizontal="center" vertical="top"/>
    </xf>
    <xf borderId="15" fillId="5" fontId="9" numFmtId="1" xfId="0" applyAlignment="1" applyBorder="1" applyFont="1" applyNumberFormat="1">
      <alignment horizontal="center" vertical="top"/>
    </xf>
    <xf borderId="44" fillId="3" fontId="11" numFmtId="0" xfId="0" applyAlignment="1" applyBorder="1" applyFont="1">
      <alignment horizontal="left"/>
    </xf>
    <xf borderId="45" fillId="0" fontId="2" numFmtId="0" xfId="0" applyBorder="1" applyFont="1"/>
    <xf borderId="44" fillId="3" fontId="11" numFmtId="166" xfId="0" applyBorder="1" applyFont="1" applyNumberFormat="1"/>
    <xf borderId="34" fillId="3" fontId="15" numFmtId="0" xfId="0" applyAlignment="1" applyBorder="1" applyFont="1">
      <alignment horizontal="left"/>
    </xf>
    <xf borderId="46" fillId="3" fontId="11" numFmtId="166" xfId="0" applyBorder="1" applyFont="1" applyNumberFormat="1"/>
    <xf borderId="44" fillId="3" fontId="11" numFmtId="1" xfId="0" applyAlignment="1" applyBorder="1" applyFont="1" applyNumberFormat="1">
      <alignment horizontal="center" vertical="top"/>
    </xf>
    <xf borderId="46" fillId="3" fontId="11" numFmtId="1" xfId="0" applyAlignment="1" applyBorder="1" applyFont="1" applyNumberFormat="1">
      <alignment horizontal="center" vertical="top"/>
    </xf>
    <xf borderId="47" fillId="3" fontId="11" numFmtId="1" xfId="0" applyAlignment="1" applyBorder="1" applyFont="1" applyNumberFormat="1">
      <alignment horizontal="center" vertical="top"/>
    </xf>
    <xf borderId="48" fillId="3" fontId="7" numFmtId="166" xfId="0" applyAlignment="1" applyBorder="1" applyFont="1" applyNumberFormat="1">
      <alignment horizontal="left" vertical="center"/>
    </xf>
    <xf borderId="14" fillId="0" fontId="9" numFmtId="166" xfId="0" applyBorder="1" applyFont="1" applyNumberFormat="1"/>
    <xf borderId="14" fillId="0" fontId="9" numFmtId="1" xfId="0" applyAlignment="1" applyBorder="1" applyFont="1" applyNumberFormat="1">
      <alignment horizontal="center" vertical="top"/>
    </xf>
    <xf borderId="49" fillId="0" fontId="9" numFmtId="1" xfId="0" applyAlignment="1" applyBorder="1" applyFont="1" applyNumberFormat="1">
      <alignment horizontal="center" vertical="top"/>
    </xf>
    <xf borderId="50" fillId="0" fontId="2" numFmtId="0" xfId="0" applyBorder="1" applyFont="1"/>
    <xf borderId="21" fillId="3" fontId="15" numFmtId="0" xfId="0" applyAlignment="1" applyBorder="1" applyFont="1">
      <alignment horizontal="left"/>
    </xf>
    <xf borderId="15" fillId="0" fontId="9" numFmtId="1" xfId="0" applyAlignment="1" applyBorder="1" applyFont="1" applyNumberFormat="1">
      <alignment horizontal="center" vertical="top"/>
    </xf>
    <xf borderId="23" fillId="3" fontId="11" numFmtId="1" xfId="0" applyAlignment="1" applyBorder="1" applyFont="1" applyNumberFormat="1">
      <alignment horizontal="center" vertical="top"/>
    </xf>
    <xf borderId="27" fillId="3" fontId="11" numFmtId="1" xfId="0" applyAlignment="1" applyBorder="1" applyFont="1" applyNumberFormat="1">
      <alignment horizontal="center" vertical="top"/>
    </xf>
    <xf borderId="34" fillId="4" fontId="9" numFmtId="0" xfId="0" applyAlignment="1" applyBorder="1" applyFont="1">
      <alignment readingOrder="0"/>
    </xf>
    <xf borderId="41" fillId="4" fontId="9" numFmtId="1" xfId="0" applyAlignment="1" applyBorder="1" applyFont="1" applyNumberFormat="1">
      <alignment horizontal="center" vertical="top"/>
    </xf>
    <xf borderId="44" fillId="4" fontId="9" numFmtId="1" xfId="0" applyAlignment="1" applyBorder="1" applyFont="1" applyNumberFormat="1">
      <alignment horizontal="center" vertical="top"/>
    </xf>
    <xf borderId="42" fillId="4" fontId="9" numFmtId="1" xfId="0" applyAlignment="1" applyBorder="1" applyFont="1" applyNumberFormat="1">
      <alignment horizontal="center" vertical="top"/>
    </xf>
    <xf borderId="0" fillId="0" fontId="3" numFmtId="0" xfId="0" applyAlignment="1" applyFont="1">
      <alignment readingOrder="0"/>
    </xf>
    <xf borderId="51" fillId="0" fontId="2" numFmtId="0" xfId="0" applyBorder="1" applyFont="1"/>
    <xf borderId="34" fillId="3" fontId="15" numFmtId="166" xfId="0" applyBorder="1" applyFont="1" applyNumberFormat="1"/>
    <xf borderId="52" fillId="3" fontId="7" numFmtId="166" xfId="0" applyAlignment="1" applyBorder="1" applyFont="1" applyNumberFormat="1">
      <alignment horizontal="left"/>
    </xf>
    <xf borderId="53" fillId="3" fontId="11" numFmtId="1" xfId="0" applyAlignment="1" applyBorder="1" applyFont="1" applyNumberFormat="1">
      <alignment horizontal="center" vertical="top"/>
    </xf>
    <xf borderId="54" fillId="0" fontId="9" numFmtId="166" xfId="0" applyBorder="1" applyFont="1" applyNumberFormat="1"/>
    <xf borderId="55" fillId="3" fontId="11" numFmtId="1" xfId="0" applyAlignment="1" applyBorder="1" applyFont="1" applyNumberFormat="1">
      <alignment horizontal="center" vertical="top"/>
    </xf>
    <xf borderId="56" fillId="0" fontId="9" numFmtId="166" xfId="0" applyBorder="1" applyFont="1" applyNumberFormat="1"/>
    <xf borderId="33" fillId="3" fontId="11" numFmtId="1" xfId="0" applyAlignment="1" applyBorder="1" applyFont="1" applyNumberFormat="1">
      <alignment horizontal="center" vertical="top"/>
    </xf>
    <xf borderId="57" fillId="0" fontId="9" numFmtId="1" xfId="0" applyAlignment="1" applyBorder="1" applyFont="1" applyNumberFormat="1">
      <alignment horizontal="center" vertical="top"/>
    </xf>
    <xf borderId="54" fillId="0" fontId="9" numFmtId="1" xfId="0" applyAlignment="1" applyBorder="1" applyFont="1" applyNumberFormat="1">
      <alignment horizontal="center" vertical="top"/>
    </xf>
    <xf borderId="58" fillId="0" fontId="9" numFmtId="1" xfId="0" applyAlignment="1" applyBorder="1" applyFont="1" applyNumberFormat="1">
      <alignment horizontal="center" vertical="top"/>
    </xf>
    <xf borderId="58" fillId="5" fontId="9" numFmtId="1" xfId="0" applyAlignment="1" applyBorder="1" applyFont="1" applyNumberFormat="1">
      <alignment horizontal="center" vertical="top"/>
    </xf>
    <xf borderId="34" fillId="4" fontId="16" numFmtId="166" xfId="0" applyBorder="1" applyFont="1" applyNumberFormat="1"/>
    <xf borderId="59" fillId="6" fontId="9" numFmtId="1" xfId="0" applyAlignment="1" applyBorder="1" applyFont="1" applyNumberFormat="1">
      <alignment horizontal="center" vertical="top"/>
    </xf>
    <xf borderId="39" fillId="4" fontId="9" numFmtId="1" xfId="0" applyAlignment="1" applyBorder="1" applyFont="1" applyNumberFormat="1">
      <alignment horizontal="center" vertical="top"/>
    </xf>
    <xf borderId="43" fillId="4" fontId="12" numFmtId="166" xfId="0" applyAlignment="1" applyBorder="1" applyFont="1" applyNumberFormat="1">
      <alignment horizontal="left" vertical="center"/>
    </xf>
    <xf borderId="30" fillId="7" fontId="9" numFmtId="1" xfId="0" applyAlignment="1" applyBorder="1" applyFont="1" applyNumberFormat="1">
      <alignment horizontal="center" vertical="top"/>
    </xf>
    <xf borderId="60" fillId="3" fontId="11" numFmtId="1" xfId="0" applyAlignment="1" applyBorder="1" applyFont="1" applyNumberFormat="1">
      <alignment horizontal="center" vertical="top"/>
    </xf>
    <xf borderId="61" fillId="3" fontId="11" numFmtId="1" xfId="0" applyAlignment="1" applyBorder="1" applyFont="1" applyNumberFormat="1">
      <alignment horizontal="center" vertical="top"/>
    </xf>
    <xf borderId="41" fillId="3" fontId="14" numFmtId="1" xfId="0" applyAlignment="1" applyBorder="1" applyFont="1" applyNumberFormat="1">
      <alignment horizontal="center" readingOrder="0" vertical="top"/>
    </xf>
    <xf borderId="62" fillId="3" fontId="11" numFmtId="166" xfId="0" applyBorder="1" applyFont="1" applyNumberFormat="1"/>
    <xf borderId="54" fillId="5" fontId="9" numFmtId="166" xfId="0" applyBorder="1" applyFont="1" applyNumberFormat="1"/>
    <xf borderId="30" fillId="3" fontId="11" numFmtId="1" xfId="0" applyAlignment="1" applyBorder="1" applyFont="1" applyNumberFormat="1">
      <alignment horizontal="center" vertical="top"/>
    </xf>
    <xf borderId="63" fillId="0" fontId="9" numFmtId="1" xfId="0" applyAlignment="1" applyBorder="1" applyFont="1" applyNumberFormat="1">
      <alignment horizontal="center" vertical="top"/>
    </xf>
    <xf borderId="64" fillId="0" fontId="9" numFmtId="1" xfId="0" applyAlignment="1" applyBorder="1" applyFont="1" applyNumberFormat="1">
      <alignment horizontal="center" vertical="top"/>
    </xf>
    <xf borderId="65" fillId="6" fontId="9" numFmtId="1" xfId="0" applyAlignment="1" applyBorder="1" applyFont="1" applyNumberFormat="1">
      <alignment horizontal="center" vertical="top"/>
    </xf>
    <xf borderId="36" fillId="6" fontId="11" numFmtId="1" xfId="0" applyAlignment="1" applyBorder="1" applyFont="1" applyNumberFormat="1">
      <alignment horizontal="center" vertical="top"/>
    </xf>
    <xf borderId="21" fillId="3" fontId="15" numFmtId="166" xfId="0" applyBorder="1" applyFont="1" applyNumberFormat="1"/>
    <xf borderId="26" fillId="0" fontId="9" numFmtId="1" xfId="0" applyAlignment="1" applyBorder="1" applyFont="1" applyNumberFormat="1">
      <alignment horizontal="center" vertical="top"/>
    </xf>
    <xf borderId="66" fillId="3" fontId="11" numFmtId="1" xfId="0" applyAlignment="1" applyBorder="1" applyFont="1" applyNumberFormat="1">
      <alignment horizontal="center" vertical="top"/>
    </xf>
    <xf borderId="67" fillId="3" fontId="11" numFmtId="1" xfId="0" applyAlignment="1" applyBorder="1" applyFont="1" applyNumberFormat="1">
      <alignment horizontal="center" vertical="top"/>
    </xf>
    <xf borderId="68" fillId="3" fontId="11" numFmtId="1" xfId="0" applyAlignment="1" applyBorder="1" applyFont="1" applyNumberFormat="1">
      <alignment horizontal="center" vertical="top"/>
    </xf>
    <xf borderId="22" fillId="6" fontId="11" numFmtId="1" xfId="0" applyAlignment="1" applyBorder="1" applyFont="1" applyNumberFormat="1">
      <alignment horizontal="center" vertical="top"/>
    </xf>
    <xf borderId="33" fillId="3" fontId="11" numFmtId="166" xfId="0" applyBorder="1" applyFont="1" applyNumberFormat="1"/>
    <xf borderId="0" fillId="0" fontId="8" numFmtId="0" xfId="0" applyFont="1"/>
    <xf borderId="0" fillId="0" fontId="8" numFmtId="0" xfId="0" applyAlignment="1" applyFont="1">
      <alignment vertical="center"/>
    </xf>
    <xf borderId="62" fillId="3" fontId="11" numFmtId="1" xfId="0" applyAlignment="1" applyBorder="1" applyFont="1" applyNumberFormat="1">
      <alignment horizontal="center" vertical="top"/>
    </xf>
    <xf borderId="34" fillId="6" fontId="11" numFmtId="1" xfId="0" applyAlignment="1" applyBorder="1" applyFont="1" applyNumberFormat="1">
      <alignment horizontal="center" vertical="top"/>
    </xf>
    <xf borderId="0" fillId="4" fontId="8" numFmtId="0" xfId="0" applyAlignment="1" applyFont="1">
      <alignment readingOrder="0"/>
    </xf>
    <xf borderId="0" fillId="4" fontId="8" numFmtId="0" xfId="0" applyFont="1"/>
    <xf borderId="0" fillId="4" fontId="3" numFmtId="0" xfId="0" applyFont="1"/>
    <xf borderId="69" fillId="3" fontId="11" numFmtId="1" xfId="0" applyAlignment="1" applyBorder="1" applyFont="1" applyNumberFormat="1">
      <alignment horizontal="center" vertical="top"/>
    </xf>
    <xf borderId="21" fillId="6" fontId="11" numFmtId="1" xfId="0" applyAlignment="1" applyBorder="1" applyFont="1" applyNumberFormat="1">
      <alignment horizontal="center" vertical="top"/>
    </xf>
    <xf borderId="70" fillId="2" fontId="17" numFmtId="0" xfId="0" applyAlignment="1" applyBorder="1" applyFont="1">
      <alignment horizontal="center"/>
    </xf>
    <xf borderId="71" fillId="0" fontId="2" numFmtId="0" xfId="0" applyBorder="1" applyFont="1"/>
    <xf borderId="72" fillId="0" fontId="2" numFmtId="0" xfId="0" applyBorder="1" applyFont="1"/>
    <xf borderId="24" fillId="2" fontId="17" numFmtId="0" xfId="0" applyAlignment="1" applyBorder="1" applyFont="1">
      <alignment horizontal="center"/>
    </xf>
    <xf borderId="4" fillId="2" fontId="17" numFmtId="0" xfId="0" applyAlignment="1" applyBorder="1" applyFont="1">
      <alignment horizontal="center"/>
    </xf>
    <xf borderId="73" fillId="3" fontId="6" numFmtId="0" xfId="0" applyAlignment="1" applyBorder="1" applyFont="1">
      <alignment horizontal="center" vertical="top"/>
    </xf>
    <xf borderId="74" fillId="3" fontId="6" numFmtId="0" xfId="0" applyAlignment="1" applyBorder="1" applyFont="1">
      <alignment horizontal="center" vertical="top"/>
    </xf>
    <xf borderId="33" fillId="3" fontId="6" numFmtId="0" xfId="0" applyAlignment="1" applyBorder="1" applyFont="1">
      <alignment horizontal="center" vertical="top"/>
    </xf>
    <xf borderId="75" fillId="3" fontId="6" numFmtId="0" xfId="0" applyAlignment="1" applyBorder="1" applyFont="1">
      <alignment horizontal="center" vertical="top"/>
    </xf>
    <xf borderId="38" fillId="3" fontId="18" numFmtId="0" xfId="0" applyBorder="1" applyFont="1"/>
    <xf borderId="35" fillId="3" fontId="18" numFmtId="0" xfId="0" applyAlignment="1" applyBorder="1" applyFont="1">
      <alignment horizontal="center"/>
    </xf>
    <xf borderId="76" fillId="0" fontId="2" numFmtId="0" xfId="0" applyBorder="1" applyFont="1"/>
    <xf borderId="77" fillId="0" fontId="2" numFmtId="0" xfId="0" applyBorder="1" applyFont="1"/>
    <xf borderId="34" fillId="4" fontId="8" numFmtId="0" xfId="0" applyAlignment="1" applyBorder="1" applyFont="1">
      <alignment horizontal="center"/>
    </xf>
    <xf borderId="38" fillId="3" fontId="6" numFmtId="0" xfId="0" applyBorder="1" applyFont="1"/>
    <xf borderId="35" fillId="3" fontId="6" numFmtId="0" xfId="0" applyAlignment="1" applyBorder="1" applyFont="1">
      <alignment horizontal="center"/>
    </xf>
    <xf borderId="78" fillId="0" fontId="2" numFmtId="0" xfId="0" applyBorder="1" applyFont="1"/>
    <xf borderId="79" fillId="3" fontId="6" numFmtId="0" xfId="0" applyAlignment="1" applyBorder="1" applyFont="1">
      <alignment horizontal="center"/>
    </xf>
    <xf borderId="80" fillId="3" fontId="6" numFmtId="0" xfId="0" applyAlignment="1" applyBorder="1" applyFont="1">
      <alignment horizontal="center"/>
    </xf>
    <xf borderId="34" fillId="3" fontId="6" numFmtId="0" xfId="0" applyAlignment="1" applyBorder="1" applyFont="1">
      <alignment horizontal="center"/>
    </xf>
    <xf borderId="38" fillId="3" fontId="19" numFmtId="0" xfId="0" applyBorder="1" applyFont="1"/>
    <xf borderId="35" fillId="3" fontId="19" numFmtId="0" xfId="0" applyAlignment="1" applyBorder="1" applyFont="1">
      <alignment horizontal="center"/>
    </xf>
    <xf borderId="36" fillId="3" fontId="6" numFmtId="0" xfId="0" applyAlignment="1" applyBorder="1" applyFont="1">
      <alignment horizontal="center"/>
    </xf>
    <xf borderId="41" fillId="3" fontId="6" numFmtId="0" xfId="0" applyBorder="1" applyFont="1"/>
    <xf borderId="81" fillId="3" fontId="6" numFmtId="0" xfId="0" applyAlignment="1" applyBorder="1" applyFont="1">
      <alignment horizontal="center"/>
    </xf>
    <xf borderId="82" fillId="0" fontId="2" numFmtId="0" xfId="0" applyBorder="1" applyFont="1"/>
    <xf borderId="83" fillId="0" fontId="2" numFmtId="0" xfId="0" applyBorder="1" applyFont="1"/>
    <xf borderId="4" fillId="2" fontId="12" numFmtId="0" xfId="0" applyBorder="1" applyFont="1"/>
    <xf borderId="41" fillId="3" fontId="20" numFmtId="0" xfId="0" applyBorder="1" applyFont="1"/>
    <xf borderId="4" fillId="4" fontId="12" numFmtId="0" xfId="0" applyAlignment="1" applyBorder="1" applyFont="1">
      <alignment readingOrder="0" vertical="bottom"/>
    </xf>
    <xf borderId="4" fillId="4" fontId="13" numFmtId="0" xfId="0" applyAlignment="1" applyBorder="1" applyFont="1">
      <alignment vertical="bottom"/>
    </xf>
    <xf borderId="81" fillId="3" fontId="20" numFmtId="0" xfId="0" applyAlignment="1" applyBorder="1" applyFont="1">
      <alignment horizontal="center"/>
    </xf>
    <xf borderId="4" fillId="4" fontId="12" numFmtId="0" xfId="0" applyBorder="1" applyFont="1"/>
    <xf borderId="84" fillId="0" fontId="2" numFmtId="0" xfId="0" applyBorder="1" applyFont="1"/>
    <xf borderId="20" fillId="3" fontId="18" numFmtId="0" xfId="0" applyAlignment="1" applyBorder="1" applyFont="1">
      <alignment vertical="center"/>
    </xf>
    <xf borderId="85" fillId="3" fontId="18" numFmtId="0" xfId="0" applyAlignment="1" applyBorder="1" applyFont="1">
      <alignment horizontal="left" shrinkToFit="0" vertical="center" wrapText="1"/>
    </xf>
    <xf borderId="86" fillId="0" fontId="2" numFmtId="0" xfId="0" applyBorder="1" applyFont="1"/>
    <xf borderId="4" fillId="8" fontId="21" numFmtId="0" xfId="0" applyBorder="1" applyFill="1" applyFont="1"/>
    <xf borderId="87" fillId="0" fontId="2" numFmtId="0" xfId="0" applyBorder="1" applyFont="1"/>
    <xf borderId="4" fillId="8" fontId="12" numFmtId="0" xfId="0" applyBorder="1" applyFont="1"/>
    <xf borderId="21" fillId="3" fontId="18" numFmtId="0" xfId="0" applyAlignment="1" applyBorder="1" applyFont="1">
      <alignment horizontal="center" vertical="center"/>
    </xf>
    <xf borderId="4" fillId="2" fontId="21" numFmtId="0" xfId="0" applyBorder="1" applyFont="1"/>
    <xf borderId="22" fillId="3" fontId="18" numFmtId="0" xfId="0" applyAlignment="1" applyBorder="1" applyFont="1">
      <alignment horizontal="center" vertical="center"/>
    </xf>
    <xf borderId="88" fillId="4" fontId="22" numFmtId="0" xfId="0" applyAlignment="1" applyBorder="1" applyFont="1">
      <alignment vertical="bottom"/>
    </xf>
    <xf borderId="88" fillId="4" fontId="13" numFmtId="0" xfId="0" applyAlignment="1" applyBorder="1" applyFont="1">
      <alignment vertical="bottom"/>
    </xf>
    <xf borderId="88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88" fillId="0" fontId="2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89" fillId="0" fontId="13" numFmtId="0" xfId="0" applyAlignment="1" applyBorder="1" applyFont="1">
      <alignment vertical="bottom"/>
    </xf>
    <xf borderId="90" fillId="5" fontId="24" numFmtId="0" xfId="0" applyAlignment="1" applyBorder="1" applyFont="1">
      <alignment horizontal="center" shrinkToFit="0" vertical="bottom" wrapText="1"/>
    </xf>
    <xf borderId="91" fillId="9" fontId="25" numFmtId="0" xfId="0" applyAlignment="1" applyBorder="1" applyFill="1" applyFont="1">
      <alignment shrinkToFit="0" vertical="bottom" wrapText="1"/>
    </xf>
    <xf borderId="91" fillId="9" fontId="25" numFmtId="0" xfId="0" applyAlignment="1" applyBorder="1" applyFont="1">
      <alignment horizontal="center" shrinkToFit="0" vertical="bottom" wrapText="1"/>
    </xf>
    <xf borderId="92" fillId="5" fontId="24" numFmtId="0" xfId="0" applyAlignment="1" applyBorder="1" applyFont="1">
      <alignment horizontal="center" shrinkToFit="0" wrapText="1"/>
    </xf>
    <xf borderId="91" fillId="5" fontId="26" numFmtId="0" xfId="0" applyAlignment="1" applyBorder="1" applyFont="1">
      <alignment shrinkToFit="0" vertical="bottom" wrapText="1"/>
    </xf>
    <xf borderId="70" fillId="5" fontId="27" numFmtId="0" xfId="0" applyAlignment="1" applyBorder="1" applyFont="1">
      <alignment horizontal="center" shrinkToFit="0" vertical="bottom" wrapText="1"/>
    </xf>
    <xf borderId="91" fillId="5" fontId="13" numFmtId="0" xfId="0" applyAlignment="1" applyBorder="1" applyFont="1">
      <alignment vertical="bottom"/>
    </xf>
    <xf borderId="93" fillId="0" fontId="2" numFmtId="0" xfId="0" applyBorder="1" applyFont="1"/>
    <xf borderId="91" fillId="0" fontId="27" numFmtId="0" xfId="0" applyAlignment="1" applyBorder="1" applyFont="1">
      <alignment horizontal="center" shrinkToFit="0" vertical="bottom" wrapText="1"/>
    </xf>
    <xf borderId="91" fillId="4" fontId="24" numFmtId="0" xfId="0" applyAlignment="1" applyBorder="1" applyFont="1">
      <alignment horizontal="center" shrinkToFit="0" vertical="bottom" wrapText="1"/>
    </xf>
    <xf borderId="94" fillId="0" fontId="2" numFmtId="0" xfId="0" applyBorder="1" applyFont="1"/>
    <xf borderId="95" fillId="0" fontId="26" numFmtId="0" xfId="0" applyAlignment="1" applyBorder="1" applyFont="1">
      <alignment shrinkToFit="0" vertical="bottom" wrapText="1"/>
    </xf>
    <xf borderId="96" fillId="0" fontId="2" numFmtId="0" xfId="0" applyBorder="1" applyFont="1"/>
    <xf borderId="97" fillId="0" fontId="2" numFmtId="0" xfId="0" applyBorder="1" applyFont="1"/>
    <xf borderId="98" fillId="0" fontId="13" numFmtId="0" xfId="0" applyAlignment="1" applyBorder="1" applyFont="1">
      <alignment vertical="bottom"/>
    </xf>
    <xf borderId="99" fillId="0" fontId="2" numFmtId="0" xfId="0" applyBorder="1" applyFont="1"/>
    <xf borderId="92" fillId="4" fontId="28" numFmtId="0" xfId="0" applyAlignment="1" applyBorder="1" applyFont="1">
      <alignment horizontal="center" shrinkToFit="0" wrapText="1"/>
    </xf>
    <xf borderId="91" fillId="0" fontId="24" numFmtId="0" xfId="0" applyAlignment="1" applyBorder="1" applyFont="1">
      <alignment horizontal="center" shrinkToFit="0" vertical="bottom" wrapText="1"/>
    </xf>
    <xf borderId="4" fillId="4" fontId="3" numFmtId="0" xfId="0" applyAlignment="1" applyBorder="1" applyFont="1">
      <alignment vertical="bottom"/>
    </xf>
    <xf borderId="100" fillId="0" fontId="29" numFmtId="0" xfId="0" applyAlignment="1" applyBorder="1" applyFont="1">
      <alignment vertical="bottom"/>
    </xf>
    <xf borderId="100" fillId="0" fontId="13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35" fillId="9" fontId="30" numFmtId="0" xfId="0" applyAlignment="1" applyBorder="1" applyFont="1">
      <alignment horizontal="center" vertical="bottom"/>
    </xf>
    <xf borderId="76" fillId="9" fontId="13" numFmtId="0" xfId="0" applyAlignment="1" applyBorder="1" applyFont="1">
      <alignment vertical="bottom"/>
    </xf>
    <xf borderId="76" fillId="9" fontId="30" numFmtId="0" xfId="0" applyAlignment="1" applyBorder="1" applyFont="1">
      <alignment horizontal="center" vertical="bottom"/>
    </xf>
    <xf borderId="35" fillId="9" fontId="14" numFmtId="0" xfId="0" applyAlignment="1" applyBorder="1" applyFont="1">
      <alignment horizontal="center" vertical="bottom"/>
    </xf>
    <xf borderId="76" fillId="9" fontId="31" numFmtId="0" xfId="0" applyAlignment="1" applyBorder="1" applyFont="1">
      <alignment horizontal="center" vertical="bottom"/>
    </xf>
    <xf borderId="35" fillId="9" fontId="31" numFmtId="0" xfId="0" applyAlignment="1" applyBorder="1" applyFont="1">
      <alignment horizontal="center" vertical="bottom"/>
    </xf>
    <xf borderId="76" fillId="9" fontId="14" numFmtId="0" xfId="0" applyAlignment="1" applyBorder="1" applyFont="1">
      <alignment horizontal="center" vertical="bottom"/>
    </xf>
    <xf borderId="35" fillId="5" fontId="13" numFmtId="0" xfId="0" applyAlignment="1" applyBorder="1" applyFont="1">
      <alignment horizontal="center" vertical="bottom"/>
    </xf>
    <xf borderId="35" fillId="4" fontId="13" numFmtId="3" xfId="0" applyAlignment="1" applyBorder="1" applyFont="1" applyNumberFormat="1">
      <alignment horizontal="center" vertical="bottom"/>
    </xf>
    <xf borderId="76" fillId="5" fontId="13" numFmtId="3" xfId="0" applyAlignment="1" applyBorder="1" applyFont="1" applyNumberFormat="1">
      <alignment horizontal="center" vertical="bottom"/>
    </xf>
    <xf borderId="35" fillId="5" fontId="13" numFmtId="3" xfId="0" applyAlignment="1" applyBorder="1" applyFont="1" applyNumberFormat="1">
      <alignment horizontal="center" vertical="bottom"/>
    </xf>
    <xf borderId="35" fillId="5" fontId="32" numFmtId="0" xfId="0" applyAlignment="1" applyBorder="1" applyFont="1">
      <alignment horizontal="center" vertical="bottom"/>
    </xf>
    <xf borderId="35" fillId="5" fontId="32" numFmtId="3" xfId="0" applyAlignment="1" applyBorder="1" applyFont="1" applyNumberFormat="1">
      <alignment horizontal="center" vertical="bottom"/>
    </xf>
    <xf quotePrefix="1" borderId="0" fillId="5" fontId="3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37.86"/>
    <col customWidth="1" min="2" max="2" width="29.43"/>
    <col customWidth="1" min="3" max="3" width="18.71"/>
    <col customWidth="1" min="4" max="4" width="13.43"/>
    <col customWidth="1" min="5" max="7" width="15.86"/>
    <col customWidth="1" min="8" max="8" width="17.71"/>
    <col customWidth="1" min="9" max="9" width="20.14"/>
    <col customWidth="1" min="10" max="11" width="17.71"/>
    <col customWidth="1" min="12" max="12" width="8.86"/>
    <col customWidth="1" hidden="1" min="13" max="15" width="12.57"/>
    <col customWidth="1" hidden="1" min="16" max="16" width="25.0"/>
    <col customWidth="1" min="17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9" t="s">
        <v>1</v>
      </c>
      <c r="B3" s="10" t="s">
        <v>2</v>
      </c>
      <c r="C3" s="11"/>
      <c r="D3" s="11"/>
      <c r="E3" s="11"/>
      <c r="F3" s="11"/>
      <c r="G3" s="11"/>
      <c r="H3" s="13"/>
      <c r="I3" s="14" t="s">
        <v>3</v>
      </c>
      <c r="J3" s="16">
        <v>46241.0</v>
      </c>
      <c r="K3" s="1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7"/>
      <c r="B4" s="18" t="s">
        <v>4</v>
      </c>
      <c r="C4" s="18" t="s">
        <v>5</v>
      </c>
      <c r="D4" s="19" t="s">
        <v>6</v>
      </c>
      <c r="E4" s="20" t="s">
        <v>7</v>
      </c>
      <c r="F4" s="21" t="s">
        <v>8</v>
      </c>
      <c r="G4" s="22" t="s">
        <v>9</v>
      </c>
      <c r="H4" s="23" t="s">
        <v>10</v>
      </c>
      <c r="I4" s="24" t="s">
        <v>11</v>
      </c>
      <c r="J4" s="23" t="s">
        <v>12</v>
      </c>
      <c r="K4" s="24" t="s">
        <v>13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27"/>
      <c r="B5" s="28"/>
      <c r="C5" s="28"/>
      <c r="D5" s="29"/>
      <c r="E5" s="31" t="s">
        <v>14</v>
      </c>
      <c r="F5" s="32" t="s">
        <v>14</v>
      </c>
      <c r="G5" s="33" t="s">
        <v>14</v>
      </c>
      <c r="H5" s="31" t="s">
        <v>14</v>
      </c>
      <c r="I5" s="33" t="s">
        <v>14</v>
      </c>
      <c r="J5" s="31" t="s">
        <v>14</v>
      </c>
      <c r="K5" s="33" t="s">
        <v>14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35" t="s">
        <v>15</v>
      </c>
      <c r="B6" s="37" t="s">
        <v>16</v>
      </c>
      <c r="C6" s="37" t="s">
        <v>17</v>
      </c>
      <c r="D6" s="39" t="s">
        <v>18</v>
      </c>
      <c r="E6" s="41">
        <v>2200.0</v>
      </c>
      <c r="F6" s="42">
        <v>4400.0</v>
      </c>
      <c r="G6" s="43">
        <f t="shared" ref="G6:G17" si="2">F6</f>
        <v>4400</v>
      </c>
      <c r="H6" s="44">
        <f>E6+100</f>
        <v>2300</v>
      </c>
      <c r="I6" s="46">
        <f>G6+200</f>
        <v>4600</v>
      </c>
      <c r="J6" s="41">
        <v>1900.0</v>
      </c>
      <c r="K6" s="48"/>
      <c r="L6" s="5"/>
      <c r="M6" s="5"/>
      <c r="N6" s="5"/>
      <c r="O6" s="5"/>
      <c r="P6" s="50"/>
      <c r="Q6" s="50"/>
      <c r="R6" s="50"/>
      <c r="S6" s="50"/>
      <c r="T6" s="50"/>
      <c r="U6" s="50"/>
      <c r="V6" s="50"/>
      <c r="W6" s="5"/>
      <c r="X6" s="5"/>
      <c r="Y6" s="5"/>
      <c r="Z6" s="5"/>
    </row>
    <row r="7" ht="14.25" customHeight="1">
      <c r="A7" s="35"/>
      <c r="B7" s="53" t="s">
        <v>21</v>
      </c>
      <c r="C7" s="53" t="s">
        <v>17</v>
      </c>
      <c r="D7" s="54" t="s">
        <v>18</v>
      </c>
      <c r="E7" s="44">
        <f t="shared" ref="E7:F7" si="1">E6</f>
        <v>2200</v>
      </c>
      <c r="F7" s="55">
        <f t="shared" si="1"/>
        <v>4400</v>
      </c>
      <c r="G7" s="57">
        <f t="shared" si="2"/>
        <v>4400</v>
      </c>
      <c r="H7" s="44">
        <f t="shared" ref="H7:J7" si="3">H6</f>
        <v>2300</v>
      </c>
      <c r="I7" s="59">
        <f t="shared" si="3"/>
        <v>4600</v>
      </c>
      <c r="J7" s="44">
        <f t="shared" si="3"/>
        <v>1900</v>
      </c>
      <c r="K7" s="60"/>
      <c r="L7" s="5"/>
      <c r="M7" s="5"/>
      <c r="N7" s="5"/>
      <c r="O7" s="5"/>
      <c r="P7" s="50"/>
      <c r="Q7" s="50"/>
      <c r="R7" s="50"/>
      <c r="S7" s="50"/>
      <c r="T7" s="50"/>
      <c r="U7" s="50"/>
      <c r="V7" s="50"/>
      <c r="W7" s="5"/>
      <c r="X7" s="5"/>
      <c r="Y7" s="5"/>
      <c r="Z7" s="5"/>
    </row>
    <row r="8" ht="14.25" customHeight="1">
      <c r="A8" s="35"/>
      <c r="B8" s="53" t="s">
        <v>22</v>
      </c>
      <c r="C8" s="53" t="s">
        <v>17</v>
      </c>
      <c r="D8" s="54" t="s">
        <v>18</v>
      </c>
      <c r="E8" s="44">
        <f t="shared" ref="E8:F8" si="4">E6</f>
        <v>2200</v>
      </c>
      <c r="F8" s="55">
        <f t="shared" si="4"/>
        <v>4400</v>
      </c>
      <c r="G8" s="57">
        <f t="shared" si="2"/>
        <v>4400</v>
      </c>
      <c r="H8" s="44">
        <f t="shared" ref="H8:J8" si="5">H6</f>
        <v>2300</v>
      </c>
      <c r="I8" s="59">
        <f t="shared" si="5"/>
        <v>4600</v>
      </c>
      <c r="J8" s="44">
        <f t="shared" si="5"/>
        <v>1900</v>
      </c>
      <c r="K8" s="60"/>
      <c r="L8" s="5"/>
      <c r="M8" s="5"/>
      <c r="N8" s="5"/>
      <c r="O8" s="5"/>
      <c r="P8" s="50"/>
      <c r="Q8" s="50"/>
      <c r="R8" s="50"/>
      <c r="S8" s="50"/>
      <c r="T8" s="50"/>
      <c r="U8" s="50"/>
      <c r="V8" s="50"/>
      <c r="W8" s="5"/>
      <c r="X8" s="5"/>
      <c r="Y8" s="5"/>
      <c r="Z8" s="5"/>
    </row>
    <row r="9" ht="14.25" customHeight="1">
      <c r="A9" s="35"/>
      <c r="B9" s="53" t="s">
        <v>23</v>
      </c>
      <c r="C9" s="53" t="s">
        <v>17</v>
      </c>
      <c r="D9" s="54" t="s">
        <v>18</v>
      </c>
      <c r="E9" s="44">
        <f t="shared" ref="E9:F9" si="6">E6</f>
        <v>2200</v>
      </c>
      <c r="F9" s="55">
        <f t="shared" si="6"/>
        <v>4400</v>
      </c>
      <c r="G9" s="57">
        <f t="shared" si="2"/>
        <v>4400</v>
      </c>
      <c r="H9" s="64">
        <f t="shared" ref="H9:J9" si="7">H6</f>
        <v>2300</v>
      </c>
      <c r="I9" s="57">
        <f t="shared" si="7"/>
        <v>4600</v>
      </c>
      <c r="J9" s="64">
        <f t="shared" si="7"/>
        <v>1900</v>
      </c>
      <c r="K9" s="62"/>
      <c r="L9" s="5"/>
      <c r="M9" s="67"/>
      <c r="N9" s="67"/>
      <c r="O9" s="67"/>
      <c r="P9" s="69"/>
      <c r="Q9" s="5"/>
      <c r="R9" s="50"/>
      <c r="S9" s="50"/>
      <c r="T9" s="50"/>
      <c r="U9" s="50"/>
      <c r="V9" s="50"/>
      <c r="W9" s="5"/>
      <c r="X9" s="5"/>
      <c r="Y9" s="5"/>
      <c r="Z9" s="5"/>
    </row>
    <row r="10" ht="14.25" customHeight="1">
      <c r="A10" s="35"/>
      <c r="B10" s="63" t="s">
        <v>24</v>
      </c>
      <c r="C10" s="63" t="s">
        <v>17</v>
      </c>
      <c r="D10" s="72" t="s">
        <v>18</v>
      </c>
      <c r="E10" s="65">
        <f t="shared" ref="E10:F10" si="8">E6+M10</f>
        <v>2400</v>
      </c>
      <c r="F10" s="66">
        <f t="shared" si="8"/>
        <v>4600</v>
      </c>
      <c r="G10" s="70">
        <f t="shared" si="2"/>
        <v>4600</v>
      </c>
      <c r="H10" s="65"/>
      <c r="I10" s="70"/>
      <c r="J10" s="65"/>
      <c r="K10" s="70"/>
      <c r="L10" s="5"/>
      <c r="M10" s="67">
        <v>200.0</v>
      </c>
      <c r="N10" s="67">
        <v>200.0</v>
      </c>
      <c r="O10" s="67">
        <v>200.0</v>
      </c>
      <c r="P10" s="69" t="s">
        <v>25</v>
      </c>
      <c r="Q10" s="5"/>
      <c r="R10" s="50"/>
      <c r="S10" s="5"/>
      <c r="T10" s="5"/>
      <c r="U10" s="5"/>
      <c r="V10" s="5"/>
      <c r="W10" s="5"/>
      <c r="X10" s="5"/>
      <c r="Y10" s="5"/>
      <c r="Z10" s="5"/>
    </row>
    <row r="11" ht="14.25" customHeight="1" outlineLevel="1">
      <c r="A11" s="35"/>
      <c r="B11" s="73" t="s">
        <v>26</v>
      </c>
      <c r="C11" s="63" t="s">
        <v>17</v>
      </c>
      <c r="D11" s="72" t="s">
        <v>18</v>
      </c>
      <c r="E11" s="65">
        <f t="shared" ref="E11:E14" si="9">$E$7+M11</f>
        <v>2600</v>
      </c>
      <c r="F11" s="66">
        <f t="shared" ref="F11:F14" si="10">$F$7+N11</f>
        <v>5100</v>
      </c>
      <c r="G11" s="70">
        <f t="shared" si="2"/>
        <v>5100</v>
      </c>
      <c r="H11" s="65"/>
      <c r="I11" s="70"/>
      <c r="J11" s="65"/>
      <c r="K11" s="70"/>
      <c r="L11" s="5"/>
      <c r="M11" s="67">
        <v>400.0</v>
      </c>
      <c r="N11" s="67">
        <v>700.0</v>
      </c>
      <c r="O11" s="67">
        <v>700.0</v>
      </c>
      <c r="P11" s="69" t="s">
        <v>27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 outlineLevel="1">
      <c r="A12" s="35"/>
      <c r="B12" s="73" t="s">
        <v>28</v>
      </c>
      <c r="C12" s="63" t="s">
        <v>17</v>
      </c>
      <c r="D12" s="72" t="s">
        <v>18</v>
      </c>
      <c r="E12" s="65">
        <f t="shared" si="9"/>
        <v>2400</v>
      </c>
      <c r="F12" s="66">
        <f t="shared" si="10"/>
        <v>4600</v>
      </c>
      <c r="G12" s="70">
        <f t="shared" si="2"/>
        <v>4600</v>
      </c>
      <c r="H12" s="65"/>
      <c r="I12" s="70"/>
      <c r="J12" s="65"/>
      <c r="K12" s="70"/>
      <c r="L12" s="5"/>
      <c r="M12" s="67">
        <v>200.0</v>
      </c>
      <c r="N12" s="67">
        <v>200.0</v>
      </c>
      <c r="O12" s="67">
        <v>200.0</v>
      </c>
      <c r="P12" s="69" t="s">
        <v>27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 outlineLevel="1">
      <c r="A13" s="35"/>
      <c r="B13" s="73" t="s">
        <v>29</v>
      </c>
      <c r="C13" s="63" t="s">
        <v>17</v>
      </c>
      <c r="D13" s="72" t="s">
        <v>18</v>
      </c>
      <c r="E13" s="65">
        <f t="shared" si="9"/>
        <v>2450</v>
      </c>
      <c r="F13" s="66">
        <f t="shared" si="10"/>
        <v>4800</v>
      </c>
      <c r="G13" s="70">
        <f t="shared" si="2"/>
        <v>4800</v>
      </c>
      <c r="H13" s="65"/>
      <c r="I13" s="70"/>
      <c r="J13" s="65"/>
      <c r="K13" s="70"/>
      <c r="L13" s="5"/>
      <c r="M13" s="67">
        <v>250.0</v>
      </c>
      <c r="N13" s="67">
        <v>400.0</v>
      </c>
      <c r="O13" s="67">
        <v>400.0</v>
      </c>
      <c r="P13" s="69" t="s">
        <v>27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 outlineLevel="1">
      <c r="A14" s="35"/>
      <c r="B14" s="73" t="s">
        <v>30</v>
      </c>
      <c r="C14" s="63" t="s">
        <v>17</v>
      </c>
      <c r="D14" s="72" t="s">
        <v>18</v>
      </c>
      <c r="E14" s="65">
        <f t="shared" si="9"/>
        <v>3700</v>
      </c>
      <c r="F14" s="66">
        <f t="shared" si="10"/>
        <v>6900</v>
      </c>
      <c r="G14" s="70">
        <f t="shared" si="2"/>
        <v>6900</v>
      </c>
      <c r="H14" s="65"/>
      <c r="I14" s="70"/>
      <c r="J14" s="65"/>
      <c r="K14" s="70"/>
      <c r="L14" s="5"/>
      <c r="M14" s="67">
        <v>1500.0</v>
      </c>
      <c r="N14" s="67">
        <v>2500.0</v>
      </c>
      <c r="O14" s="67">
        <v>2500.0</v>
      </c>
      <c r="P14" s="69" t="s">
        <v>27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 outlineLevel="1">
      <c r="A15" s="35"/>
      <c r="B15" s="74" t="s">
        <v>31</v>
      </c>
      <c r="C15" s="63" t="s">
        <v>17</v>
      </c>
      <c r="D15" s="72" t="s">
        <v>18</v>
      </c>
      <c r="E15" s="65"/>
      <c r="F15" s="75">
        <f>F43+N15</f>
        <v>5450</v>
      </c>
      <c r="G15" s="76">
        <f t="shared" si="2"/>
        <v>5450</v>
      </c>
      <c r="H15" s="65"/>
      <c r="I15" s="70"/>
      <c r="J15" s="65"/>
      <c r="K15" s="70"/>
      <c r="L15" s="5"/>
      <c r="M15" s="67"/>
      <c r="N15" s="77">
        <v>1050.0</v>
      </c>
      <c r="O15" s="77">
        <v>1050.0</v>
      </c>
      <c r="P15" s="79" t="s">
        <v>32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 outlineLevel="1">
      <c r="A16" s="35"/>
      <c r="B16" s="80" t="s">
        <v>33</v>
      </c>
      <c r="C16" s="63" t="s">
        <v>17</v>
      </c>
      <c r="D16" s="72" t="s">
        <v>18</v>
      </c>
      <c r="E16" s="65">
        <f>$E$7+M16</f>
        <v>2550</v>
      </c>
      <c r="F16" s="66">
        <f>$F$7+N16</f>
        <v>5300</v>
      </c>
      <c r="G16" s="70">
        <f t="shared" si="2"/>
        <v>5300</v>
      </c>
      <c r="H16" s="65"/>
      <c r="I16" s="70"/>
      <c r="J16" s="65"/>
      <c r="K16" s="70"/>
      <c r="L16" s="5"/>
      <c r="M16" s="67">
        <v>350.0</v>
      </c>
      <c r="N16" s="67">
        <v>900.0</v>
      </c>
      <c r="O16" s="67">
        <v>900.0</v>
      </c>
      <c r="P16" s="69" t="s">
        <v>27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 outlineLevel="1">
      <c r="A17" s="35"/>
      <c r="B17" s="81" t="s">
        <v>34</v>
      </c>
      <c r="C17" s="63" t="s">
        <v>17</v>
      </c>
      <c r="D17" s="72" t="s">
        <v>18</v>
      </c>
      <c r="E17" s="82">
        <f t="shared" ref="E17:F17" si="11">E43+M17</f>
        <v>3200</v>
      </c>
      <c r="F17" s="83">
        <f t="shared" si="11"/>
        <v>5350</v>
      </c>
      <c r="G17" s="84">
        <f t="shared" si="2"/>
        <v>5350</v>
      </c>
      <c r="H17" s="65"/>
      <c r="I17" s="70" t="str">
        <f>IFERROR(__xludf.DUMMYFUNCTION("AI(""Fill an appropriate value for this cell based on the table context"")"),"")</f>
        <v/>
      </c>
      <c r="J17" s="65"/>
      <c r="K17" s="70"/>
      <c r="L17" s="5"/>
      <c r="M17" s="85">
        <v>1000.0</v>
      </c>
      <c r="N17" s="85">
        <v>950.0</v>
      </c>
      <c r="O17" s="85">
        <v>950.0</v>
      </c>
      <c r="P17" s="79" t="s">
        <v>32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 outlineLevel="1">
      <c r="A18" s="35"/>
      <c r="B18" s="86" t="s">
        <v>35</v>
      </c>
      <c r="C18" s="63" t="s">
        <v>17</v>
      </c>
      <c r="D18" s="72" t="s">
        <v>18</v>
      </c>
      <c r="E18" s="82">
        <f>E42+900</f>
        <v>3100</v>
      </c>
      <c r="F18" s="83">
        <f t="shared" ref="F18:G18" si="12">F42+1000</f>
        <v>5400</v>
      </c>
      <c r="G18" s="84">
        <f t="shared" si="12"/>
        <v>5400</v>
      </c>
      <c r="H18" s="65"/>
      <c r="I18" s="70"/>
      <c r="J18" s="65"/>
      <c r="K18" s="70"/>
      <c r="L18" s="5"/>
      <c r="M18" s="67"/>
      <c r="N18" s="67"/>
      <c r="O18" s="67"/>
      <c r="P18" s="69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 outlineLevel="1">
      <c r="A19" s="35"/>
      <c r="B19" s="73" t="s">
        <v>36</v>
      </c>
      <c r="C19" s="63" t="s">
        <v>17</v>
      </c>
      <c r="D19" s="72" t="s">
        <v>18</v>
      </c>
      <c r="E19" s="65">
        <f t="shared" ref="E19:E20" si="13">$E$7+M19</f>
        <v>2400</v>
      </c>
      <c r="F19" s="66">
        <f t="shared" ref="F19:F20" si="14">$F$7+N19</f>
        <v>4650</v>
      </c>
      <c r="G19" s="70">
        <f t="shared" ref="G19:G22" si="15">F19</f>
        <v>4650</v>
      </c>
      <c r="H19" s="65"/>
      <c r="I19" s="70"/>
      <c r="J19" s="65"/>
      <c r="K19" s="70"/>
      <c r="L19" s="5"/>
      <c r="M19" s="67">
        <v>200.0</v>
      </c>
      <c r="N19" s="67">
        <v>250.0</v>
      </c>
      <c r="O19" s="67">
        <v>250.0</v>
      </c>
      <c r="P19" s="69" t="s">
        <v>27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 outlineLevel="1">
      <c r="A20" s="35"/>
      <c r="B20" s="73" t="s">
        <v>37</v>
      </c>
      <c r="C20" s="63" t="s">
        <v>17</v>
      </c>
      <c r="D20" s="72" t="s">
        <v>18</v>
      </c>
      <c r="E20" s="65">
        <f t="shared" si="13"/>
        <v>2550</v>
      </c>
      <c r="F20" s="66">
        <f t="shared" si="14"/>
        <v>4950</v>
      </c>
      <c r="G20" s="70">
        <f t="shared" si="15"/>
        <v>4950</v>
      </c>
      <c r="H20" s="65"/>
      <c r="I20" s="70"/>
      <c r="J20" s="65"/>
      <c r="K20" s="70"/>
      <c r="L20" s="5"/>
      <c r="M20" s="67">
        <v>350.0</v>
      </c>
      <c r="N20" s="67">
        <v>550.0</v>
      </c>
      <c r="O20" s="67">
        <v>550.0</v>
      </c>
      <c r="P20" s="69" t="s">
        <v>27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 outlineLevel="1">
      <c r="A21" s="35"/>
      <c r="B21" s="73" t="s">
        <v>38</v>
      </c>
      <c r="C21" s="63" t="s">
        <v>17</v>
      </c>
      <c r="D21" s="72" t="s">
        <v>18</v>
      </c>
      <c r="E21" s="65">
        <f>$E$6+M21</f>
        <v>2300</v>
      </c>
      <c r="F21" s="66">
        <f>$F$6+N21</f>
        <v>4550</v>
      </c>
      <c r="G21" s="70">
        <f t="shared" si="15"/>
        <v>4550</v>
      </c>
      <c r="H21" s="65"/>
      <c r="I21" s="70"/>
      <c r="J21" s="65"/>
      <c r="K21" s="70"/>
      <c r="L21" s="5"/>
      <c r="M21" s="87">
        <v>100.0</v>
      </c>
      <c r="N21" s="87">
        <v>150.0</v>
      </c>
      <c r="O21" s="87">
        <v>150.0</v>
      </c>
      <c r="P21" s="88" t="s">
        <v>25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 outlineLevel="1">
      <c r="A22" s="35"/>
      <c r="B22" s="73" t="s">
        <v>39</v>
      </c>
      <c r="C22" s="63" t="s">
        <v>17</v>
      </c>
      <c r="D22" s="72" t="s">
        <v>18</v>
      </c>
      <c r="E22" s="65">
        <f>$E$7+M22</f>
        <v>2585</v>
      </c>
      <c r="F22" s="66">
        <f>$F$7+N22</f>
        <v>5050</v>
      </c>
      <c r="G22" s="70">
        <f t="shared" si="15"/>
        <v>5050</v>
      </c>
      <c r="H22" s="65"/>
      <c r="I22" s="70"/>
      <c r="J22" s="65"/>
      <c r="K22" s="70"/>
      <c r="L22" s="5"/>
      <c r="M22" s="67">
        <v>385.0</v>
      </c>
      <c r="N22" s="67">
        <v>650.0</v>
      </c>
      <c r="O22" s="67">
        <v>650.0</v>
      </c>
      <c r="P22" s="69" t="s">
        <v>27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 outlineLevel="1">
      <c r="A23" s="35"/>
      <c r="B23" s="81" t="s">
        <v>40</v>
      </c>
      <c r="C23" s="63" t="s">
        <v>17</v>
      </c>
      <c r="D23" s="72" t="s">
        <v>18</v>
      </c>
      <c r="E23" s="82">
        <f t="shared" ref="E23:G23" si="16">E43+M23</f>
        <v>2845</v>
      </c>
      <c r="F23" s="83">
        <f t="shared" si="16"/>
        <v>5225</v>
      </c>
      <c r="G23" s="84">
        <f t="shared" si="16"/>
        <v>5225</v>
      </c>
      <c r="H23" s="65"/>
      <c r="I23" s="70"/>
      <c r="J23" s="65"/>
      <c r="K23" s="70"/>
      <c r="L23" s="5"/>
      <c r="M23" s="89">
        <v>645.0</v>
      </c>
      <c r="N23" s="85">
        <v>825.0</v>
      </c>
      <c r="O23" s="85">
        <v>825.0</v>
      </c>
      <c r="P23" s="79" t="s">
        <v>32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 outlineLevel="1">
      <c r="A24" s="35"/>
      <c r="B24" s="73" t="s">
        <v>42</v>
      </c>
      <c r="C24" s="63" t="s">
        <v>17</v>
      </c>
      <c r="D24" s="72" t="s">
        <v>18</v>
      </c>
      <c r="E24" s="65">
        <f t="shared" ref="E24:E25" si="17">$E$7+M24</f>
        <v>2450</v>
      </c>
      <c r="F24" s="66">
        <f t="shared" ref="F24:F25" si="18">$F$7+N24</f>
        <v>4800</v>
      </c>
      <c r="G24" s="70">
        <f t="shared" ref="G24:G45" si="19">F24</f>
        <v>4800</v>
      </c>
      <c r="H24" s="65"/>
      <c r="I24" s="70"/>
      <c r="J24" s="65"/>
      <c r="K24" s="70"/>
      <c r="L24" s="5"/>
      <c r="M24" s="67">
        <v>250.0</v>
      </c>
      <c r="N24" s="67">
        <v>400.0</v>
      </c>
      <c r="O24" s="67">
        <v>400.0</v>
      </c>
      <c r="P24" s="69" t="s">
        <v>27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 outlineLevel="1">
      <c r="A25" s="35"/>
      <c r="B25" s="73" t="s">
        <v>43</v>
      </c>
      <c r="C25" s="63" t="s">
        <v>17</v>
      </c>
      <c r="D25" s="72" t="s">
        <v>18</v>
      </c>
      <c r="E25" s="65">
        <f t="shared" si="17"/>
        <v>2450</v>
      </c>
      <c r="F25" s="66">
        <f t="shared" si="18"/>
        <v>4800</v>
      </c>
      <c r="G25" s="70">
        <f t="shared" si="19"/>
        <v>4800</v>
      </c>
      <c r="H25" s="65"/>
      <c r="I25" s="70"/>
      <c r="J25" s="65"/>
      <c r="K25" s="70"/>
      <c r="L25" s="5"/>
      <c r="M25" s="67">
        <v>250.0</v>
      </c>
      <c r="N25" s="67">
        <v>400.0</v>
      </c>
      <c r="O25" s="67">
        <v>400.0</v>
      </c>
      <c r="P25" s="69" t="s">
        <v>27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 outlineLevel="1">
      <c r="A26" s="35"/>
      <c r="B26" s="73" t="s">
        <v>44</v>
      </c>
      <c r="C26" s="63" t="s">
        <v>17</v>
      </c>
      <c r="D26" s="72" t="s">
        <v>18</v>
      </c>
      <c r="E26" s="65">
        <f>$E$6+M26</f>
        <v>2400</v>
      </c>
      <c r="F26" s="66">
        <f>$F$6+N26</f>
        <v>4650</v>
      </c>
      <c r="G26" s="70">
        <f t="shared" si="19"/>
        <v>4650</v>
      </c>
      <c r="H26" s="65"/>
      <c r="I26" s="70"/>
      <c r="J26" s="65"/>
      <c r="K26" s="70"/>
      <c r="L26" s="5"/>
      <c r="M26" s="67">
        <v>200.0</v>
      </c>
      <c r="N26" s="67">
        <v>250.0</v>
      </c>
      <c r="O26" s="67">
        <v>250.0</v>
      </c>
      <c r="P26" s="69" t="s">
        <v>25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 outlineLevel="1">
      <c r="A27" s="35"/>
      <c r="B27" s="73" t="s">
        <v>45</v>
      </c>
      <c r="C27" s="63" t="s">
        <v>17</v>
      </c>
      <c r="D27" s="72" t="s">
        <v>18</v>
      </c>
      <c r="E27" s="65">
        <f t="shared" ref="E27:E28" si="20">$E$7+M27</f>
        <v>2400</v>
      </c>
      <c r="F27" s="66">
        <f t="shared" ref="F27:F28" si="21">$F$7+N27</f>
        <v>4700</v>
      </c>
      <c r="G27" s="70">
        <f t="shared" si="19"/>
        <v>4700</v>
      </c>
      <c r="H27" s="65"/>
      <c r="I27" s="70"/>
      <c r="J27" s="65"/>
      <c r="K27" s="70"/>
      <c r="L27" s="5"/>
      <c r="M27" s="67">
        <v>200.0</v>
      </c>
      <c r="N27" s="67">
        <v>300.0</v>
      </c>
      <c r="O27" s="67">
        <v>300.0</v>
      </c>
      <c r="P27" s="69" t="s">
        <v>27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 outlineLevel="1">
      <c r="A28" s="35"/>
      <c r="B28" s="73" t="s">
        <v>46</v>
      </c>
      <c r="C28" s="63" t="s">
        <v>17</v>
      </c>
      <c r="D28" s="72" t="s">
        <v>18</v>
      </c>
      <c r="E28" s="65">
        <f t="shared" si="20"/>
        <v>2450</v>
      </c>
      <c r="F28" s="66">
        <f t="shared" si="21"/>
        <v>4800</v>
      </c>
      <c r="G28" s="70">
        <f t="shared" si="19"/>
        <v>4800</v>
      </c>
      <c r="H28" s="65"/>
      <c r="I28" s="70"/>
      <c r="J28" s="65"/>
      <c r="K28" s="70"/>
      <c r="L28" s="5"/>
      <c r="M28" s="67">
        <v>250.0</v>
      </c>
      <c r="N28" s="67">
        <v>400.0</v>
      </c>
      <c r="O28" s="67">
        <v>400.0</v>
      </c>
      <c r="P28" s="69" t="s">
        <v>27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 outlineLevel="1">
      <c r="A29" s="35"/>
      <c r="B29" s="73" t="s">
        <v>47</v>
      </c>
      <c r="C29" s="63" t="s">
        <v>17</v>
      </c>
      <c r="D29" s="72" t="s">
        <v>18</v>
      </c>
      <c r="E29" s="65">
        <f>$E$8+M29</f>
        <v>2400</v>
      </c>
      <c r="F29" s="66">
        <f>$F$8+N29</f>
        <v>4600</v>
      </c>
      <c r="G29" s="70">
        <f t="shared" si="19"/>
        <v>4600</v>
      </c>
      <c r="H29" s="65"/>
      <c r="I29" s="70"/>
      <c r="J29" s="65"/>
      <c r="K29" s="70"/>
      <c r="L29" s="5"/>
      <c r="M29" s="67">
        <v>200.0</v>
      </c>
      <c r="N29" s="67">
        <v>200.0</v>
      </c>
      <c r="O29" s="67">
        <v>200.0</v>
      </c>
      <c r="P29" s="69" t="s">
        <v>48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 outlineLevel="1">
      <c r="A30" s="35"/>
      <c r="B30" s="73" t="s">
        <v>49</v>
      </c>
      <c r="C30" s="63" t="s">
        <v>17</v>
      </c>
      <c r="D30" s="72" t="s">
        <v>18</v>
      </c>
      <c r="E30" s="65">
        <f t="shared" ref="E30:E32" si="22">$E$7+M30</f>
        <v>2500</v>
      </c>
      <c r="F30" s="66">
        <f t="shared" ref="F30:F32" si="23">$F$7+N30</f>
        <v>4975</v>
      </c>
      <c r="G30" s="70">
        <f t="shared" si="19"/>
        <v>4975</v>
      </c>
      <c r="H30" s="65"/>
      <c r="I30" s="70"/>
      <c r="J30" s="65"/>
      <c r="K30" s="70"/>
      <c r="L30" s="5"/>
      <c r="M30" s="67">
        <v>300.0</v>
      </c>
      <c r="N30" s="67">
        <v>575.0</v>
      </c>
      <c r="O30" s="67">
        <v>575.0</v>
      </c>
      <c r="P30" s="69" t="s">
        <v>27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 outlineLevel="1">
      <c r="A31" s="35"/>
      <c r="B31" s="73" t="s">
        <v>50</v>
      </c>
      <c r="C31" s="90" t="s">
        <v>17</v>
      </c>
      <c r="D31" s="72" t="s">
        <v>18</v>
      </c>
      <c r="E31" s="65">
        <f t="shared" si="22"/>
        <v>2500</v>
      </c>
      <c r="F31" s="66">
        <f t="shared" si="23"/>
        <v>4775</v>
      </c>
      <c r="G31" s="70">
        <f t="shared" si="19"/>
        <v>4775</v>
      </c>
      <c r="H31" s="65"/>
      <c r="I31" s="70"/>
      <c r="J31" s="65"/>
      <c r="K31" s="70"/>
      <c r="L31" s="5"/>
      <c r="M31" s="67">
        <v>300.0</v>
      </c>
      <c r="N31" s="67">
        <v>375.0</v>
      </c>
      <c r="O31" s="67">
        <v>375.0</v>
      </c>
      <c r="P31" s="69" t="s">
        <v>27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 outlineLevel="1">
      <c r="A32" s="35"/>
      <c r="B32" s="73" t="s">
        <v>51</v>
      </c>
      <c r="C32" s="63" t="s">
        <v>17</v>
      </c>
      <c r="D32" s="72" t="s">
        <v>18</v>
      </c>
      <c r="E32" s="65">
        <f t="shared" si="22"/>
        <v>2475</v>
      </c>
      <c r="F32" s="66">
        <f t="shared" si="23"/>
        <v>4775</v>
      </c>
      <c r="G32" s="70">
        <f t="shared" si="19"/>
        <v>4775</v>
      </c>
      <c r="H32" s="65"/>
      <c r="I32" s="70"/>
      <c r="J32" s="65"/>
      <c r="K32" s="70"/>
      <c r="L32" s="5"/>
      <c r="M32" s="67">
        <v>275.0</v>
      </c>
      <c r="N32" s="67">
        <v>375.0</v>
      </c>
      <c r="O32" s="67">
        <v>375.0</v>
      </c>
      <c r="P32" s="69" t="s">
        <v>27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 outlineLevel="1">
      <c r="A33" s="35"/>
      <c r="B33" s="73" t="s">
        <v>52</v>
      </c>
      <c r="C33" s="63" t="s">
        <v>17</v>
      </c>
      <c r="D33" s="72" t="s">
        <v>18</v>
      </c>
      <c r="E33" s="65">
        <f>$E$6+M33</f>
        <v>2400</v>
      </c>
      <c r="F33" s="66">
        <f>$F$6+N33</f>
        <v>4600</v>
      </c>
      <c r="G33" s="70">
        <f t="shared" si="19"/>
        <v>4600</v>
      </c>
      <c r="H33" s="65"/>
      <c r="I33" s="70"/>
      <c r="J33" s="65"/>
      <c r="K33" s="70"/>
      <c r="L33" s="5"/>
      <c r="M33" s="67">
        <v>200.0</v>
      </c>
      <c r="N33" s="67">
        <v>200.0</v>
      </c>
      <c r="O33" s="67">
        <v>200.0</v>
      </c>
      <c r="P33" s="69" t="s">
        <v>25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 outlineLevel="1">
      <c r="A34" s="35"/>
      <c r="B34" s="73" t="s">
        <v>53</v>
      </c>
      <c r="C34" s="63" t="s">
        <v>17</v>
      </c>
      <c r="D34" s="72" t="s">
        <v>18</v>
      </c>
      <c r="E34" s="65">
        <f t="shared" ref="E34:E36" si="24">$E$7+M34</f>
        <v>2475</v>
      </c>
      <c r="F34" s="66">
        <f t="shared" ref="F34:F36" si="25">$F$7+N34</f>
        <v>5075</v>
      </c>
      <c r="G34" s="70">
        <f t="shared" si="19"/>
        <v>5075</v>
      </c>
      <c r="H34" s="65"/>
      <c r="I34" s="70"/>
      <c r="J34" s="65"/>
      <c r="K34" s="70"/>
      <c r="L34" s="5"/>
      <c r="M34" s="67">
        <v>275.0</v>
      </c>
      <c r="N34" s="67">
        <v>675.0</v>
      </c>
      <c r="O34" s="67">
        <v>675.0</v>
      </c>
      <c r="P34" s="69" t="s">
        <v>27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 outlineLevel="1">
      <c r="A35" s="35"/>
      <c r="B35" s="73" t="s">
        <v>54</v>
      </c>
      <c r="C35" s="63" t="s">
        <v>17</v>
      </c>
      <c r="D35" s="72" t="s">
        <v>18</v>
      </c>
      <c r="E35" s="65">
        <f t="shared" si="24"/>
        <v>2475</v>
      </c>
      <c r="F35" s="66">
        <f t="shared" si="25"/>
        <v>4775</v>
      </c>
      <c r="G35" s="70">
        <f t="shared" si="19"/>
        <v>4775</v>
      </c>
      <c r="H35" s="65"/>
      <c r="I35" s="70"/>
      <c r="J35" s="65"/>
      <c r="K35" s="70"/>
      <c r="L35" s="5"/>
      <c r="M35" s="67">
        <v>275.0</v>
      </c>
      <c r="N35" s="67">
        <v>375.0</v>
      </c>
      <c r="O35" s="67">
        <v>375.0</v>
      </c>
      <c r="P35" s="69" t="s">
        <v>27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 outlineLevel="1">
      <c r="A36" s="35"/>
      <c r="B36" s="80" t="s">
        <v>55</v>
      </c>
      <c r="C36" s="63" t="s">
        <v>17</v>
      </c>
      <c r="D36" s="72" t="s">
        <v>18</v>
      </c>
      <c r="E36" s="65">
        <f t="shared" si="24"/>
        <v>2450</v>
      </c>
      <c r="F36" s="66">
        <f t="shared" si="25"/>
        <v>4750</v>
      </c>
      <c r="G36" s="70">
        <f t="shared" si="19"/>
        <v>4750</v>
      </c>
      <c r="H36" s="65"/>
      <c r="I36" s="70"/>
      <c r="J36" s="65"/>
      <c r="K36" s="70"/>
      <c r="L36" s="5"/>
      <c r="M36" s="67">
        <v>250.0</v>
      </c>
      <c r="N36" s="67">
        <v>350.0</v>
      </c>
      <c r="O36" s="67">
        <v>350.0</v>
      </c>
      <c r="P36" s="69" t="s">
        <v>27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 outlineLevel="1">
      <c r="A37" s="91"/>
      <c r="B37" s="92" t="s">
        <v>56</v>
      </c>
      <c r="C37" s="93" t="s">
        <v>17</v>
      </c>
      <c r="D37" s="94" t="s">
        <v>18</v>
      </c>
      <c r="E37" s="95">
        <f>$E$8+M37</f>
        <v>2300</v>
      </c>
      <c r="F37" s="96">
        <f>$F$8+N37</f>
        <v>4525</v>
      </c>
      <c r="G37" s="97">
        <f t="shared" si="19"/>
        <v>4525</v>
      </c>
      <c r="H37" s="95"/>
      <c r="I37" s="97"/>
      <c r="J37" s="98"/>
      <c r="K37" s="99"/>
      <c r="L37" s="5"/>
      <c r="M37" s="67">
        <v>100.0</v>
      </c>
      <c r="N37" s="67">
        <v>125.0</v>
      </c>
      <c r="O37" s="67">
        <v>125.0</v>
      </c>
      <c r="P37" s="69" t="s">
        <v>48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00" t="s">
        <v>57</v>
      </c>
      <c r="B38" s="37" t="s">
        <v>58</v>
      </c>
      <c r="C38" s="37" t="s">
        <v>17</v>
      </c>
      <c r="D38" s="39" t="s">
        <v>18</v>
      </c>
      <c r="E38" s="44">
        <f t="shared" ref="E38:F38" si="26">E6</f>
        <v>2200</v>
      </c>
      <c r="F38" s="45">
        <f t="shared" si="26"/>
        <v>4400</v>
      </c>
      <c r="G38" s="47">
        <f t="shared" si="19"/>
        <v>4400</v>
      </c>
      <c r="H38" s="101">
        <f t="shared" ref="H38:K38" si="27">H6</f>
        <v>2300</v>
      </c>
      <c r="I38" s="102">
        <f t="shared" si="27"/>
        <v>4600</v>
      </c>
      <c r="J38" s="101">
        <f t="shared" si="27"/>
        <v>1900</v>
      </c>
      <c r="K38" s="60" t="str">
        <f t="shared" si="27"/>
        <v/>
      </c>
      <c r="L38" s="5"/>
      <c r="M38" s="5"/>
      <c r="N38" s="5"/>
      <c r="O38" s="5"/>
      <c r="P38" s="5"/>
      <c r="Q38" s="50"/>
      <c r="R38" s="50"/>
      <c r="S38" s="50"/>
      <c r="T38" s="50"/>
      <c r="U38" s="50"/>
      <c r="V38" s="50"/>
      <c r="W38" s="5"/>
      <c r="X38" s="5"/>
      <c r="Y38" s="5"/>
      <c r="Z38" s="5"/>
    </row>
    <row r="39" ht="14.25" customHeight="1">
      <c r="A39" s="104"/>
      <c r="B39" s="106" t="s">
        <v>59</v>
      </c>
      <c r="C39" s="63" t="s">
        <v>17</v>
      </c>
      <c r="D39" s="107" t="s">
        <v>18</v>
      </c>
      <c r="E39" s="98">
        <f t="shared" ref="E39:E41" si="28">$E$38+M39</f>
        <v>2300</v>
      </c>
      <c r="F39" s="108">
        <f t="shared" ref="F39:F41" si="29">$F$38+N39</f>
        <v>4600</v>
      </c>
      <c r="G39" s="99">
        <f t="shared" si="19"/>
        <v>4600</v>
      </c>
      <c r="H39" s="98"/>
      <c r="I39" s="99"/>
      <c r="J39" s="65"/>
      <c r="K39" s="70"/>
      <c r="L39" s="67"/>
      <c r="M39" s="67">
        <v>100.0</v>
      </c>
      <c r="N39" s="67">
        <v>200.0</v>
      </c>
      <c r="O39" s="67">
        <v>200.0</v>
      </c>
      <c r="P39" s="69"/>
      <c r="Q39" s="5"/>
      <c r="R39" s="50"/>
      <c r="S39" s="50"/>
      <c r="T39" s="50"/>
      <c r="U39" s="50"/>
      <c r="V39" s="50"/>
      <c r="W39" s="5"/>
      <c r="X39" s="5"/>
      <c r="Y39" s="5"/>
      <c r="Z39" s="5"/>
    </row>
    <row r="40" ht="14.25" customHeight="1">
      <c r="A40" s="104"/>
      <c r="B40" s="106" t="s">
        <v>60</v>
      </c>
      <c r="C40" s="63" t="s">
        <v>17</v>
      </c>
      <c r="D40" s="107" t="s">
        <v>18</v>
      </c>
      <c r="E40" s="98">
        <f t="shared" si="28"/>
        <v>2450</v>
      </c>
      <c r="F40" s="108">
        <f t="shared" si="29"/>
        <v>4900</v>
      </c>
      <c r="G40" s="99">
        <f t="shared" si="19"/>
        <v>4900</v>
      </c>
      <c r="H40" s="98"/>
      <c r="I40" s="99"/>
      <c r="J40" s="65"/>
      <c r="K40" s="70"/>
      <c r="L40" s="67"/>
      <c r="M40" s="67">
        <v>250.0</v>
      </c>
      <c r="N40" s="67">
        <v>500.0</v>
      </c>
      <c r="O40" s="67">
        <v>500.0</v>
      </c>
      <c r="P40" s="69"/>
      <c r="Q40" s="5"/>
      <c r="R40" s="50"/>
      <c r="S40" s="50"/>
      <c r="T40" s="50"/>
      <c r="U40" s="50"/>
      <c r="V40" s="50"/>
      <c r="W40" s="5"/>
      <c r="X40" s="5"/>
      <c r="Y40" s="5"/>
      <c r="Z40" s="5"/>
    </row>
    <row r="41" ht="14.25" customHeight="1">
      <c r="A41" s="115"/>
      <c r="B41" s="116" t="s">
        <v>61</v>
      </c>
      <c r="C41" s="93" t="s">
        <v>17</v>
      </c>
      <c r="D41" s="94" t="s">
        <v>18</v>
      </c>
      <c r="E41" s="95">
        <f t="shared" si="28"/>
        <v>2450</v>
      </c>
      <c r="F41" s="96">
        <f t="shared" si="29"/>
        <v>4900</v>
      </c>
      <c r="G41" s="97">
        <f t="shared" si="19"/>
        <v>4900</v>
      </c>
      <c r="H41" s="95"/>
      <c r="I41" s="97"/>
      <c r="J41" s="95"/>
      <c r="K41" s="97"/>
      <c r="L41" s="67"/>
      <c r="M41" s="67">
        <v>250.0</v>
      </c>
      <c r="N41" s="67">
        <v>500.0</v>
      </c>
      <c r="O41" s="67">
        <v>500.0</v>
      </c>
      <c r="P41" s="69"/>
      <c r="Q41" s="5"/>
      <c r="R41" s="50"/>
      <c r="S41" s="50"/>
      <c r="T41" s="50"/>
      <c r="U41" s="50"/>
      <c r="V41" s="50"/>
      <c r="W41" s="5"/>
      <c r="X41" s="5"/>
      <c r="Y41" s="5"/>
      <c r="Z41" s="5"/>
    </row>
    <row r="42" ht="14.25" customHeight="1" outlineLevel="1">
      <c r="A42" s="100" t="s">
        <v>62</v>
      </c>
      <c r="B42" s="37" t="s">
        <v>63</v>
      </c>
      <c r="C42" s="37" t="s">
        <v>17</v>
      </c>
      <c r="D42" s="39" t="s">
        <v>18</v>
      </c>
      <c r="E42" s="44">
        <f t="shared" ref="E42:F42" si="30">E6</f>
        <v>2200</v>
      </c>
      <c r="F42" s="45">
        <f t="shared" si="30"/>
        <v>4400</v>
      </c>
      <c r="G42" s="47">
        <f t="shared" si="19"/>
        <v>4400</v>
      </c>
      <c r="H42" s="44">
        <f t="shared" ref="H42:K42" si="31">H6</f>
        <v>2300</v>
      </c>
      <c r="I42" s="46">
        <f t="shared" si="31"/>
        <v>4600</v>
      </c>
      <c r="J42" s="44">
        <f t="shared" si="31"/>
        <v>1900</v>
      </c>
      <c r="K42" s="60" t="str">
        <f t="shared" si="31"/>
        <v/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 outlineLevel="1">
      <c r="A43" s="104"/>
      <c r="B43" s="53" t="s">
        <v>64</v>
      </c>
      <c r="C43" s="53" t="s">
        <v>17</v>
      </c>
      <c r="D43" s="54" t="s">
        <v>18</v>
      </c>
      <c r="E43" s="44">
        <f t="shared" ref="E43:F43" si="32">E6</f>
        <v>2200</v>
      </c>
      <c r="F43" s="55">
        <f t="shared" si="32"/>
        <v>4400</v>
      </c>
      <c r="G43" s="57">
        <f t="shared" si="19"/>
        <v>4400</v>
      </c>
      <c r="H43" s="44">
        <f t="shared" ref="H43:K43" si="33">H6</f>
        <v>2300</v>
      </c>
      <c r="I43" s="59">
        <f t="shared" si="33"/>
        <v>4600</v>
      </c>
      <c r="J43" s="44">
        <f t="shared" si="33"/>
        <v>1900</v>
      </c>
      <c r="K43" s="60" t="str">
        <f t="shared" si="33"/>
        <v/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 outlineLevel="1">
      <c r="A44" s="104"/>
      <c r="B44" s="53" t="s">
        <v>65</v>
      </c>
      <c r="C44" s="53" t="s">
        <v>17</v>
      </c>
      <c r="D44" s="54" t="s">
        <v>18</v>
      </c>
      <c r="E44" s="44">
        <f t="shared" ref="E44:F44" si="34">E6</f>
        <v>2200</v>
      </c>
      <c r="F44" s="55">
        <f t="shared" si="34"/>
        <v>4400</v>
      </c>
      <c r="G44" s="57">
        <f t="shared" si="19"/>
        <v>4400</v>
      </c>
      <c r="H44" s="44">
        <f t="shared" ref="H44:K44" si="35">H6</f>
        <v>2300</v>
      </c>
      <c r="I44" s="59">
        <f t="shared" si="35"/>
        <v>4600</v>
      </c>
      <c r="J44" s="44">
        <f t="shared" si="35"/>
        <v>1900</v>
      </c>
      <c r="K44" s="60" t="str">
        <f t="shared" si="35"/>
        <v/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 outlineLevel="1">
      <c r="A45" s="104"/>
      <c r="B45" s="63" t="s">
        <v>66</v>
      </c>
      <c r="C45" s="63" t="s">
        <v>17</v>
      </c>
      <c r="D45" s="72" t="s">
        <v>18</v>
      </c>
      <c r="E45" s="65">
        <f t="shared" ref="E45:F45" si="36">E43+M45</f>
        <v>2300</v>
      </c>
      <c r="F45" s="66">
        <f t="shared" si="36"/>
        <v>4500</v>
      </c>
      <c r="G45" s="70">
        <f t="shared" si="19"/>
        <v>4500</v>
      </c>
      <c r="H45" s="65"/>
      <c r="I45" s="70"/>
      <c r="J45" s="65"/>
      <c r="K45" s="70"/>
      <c r="L45" s="5"/>
      <c r="M45" s="5">
        <v>100.0</v>
      </c>
      <c r="N45" s="5">
        <v>100.0</v>
      </c>
      <c r="O45" s="5">
        <v>100.0</v>
      </c>
      <c r="P45" s="69" t="s">
        <v>67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 outlineLevel="1">
      <c r="A46" s="104"/>
      <c r="B46" s="120" t="s">
        <v>68</v>
      </c>
      <c r="C46" s="63" t="s">
        <v>17</v>
      </c>
      <c r="D46" s="107" t="s">
        <v>18</v>
      </c>
      <c r="E46" s="121">
        <f t="shared" ref="E46:G46" si="37">E43+M46</f>
        <v>2660</v>
      </c>
      <c r="F46" s="122">
        <f t="shared" si="37"/>
        <v>5000</v>
      </c>
      <c r="G46" s="123">
        <f t="shared" si="37"/>
        <v>5000</v>
      </c>
      <c r="H46" s="98"/>
      <c r="I46" s="99"/>
      <c r="J46" s="65"/>
      <c r="K46" s="70"/>
      <c r="L46" s="5"/>
      <c r="M46" s="5">
        <v>460.0</v>
      </c>
      <c r="N46" s="5">
        <v>600.0</v>
      </c>
      <c r="O46" s="5">
        <v>600.0</v>
      </c>
      <c r="P46" s="69" t="s">
        <v>69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 outlineLevel="1">
      <c r="A47" s="104"/>
      <c r="B47" s="86" t="s">
        <v>70</v>
      </c>
      <c r="C47" s="63" t="s">
        <v>17</v>
      </c>
      <c r="D47" s="107" t="s">
        <v>18</v>
      </c>
      <c r="E47" s="121">
        <f t="shared" ref="E47:G47" si="38">E43+M47</f>
        <v>2700</v>
      </c>
      <c r="F47" s="122">
        <f t="shared" si="38"/>
        <v>5050</v>
      </c>
      <c r="G47" s="123">
        <f t="shared" si="38"/>
        <v>5050</v>
      </c>
      <c r="H47" s="98"/>
      <c r="I47" s="99"/>
      <c r="J47" s="65"/>
      <c r="K47" s="70"/>
      <c r="L47" s="5"/>
      <c r="M47" s="124">
        <v>500.0</v>
      </c>
      <c r="N47" s="124">
        <v>650.0</v>
      </c>
      <c r="O47" s="124">
        <v>650.0</v>
      </c>
      <c r="P47" s="69" t="s">
        <v>69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 outlineLevel="1">
      <c r="A48" s="104"/>
      <c r="B48" s="73" t="s">
        <v>71</v>
      </c>
      <c r="C48" s="63" t="s">
        <v>17</v>
      </c>
      <c r="D48" s="107" t="s">
        <v>18</v>
      </c>
      <c r="E48" s="98">
        <f t="shared" ref="E48:F48" si="39">E43+M48</f>
        <v>2350</v>
      </c>
      <c r="F48" s="108">
        <f t="shared" si="39"/>
        <v>4600</v>
      </c>
      <c r="G48" s="99">
        <f t="shared" ref="G48:G54" si="41">F48</f>
        <v>4600</v>
      </c>
      <c r="H48" s="98"/>
      <c r="I48" s="99"/>
      <c r="J48" s="65"/>
      <c r="K48" s="70"/>
      <c r="L48" s="5"/>
      <c r="M48" s="5">
        <v>150.0</v>
      </c>
      <c r="N48" s="5">
        <v>200.0</v>
      </c>
      <c r="O48" s="5">
        <v>200.0</v>
      </c>
      <c r="P48" s="69" t="s">
        <v>67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 outlineLevel="1">
      <c r="A49" s="125"/>
      <c r="B49" s="126" t="s">
        <v>72</v>
      </c>
      <c r="C49" s="105" t="s">
        <v>17</v>
      </c>
      <c r="D49" s="107" t="s">
        <v>18</v>
      </c>
      <c r="E49" s="98">
        <f t="shared" ref="E49:F49" si="40">E43+M49</f>
        <v>2400</v>
      </c>
      <c r="F49" s="108">
        <f t="shared" si="40"/>
        <v>4700</v>
      </c>
      <c r="G49" s="99">
        <f t="shared" si="41"/>
        <v>4700</v>
      </c>
      <c r="H49" s="98"/>
      <c r="I49" s="99"/>
      <c r="J49" s="65"/>
      <c r="K49" s="70"/>
      <c r="L49" s="5"/>
      <c r="M49" s="5">
        <v>200.0</v>
      </c>
      <c r="N49" s="5">
        <v>300.0</v>
      </c>
      <c r="O49" s="5">
        <v>300.0</v>
      </c>
      <c r="P49" s="69" t="s">
        <v>67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 outlineLevel="1">
      <c r="A50" s="127" t="s">
        <v>73</v>
      </c>
      <c r="B50" s="129" t="s">
        <v>74</v>
      </c>
      <c r="C50" s="129" t="s">
        <v>17</v>
      </c>
      <c r="D50" s="131" t="s">
        <v>18</v>
      </c>
      <c r="E50" s="133">
        <f t="shared" ref="E50:F50" si="42">E6</f>
        <v>2200</v>
      </c>
      <c r="F50" s="134">
        <f t="shared" si="42"/>
        <v>4400</v>
      </c>
      <c r="G50" s="135">
        <f t="shared" si="41"/>
        <v>4400</v>
      </c>
      <c r="H50" s="133">
        <f t="shared" ref="H50:K50" si="43">H6</f>
        <v>2300</v>
      </c>
      <c r="I50" s="136">
        <f t="shared" si="43"/>
        <v>4600</v>
      </c>
      <c r="J50" s="133">
        <f t="shared" si="43"/>
        <v>1900</v>
      </c>
      <c r="K50" s="138" t="str">
        <f t="shared" si="43"/>
        <v/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 outlineLevel="1">
      <c r="A51" s="140" t="s">
        <v>75</v>
      </c>
      <c r="B51" s="37" t="s">
        <v>76</v>
      </c>
      <c r="C51" s="37" t="s">
        <v>17</v>
      </c>
      <c r="D51" s="39" t="s">
        <v>18</v>
      </c>
      <c r="E51" s="44">
        <f t="shared" ref="E51:F51" si="44">E6</f>
        <v>2200</v>
      </c>
      <c r="F51" s="45">
        <f t="shared" si="44"/>
        <v>4400</v>
      </c>
      <c r="G51" s="47">
        <f t="shared" si="41"/>
        <v>4400</v>
      </c>
      <c r="H51" s="44">
        <f t="shared" ref="H51:K51" si="45">H6</f>
        <v>2300</v>
      </c>
      <c r="I51" s="141">
        <f t="shared" si="45"/>
        <v>4600</v>
      </c>
      <c r="J51" s="44">
        <f t="shared" si="45"/>
        <v>1900</v>
      </c>
      <c r="K51" s="60" t="str">
        <f t="shared" si="45"/>
        <v/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 outlineLevel="1">
      <c r="A52" s="104"/>
      <c r="B52" s="37" t="s">
        <v>77</v>
      </c>
      <c r="C52" s="53" t="s">
        <v>17</v>
      </c>
      <c r="D52" s="39" t="s">
        <v>18</v>
      </c>
      <c r="E52" s="44">
        <f t="shared" ref="E52:F52" si="46">E6</f>
        <v>2200</v>
      </c>
      <c r="F52" s="45">
        <f t="shared" si="46"/>
        <v>4400</v>
      </c>
      <c r="G52" s="47">
        <f t="shared" si="41"/>
        <v>4400</v>
      </c>
      <c r="H52" s="44">
        <f t="shared" ref="H52:K52" si="47">H6</f>
        <v>2300</v>
      </c>
      <c r="I52" s="141">
        <f t="shared" si="47"/>
        <v>4600</v>
      </c>
      <c r="J52" s="44">
        <f t="shared" si="47"/>
        <v>1900</v>
      </c>
      <c r="K52" s="60" t="str">
        <f t="shared" si="47"/>
        <v/>
      </c>
      <c r="L52" s="5"/>
      <c r="M52" s="5"/>
      <c r="N52" s="5"/>
      <c r="O52" s="5"/>
      <c r="P52" s="69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 outlineLevel="1">
      <c r="A53" s="104"/>
      <c r="B53" s="126" t="s">
        <v>78</v>
      </c>
      <c r="C53" s="63" t="s">
        <v>17</v>
      </c>
      <c r="D53" s="145" t="s">
        <v>18</v>
      </c>
      <c r="E53" s="128">
        <f t="shared" ref="E53:F53" si="48">E51+M53</f>
        <v>2350</v>
      </c>
      <c r="F53" s="132">
        <f t="shared" si="48"/>
        <v>4600</v>
      </c>
      <c r="G53" s="147">
        <f t="shared" si="41"/>
        <v>4600</v>
      </c>
      <c r="H53" s="128">
        <f>H51+200</f>
        <v>2500</v>
      </c>
      <c r="I53" s="147">
        <f>I51+300</f>
        <v>4900</v>
      </c>
      <c r="J53" s="65">
        <f>J51+200</f>
        <v>2100</v>
      </c>
      <c r="K53" s="151"/>
      <c r="L53" s="5"/>
      <c r="M53" s="5">
        <v>150.0</v>
      </c>
      <c r="N53" s="5">
        <v>200.0</v>
      </c>
      <c r="O53" s="5">
        <v>200.0</v>
      </c>
      <c r="P53" s="69" t="s">
        <v>79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 outlineLevel="1">
      <c r="A54" s="115"/>
      <c r="B54" s="152" t="s">
        <v>80</v>
      </c>
      <c r="C54" s="63" t="s">
        <v>17</v>
      </c>
      <c r="D54" s="145" t="s">
        <v>18</v>
      </c>
      <c r="E54" s="154">
        <f t="shared" ref="E54:F54" si="49">E51+M54</f>
        <v>2350</v>
      </c>
      <c r="F54" s="155">
        <f t="shared" si="49"/>
        <v>4600</v>
      </c>
      <c r="G54" s="156">
        <f t="shared" si="41"/>
        <v>4600</v>
      </c>
      <c r="H54" s="154">
        <f t="shared" ref="H54:J54" si="50">H53</f>
        <v>2500</v>
      </c>
      <c r="I54" s="156">
        <f t="shared" si="50"/>
        <v>4900</v>
      </c>
      <c r="J54" s="95">
        <f t="shared" si="50"/>
        <v>2100</v>
      </c>
      <c r="K54" s="157"/>
      <c r="L54" s="5"/>
      <c r="M54" s="5">
        <v>150.0</v>
      </c>
      <c r="N54" s="5">
        <v>200.0</v>
      </c>
      <c r="O54" s="5">
        <v>200.0</v>
      </c>
      <c r="P54" s="69" t="s">
        <v>79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59" t="s">
        <v>82</v>
      </c>
      <c r="B56" s="160" t="s">
        <v>83</v>
      </c>
      <c r="C56" s="159"/>
      <c r="D56" s="159"/>
      <c r="E56" s="159"/>
      <c r="F56" s="159"/>
      <c r="G56" s="159"/>
      <c r="H56" s="159"/>
      <c r="I56" s="15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59" t="s">
        <v>84</v>
      </c>
      <c r="B57" s="159" t="s">
        <v>85</v>
      </c>
      <c r="C57" s="159"/>
      <c r="D57" s="159"/>
      <c r="E57" s="159"/>
      <c r="F57" s="159"/>
      <c r="G57" s="159"/>
      <c r="H57" s="159"/>
      <c r="I57" s="15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63" t="s">
        <v>86</v>
      </c>
      <c r="B58" s="163" t="s">
        <v>87</v>
      </c>
      <c r="C58" s="164"/>
      <c r="D58" s="165"/>
      <c r="E58" s="16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168" t="s">
        <v>88</v>
      </c>
      <c r="B60" s="169"/>
      <c r="C60" s="169"/>
      <c r="D60" s="169"/>
      <c r="E60" s="169"/>
      <c r="F60" s="169"/>
      <c r="G60" s="169"/>
      <c r="H60" s="169"/>
      <c r="I60" s="169"/>
      <c r="J60" s="169"/>
      <c r="K60" s="17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71"/>
      <c r="B61" s="172"/>
      <c r="C61" s="172"/>
      <c r="D61" s="172"/>
      <c r="E61" s="173" t="s">
        <v>7</v>
      </c>
      <c r="F61" s="173" t="s">
        <v>8</v>
      </c>
      <c r="G61" s="174" t="s">
        <v>9</v>
      </c>
      <c r="H61" s="175" t="s">
        <v>89</v>
      </c>
      <c r="I61" s="173" t="s">
        <v>90</v>
      </c>
      <c r="J61" s="173" t="s">
        <v>12</v>
      </c>
      <c r="K61" s="176" t="s">
        <v>13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25" customHeight="1">
      <c r="A62" s="177" t="s">
        <v>92</v>
      </c>
      <c r="B62" s="178" t="s">
        <v>93</v>
      </c>
      <c r="C62" s="179"/>
      <c r="D62" s="180"/>
      <c r="E62" s="181" t="s">
        <v>94</v>
      </c>
      <c r="F62" s="181" t="s">
        <v>94</v>
      </c>
      <c r="G62" s="181" t="s">
        <v>94</v>
      </c>
      <c r="H62" s="181" t="s">
        <v>94</v>
      </c>
      <c r="I62" s="181" t="s">
        <v>94</v>
      </c>
      <c r="J62" s="181" t="s">
        <v>94</v>
      </c>
      <c r="K62" s="181" t="s">
        <v>94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82" t="s">
        <v>95</v>
      </c>
      <c r="B63" s="183" t="s">
        <v>96</v>
      </c>
      <c r="C63" s="179"/>
      <c r="D63" s="184"/>
      <c r="E63" s="185" t="s">
        <v>97</v>
      </c>
      <c r="F63" s="185" t="s">
        <v>97</v>
      </c>
      <c r="G63" s="185" t="s">
        <v>97</v>
      </c>
      <c r="H63" s="185" t="s">
        <v>97</v>
      </c>
      <c r="I63" s="185" t="s">
        <v>97</v>
      </c>
      <c r="J63" s="185" t="s">
        <v>97</v>
      </c>
      <c r="K63" s="185" t="s">
        <v>97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82" t="s">
        <v>99</v>
      </c>
      <c r="B64" s="183" t="s">
        <v>100</v>
      </c>
      <c r="C64" s="179"/>
      <c r="D64" s="184"/>
      <c r="E64" s="185" t="s">
        <v>97</v>
      </c>
      <c r="F64" s="185" t="s">
        <v>97</v>
      </c>
      <c r="G64" s="185" t="s">
        <v>97</v>
      </c>
      <c r="H64" s="185" t="s">
        <v>97</v>
      </c>
      <c r="I64" s="185" t="s">
        <v>97</v>
      </c>
      <c r="J64" s="185" t="s">
        <v>97</v>
      </c>
      <c r="K64" s="186" t="s">
        <v>97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82" t="s">
        <v>101</v>
      </c>
      <c r="B65" s="183" t="s">
        <v>102</v>
      </c>
      <c r="C65" s="179"/>
      <c r="D65" s="184"/>
      <c r="E65" s="185" t="s">
        <v>97</v>
      </c>
      <c r="F65" s="185" t="s">
        <v>97</v>
      </c>
      <c r="G65" s="185" t="s">
        <v>97</v>
      </c>
      <c r="H65" s="185" t="s">
        <v>97</v>
      </c>
      <c r="I65" s="185" t="s">
        <v>97</v>
      </c>
      <c r="J65" s="185" t="s">
        <v>97</v>
      </c>
      <c r="K65" s="185" t="s">
        <v>97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82" t="s">
        <v>103</v>
      </c>
      <c r="B66" s="183" t="s">
        <v>104</v>
      </c>
      <c r="C66" s="179"/>
      <c r="D66" s="184"/>
      <c r="E66" s="185" t="s">
        <v>97</v>
      </c>
      <c r="F66" s="185" t="s">
        <v>97</v>
      </c>
      <c r="G66" s="185" t="s">
        <v>97</v>
      </c>
      <c r="H66" s="185" t="s">
        <v>97</v>
      </c>
      <c r="I66" s="185" t="s">
        <v>97</v>
      </c>
      <c r="J66" s="185" t="s">
        <v>97</v>
      </c>
      <c r="K66" s="185" t="s">
        <v>97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82" t="s">
        <v>105</v>
      </c>
      <c r="B67" s="183" t="s">
        <v>106</v>
      </c>
      <c r="C67" s="179"/>
      <c r="D67" s="184"/>
      <c r="E67" s="185" t="s">
        <v>97</v>
      </c>
      <c r="F67" s="185" t="s">
        <v>97</v>
      </c>
      <c r="G67" s="185" t="s">
        <v>97</v>
      </c>
      <c r="H67" s="185" t="s">
        <v>97</v>
      </c>
      <c r="I67" s="185" t="s">
        <v>97</v>
      </c>
      <c r="J67" s="185" t="s">
        <v>97</v>
      </c>
      <c r="K67" s="186" t="s">
        <v>97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91" t="s">
        <v>107</v>
      </c>
      <c r="B68" s="192" t="s">
        <v>108</v>
      </c>
      <c r="C68" s="193"/>
      <c r="D68" s="194"/>
      <c r="E68" s="185" t="s">
        <v>97</v>
      </c>
      <c r="F68" s="185" t="s">
        <v>97</v>
      </c>
      <c r="G68" s="185" t="s">
        <v>97</v>
      </c>
      <c r="H68" s="185" t="s">
        <v>97</v>
      </c>
      <c r="I68" s="185" t="s">
        <v>97</v>
      </c>
      <c r="J68" s="185" t="s">
        <v>97</v>
      </c>
      <c r="K68" s="186" t="s">
        <v>97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95" t="s">
        <v>109</v>
      </c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97" t="s">
        <v>110</v>
      </c>
      <c r="B71" s="198"/>
      <c r="C71" s="198"/>
      <c r="D71" s="198"/>
      <c r="E71" s="200"/>
      <c r="F71" s="195"/>
      <c r="G71" s="195"/>
      <c r="H71" s="195"/>
      <c r="I71" s="195"/>
      <c r="J71" s="195"/>
      <c r="K71" s="19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97" t="s">
        <v>111</v>
      </c>
      <c r="B72" s="198"/>
      <c r="C72" s="198"/>
      <c r="D72" s="198"/>
      <c r="E72" s="200"/>
      <c r="F72" s="195"/>
      <c r="G72" s="195"/>
      <c r="H72" s="195"/>
      <c r="I72" s="195"/>
      <c r="J72" s="195"/>
      <c r="K72" s="19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205" t="s">
        <v>114</v>
      </c>
      <c r="B73" s="205"/>
      <c r="C73" s="205"/>
      <c r="D73" s="205"/>
      <c r="E73" s="207"/>
      <c r="F73" s="195"/>
      <c r="G73" s="195"/>
      <c r="H73" s="195"/>
      <c r="I73" s="195"/>
      <c r="J73" s="195"/>
      <c r="K73" s="19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209" t="s">
        <v>115</v>
      </c>
      <c r="B74" s="209"/>
      <c r="C74" s="209"/>
      <c r="D74" s="209"/>
      <c r="E74" s="195"/>
      <c r="F74" s="195"/>
      <c r="G74" s="195"/>
      <c r="H74" s="195"/>
      <c r="I74" s="195"/>
      <c r="J74" s="195"/>
      <c r="K74" s="19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209" t="s">
        <v>116</v>
      </c>
      <c r="B75" s="209"/>
      <c r="C75" s="209"/>
      <c r="D75" s="209"/>
      <c r="E75" s="195"/>
      <c r="F75" s="195"/>
      <c r="G75" s="195"/>
      <c r="H75" s="195"/>
      <c r="I75" s="195"/>
      <c r="J75" s="195"/>
      <c r="K75" s="19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209" t="s">
        <v>117</v>
      </c>
      <c r="B76" s="209"/>
      <c r="C76" s="209"/>
      <c r="D76" s="209"/>
      <c r="E76" s="195"/>
      <c r="F76" s="195"/>
      <c r="G76" s="195"/>
      <c r="H76" s="195"/>
      <c r="I76" s="195"/>
      <c r="J76" s="195"/>
      <c r="K76" s="19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209" t="s">
        <v>118</v>
      </c>
      <c r="B77" s="209"/>
      <c r="C77" s="209"/>
      <c r="D77" s="209"/>
      <c r="E77" s="195"/>
      <c r="F77" s="195"/>
      <c r="G77" s="195"/>
      <c r="H77" s="195"/>
      <c r="I77" s="195"/>
      <c r="J77" s="195"/>
      <c r="K77" s="19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209" t="s">
        <v>119</v>
      </c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211" t="s">
        <v>120</v>
      </c>
      <c r="B81" s="212"/>
      <c r="C81" s="212"/>
      <c r="D81" s="212"/>
      <c r="E81" s="213"/>
      <c r="F81" s="213"/>
      <c r="G81" s="214"/>
      <c r="H81" s="214"/>
      <c r="I81" s="21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215" t="s">
        <v>121</v>
      </c>
      <c r="B82" s="213"/>
      <c r="C82" s="213"/>
      <c r="D82" s="213"/>
      <c r="E82" s="213"/>
      <c r="F82" s="213"/>
      <c r="G82" s="214"/>
      <c r="H82" s="214"/>
      <c r="I82" s="21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215" t="s">
        <v>122</v>
      </c>
      <c r="B83" s="213"/>
      <c r="C83" s="213"/>
      <c r="D83" s="213"/>
      <c r="E83" s="213"/>
      <c r="F83" s="213"/>
      <c r="G83" s="214"/>
      <c r="H83" s="214"/>
      <c r="I83" s="2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217"/>
      <c r="B84" s="217"/>
      <c r="C84" s="217"/>
      <c r="D84" s="217"/>
      <c r="E84" s="217"/>
      <c r="F84" s="217"/>
      <c r="G84" s="214"/>
      <c r="H84" s="214"/>
      <c r="I84" s="2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218" t="s">
        <v>123</v>
      </c>
      <c r="B85" s="219" t="s">
        <v>124</v>
      </c>
      <c r="C85" s="219" t="s">
        <v>125</v>
      </c>
      <c r="D85" s="220" t="s">
        <v>126</v>
      </c>
      <c r="E85" s="220" t="s">
        <v>127</v>
      </c>
      <c r="F85" s="220" t="s">
        <v>128</v>
      </c>
      <c r="G85" s="214"/>
      <c r="H85" s="214"/>
      <c r="I85" s="21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221" t="s">
        <v>129</v>
      </c>
      <c r="B86" s="222" t="s">
        <v>130</v>
      </c>
      <c r="C86" s="223" t="s">
        <v>131</v>
      </c>
      <c r="D86" s="169"/>
      <c r="E86" s="170"/>
      <c r="F86" s="224"/>
      <c r="G86" s="214"/>
      <c r="H86" s="214"/>
      <c r="I86" s="21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225"/>
      <c r="B87" s="222" t="s">
        <v>132</v>
      </c>
      <c r="C87" s="226" t="s">
        <v>133</v>
      </c>
      <c r="D87" s="226" t="s">
        <v>134</v>
      </c>
      <c r="E87" s="226" t="s">
        <v>134</v>
      </c>
      <c r="F87" s="224"/>
      <c r="G87" s="214"/>
      <c r="H87" s="214"/>
      <c r="I87" s="21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225"/>
      <c r="B88" s="222" t="s">
        <v>135</v>
      </c>
      <c r="C88" s="226" t="s">
        <v>136</v>
      </c>
      <c r="D88" s="226" t="s">
        <v>133</v>
      </c>
      <c r="E88" s="226" t="s">
        <v>133</v>
      </c>
      <c r="F88" s="224"/>
      <c r="G88" s="214"/>
      <c r="H88" s="214"/>
      <c r="I88" s="21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225"/>
      <c r="B89" s="222" t="s">
        <v>137</v>
      </c>
      <c r="C89" s="226" t="s">
        <v>136</v>
      </c>
      <c r="D89" s="226" t="s">
        <v>133</v>
      </c>
      <c r="E89" s="226" t="s">
        <v>133</v>
      </c>
      <c r="F89" s="224"/>
      <c r="G89" s="214"/>
      <c r="H89" s="214"/>
      <c r="I89" s="21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225"/>
      <c r="B90" s="222" t="s">
        <v>138</v>
      </c>
      <c r="C90" s="227" t="s">
        <v>133</v>
      </c>
      <c r="D90" s="227" t="s">
        <v>134</v>
      </c>
      <c r="E90" s="227" t="s">
        <v>134</v>
      </c>
      <c r="F90" s="224"/>
      <c r="G90" s="214"/>
      <c r="H90" s="214"/>
      <c r="I90" s="21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225"/>
      <c r="B91" s="222" t="s">
        <v>139</v>
      </c>
      <c r="C91" s="226" t="s">
        <v>136</v>
      </c>
      <c r="D91" s="226" t="s">
        <v>133</v>
      </c>
      <c r="E91" s="226" t="s">
        <v>133</v>
      </c>
      <c r="F91" s="224"/>
      <c r="G91" s="214"/>
      <c r="H91" s="214"/>
      <c r="I91" s="21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225"/>
      <c r="B92" s="222" t="s">
        <v>140</v>
      </c>
      <c r="C92" s="223" t="s">
        <v>131</v>
      </c>
      <c r="D92" s="169"/>
      <c r="E92" s="170"/>
      <c r="F92" s="224"/>
      <c r="G92" s="214"/>
      <c r="H92" s="214"/>
      <c r="I92" s="21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225"/>
      <c r="B93" s="222" t="s">
        <v>141</v>
      </c>
      <c r="C93" s="226" t="s">
        <v>136</v>
      </c>
      <c r="D93" s="226" t="s">
        <v>133</v>
      </c>
      <c r="E93" s="226" t="s">
        <v>133</v>
      </c>
      <c r="F93" s="224"/>
      <c r="G93" s="214"/>
      <c r="H93" s="214"/>
      <c r="I93" s="21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228"/>
      <c r="B94" s="222" t="s">
        <v>142</v>
      </c>
      <c r="C94" s="226" t="s">
        <v>136</v>
      </c>
      <c r="D94" s="226" t="s">
        <v>133</v>
      </c>
      <c r="E94" s="226" t="s">
        <v>133</v>
      </c>
      <c r="F94" s="224"/>
      <c r="G94" s="214"/>
      <c r="H94" s="214"/>
      <c r="I94" s="21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229" t="s">
        <v>143</v>
      </c>
      <c r="B95" s="230"/>
      <c r="C95" s="230"/>
      <c r="D95" s="230"/>
      <c r="E95" s="230"/>
      <c r="F95" s="231"/>
      <c r="G95" s="214"/>
      <c r="H95" s="214"/>
      <c r="I95" s="21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217"/>
      <c r="B96" s="217"/>
      <c r="C96" s="232"/>
      <c r="D96" s="233"/>
      <c r="E96" s="217"/>
      <c r="F96" s="217"/>
      <c r="G96" s="214"/>
      <c r="H96" s="214"/>
      <c r="I96" s="2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218" t="s">
        <v>144</v>
      </c>
      <c r="B97" s="219" t="s">
        <v>145</v>
      </c>
      <c r="C97" s="219" t="s">
        <v>125</v>
      </c>
      <c r="D97" s="220" t="s">
        <v>126</v>
      </c>
      <c r="E97" s="220" t="s">
        <v>127</v>
      </c>
      <c r="F97" s="220" t="s">
        <v>128</v>
      </c>
      <c r="G97" s="214"/>
      <c r="H97" s="214"/>
      <c r="I97" s="2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234" t="s">
        <v>146</v>
      </c>
      <c r="B98" s="222" t="s">
        <v>147</v>
      </c>
      <c r="C98" s="235" t="s">
        <v>148</v>
      </c>
      <c r="D98" s="235" t="s">
        <v>149</v>
      </c>
      <c r="E98" s="235" t="s">
        <v>149</v>
      </c>
      <c r="F98" s="224"/>
      <c r="G98" s="214"/>
      <c r="H98" s="214"/>
      <c r="I98" s="2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25"/>
      <c r="B99" s="222" t="s">
        <v>150</v>
      </c>
      <c r="C99" s="235" t="s">
        <v>151</v>
      </c>
      <c r="D99" s="235" t="s">
        <v>148</v>
      </c>
      <c r="E99" s="235" t="s">
        <v>148</v>
      </c>
      <c r="F99" s="224"/>
      <c r="G99" s="214"/>
      <c r="H99" s="214"/>
      <c r="I99" s="2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25"/>
      <c r="B100" s="222" t="s">
        <v>152</v>
      </c>
      <c r="C100" s="235" t="s">
        <v>153</v>
      </c>
      <c r="D100" s="235" t="s">
        <v>154</v>
      </c>
      <c r="E100" s="235" t="s">
        <v>154</v>
      </c>
      <c r="F100" s="224"/>
      <c r="G100" s="214"/>
      <c r="H100" s="214"/>
      <c r="I100" s="2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228"/>
      <c r="B101" s="222" t="s">
        <v>155</v>
      </c>
      <c r="C101" s="235" t="s">
        <v>156</v>
      </c>
      <c r="D101" s="235" t="s">
        <v>156</v>
      </c>
      <c r="E101" s="235" t="s">
        <v>156</v>
      </c>
      <c r="F101" s="224"/>
      <c r="G101" s="214"/>
      <c r="H101" s="214"/>
      <c r="I101" s="2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229" t="s">
        <v>143</v>
      </c>
      <c r="B102" s="230"/>
      <c r="C102" s="230"/>
      <c r="D102" s="230"/>
      <c r="E102" s="230"/>
      <c r="F102" s="231"/>
      <c r="G102" s="214"/>
      <c r="H102" s="214"/>
      <c r="I102" s="2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236" t="s">
        <v>157</v>
      </c>
      <c r="B104" s="198"/>
      <c r="C104" s="214"/>
      <c r="D104" s="214"/>
      <c r="E104" s="214"/>
      <c r="F104" s="214"/>
      <c r="G104" s="214"/>
      <c r="H104" s="214"/>
      <c r="I104" s="2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214"/>
      <c r="B105" s="214"/>
      <c r="C105" s="214"/>
      <c r="D105" s="214"/>
      <c r="E105" s="214"/>
      <c r="F105" s="214"/>
      <c r="G105" s="214"/>
      <c r="H105" s="214"/>
      <c r="I105" s="2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237" t="s">
        <v>158</v>
      </c>
      <c r="B106" s="238"/>
      <c r="C106" s="238"/>
      <c r="D106" s="238"/>
      <c r="E106" s="214"/>
      <c r="F106" s="239"/>
      <c r="H106" s="239"/>
      <c r="I106" s="240" t="s">
        <v>159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214"/>
      <c r="B107" s="214"/>
      <c r="C107" s="214"/>
      <c r="D107" s="214"/>
      <c r="E107" s="214"/>
      <c r="F107" s="239"/>
      <c r="H107" s="239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241" t="s">
        <v>160</v>
      </c>
      <c r="B108" s="242"/>
      <c r="C108" s="243" t="s">
        <v>161</v>
      </c>
      <c r="D108" s="184"/>
      <c r="E108" s="214"/>
      <c r="F108" s="241" t="s">
        <v>162</v>
      </c>
      <c r="G108" s="179"/>
      <c r="H108" s="179"/>
      <c r="I108" s="18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244" t="s">
        <v>163</v>
      </c>
      <c r="B109" s="184"/>
      <c r="C109" s="245" t="s">
        <v>164</v>
      </c>
      <c r="D109" s="184"/>
      <c r="E109" s="214"/>
      <c r="F109" s="244" t="s">
        <v>163</v>
      </c>
      <c r="G109" s="184"/>
      <c r="H109" s="246" t="s">
        <v>165</v>
      </c>
      <c r="I109" s="18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244" t="s">
        <v>166</v>
      </c>
      <c r="B110" s="184"/>
      <c r="C110" s="247" t="s">
        <v>166</v>
      </c>
      <c r="D110" s="184"/>
      <c r="E110" s="214"/>
      <c r="F110" s="244" t="s">
        <v>166</v>
      </c>
      <c r="G110" s="184"/>
      <c r="H110" s="244" t="s">
        <v>166</v>
      </c>
      <c r="I110" s="18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248" t="s">
        <v>167</v>
      </c>
      <c r="B111" s="179"/>
      <c r="C111" s="249">
        <v>600.0</v>
      </c>
      <c r="D111" s="184"/>
      <c r="E111" s="214"/>
      <c r="F111" s="248" t="s">
        <v>168</v>
      </c>
      <c r="G111" s="179"/>
      <c r="H111" s="179"/>
      <c r="I111" s="18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248" t="s">
        <v>169</v>
      </c>
      <c r="B112" s="184"/>
      <c r="C112" s="250" t="s">
        <v>170</v>
      </c>
      <c r="D112" s="184"/>
      <c r="E112" s="214"/>
      <c r="F112" s="248" t="s">
        <v>171</v>
      </c>
      <c r="G112" s="184"/>
      <c r="H112" s="251">
        <v>10500.0</v>
      </c>
      <c r="I112" s="18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248" t="s">
        <v>172</v>
      </c>
      <c r="B113" s="184"/>
      <c r="C113" s="250" t="s">
        <v>170</v>
      </c>
      <c r="D113" s="184"/>
      <c r="E113" s="214"/>
      <c r="F113" s="248" t="s">
        <v>173</v>
      </c>
      <c r="G113" s="184"/>
      <c r="H113" s="251">
        <v>9000.0</v>
      </c>
      <c r="I113" s="18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248" t="s">
        <v>174</v>
      </c>
      <c r="B114" s="184"/>
      <c r="C114" s="250" t="s">
        <v>170</v>
      </c>
      <c r="D114" s="184"/>
      <c r="E114" s="214"/>
      <c r="F114" s="248" t="s">
        <v>175</v>
      </c>
      <c r="G114" s="184"/>
      <c r="H114" s="251">
        <v>7500.0</v>
      </c>
      <c r="I114" s="18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214"/>
      <c r="B115" s="214"/>
      <c r="C115" s="214"/>
      <c r="D115" s="214"/>
      <c r="E115" s="214"/>
      <c r="F115" s="248" t="s">
        <v>176</v>
      </c>
      <c r="G115" s="184"/>
      <c r="H115" s="251">
        <v>6000.0</v>
      </c>
      <c r="I115" s="18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214"/>
      <c r="B116" s="214"/>
      <c r="C116" s="214"/>
      <c r="D116" s="214"/>
      <c r="E116" s="214"/>
      <c r="F116" s="248" t="s">
        <v>177</v>
      </c>
      <c r="G116" s="184"/>
      <c r="H116" s="251">
        <v>4600.0</v>
      </c>
      <c r="I116" s="18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214"/>
      <c r="B117" s="214"/>
      <c r="C117" s="214"/>
      <c r="D117" s="214"/>
      <c r="E117" s="214"/>
      <c r="F117" s="248" t="s">
        <v>178</v>
      </c>
      <c r="G117" s="184"/>
      <c r="H117" s="251">
        <v>3100.0</v>
      </c>
      <c r="I117" s="18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214"/>
      <c r="B118" s="214"/>
      <c r="C118" s="214"/>
      <c r="D118" s="214"/>
      <c r="E118" s="214"/>
      <c r="F118" s="252" t="s">
        <v>179</v>
      </c>
      <c r="G118" s="184"/>
      <c r="H118" s="253">
        <v>2600.0</v>
      </c>
      <c r="I118" s="18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14"/>
      <c r="B119" s="214"/>
      <c r="C119" s="214"/>
      <c r="D119" s="214"/>
      <c r="E119" s="214"/>
      <c r="F119" s="252" t="s">
        <v>180</v>
      </c>
      <c r="G119" s="184"/>
      <c r="H119" s="253">
        <v>600.0</v>
      </c>
      <c r="I119" s="18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14"/>
      <c r="B120" s="214"/>
      <c r="C120" s="214"/>
      <c r="D120" s="214"/>
      <c r="E120" s="214"/>
      <c r="F120" s="214"/>
      <c r="G120" s="214"/>
      <c r="H120" s="239"/>
      <c r="I120" s="254" t="s">
        <v>181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</sheetData>
  <mergeCells count="60"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F115:G115"/>
    <mergeCell ref="H115:I115"/>
    <mergeCell ref="H116:I116"/>
    <mergeCell ref="A1:K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A86:A94"/>
    <mergeCell ref="C86:E86"/>
    <mergeCell ref="C92:E92"/>
    <mergeCell ref="A95:F95"/>
    <mergeCell ref="C96:D96"/>
    <mergeCell ref="A98:A101"/>
    <mergeCell ref="C109:D109"/>
    <mergeCell ref="F109:G109"/>
    <mergeCell ref="F110:G110"/>
    <mergeCell ref="H110:I110"/>
    <mergeCell ref="F111:I111"/>
    <mergeCell ref="F112:G112"/>
    <mergeCell ref="H112:I112"/>
    <mergeCell ref="A102:F102"/>
    <mergeCell ref="F106:G106"/>
    <mergeCell ref="F107:G107"/>
    <mergeCell ref="H107:I107"/>
    <mergeCell ref="C108:D108"/>
    <mergeCell ref="F108:I108"/>
    <mergeCell ref="H109:I109"/>
    <mergeCell ref="A109:B109"/>
    <mergeCell ref="A110:B110"/>
    <mergeCell ref="C110:D110"/>
    <mergeCell ref="A111:B111"/>
    <mergeCell ref="C111:D111"/>
    <mergeCell ref="A112:B112"/>
    <mergeCell ref="C112:D112"/>
    <mergeCell ref="F116:G116"/>
    <mergeCell ref="F117:G117"/>
    <mergeCell ref="H117:I117"/>
    <mergeCell ref="F118:G118"/>
    <mergeCell ref="H118:I118"/>
    <mergeCell ref="F119:G119"/>
    <mergeCell ref="H119:I119"/>
  </mergeCells>
  <printOptions/>
  <pageMargins bottom="0.7480314960629921" footer="0.0" header="0.0" left="0.0" right="0.0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51.86"/>
    <col customWidth="1" min="2" max="2" width="29.0"/>
    <col customWidth="1" min="3" max="3" width="17.29"/>
    <col customWidth="1" min="4" max="4" width="15.29"/>
    <col customWidth="1" min="5" max="7" width="19.0"/>
    <col customWidth="1" min="8" max="8" width="17.43"/>
    <col customWidth="1" min="9" max="9" width="16.71"/>
    <col customWidth="1" min="10" max="10" width="16.14"/>
    <col customWidth="1" min="11" max="11" width="14.14"/>
    <col customWidth="1" min="12" max="12" width="4.71"/>
    <col customWidth="1" hidden="1" min="13" max="15" width="8.86"/>
    <col customWidth="1" hidden="1" min="16" max="16" width="29.14"/>
    <col customWidth="1" min="17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8.5" customHeight="1">
      <c r="A2" s="6"/>
      <c r="B2" s="7"/>
      <c r="C2" s="7"/>
      <c r="D2" s="7"/>
      <c r="E2" s="7"/>
      <c r="F2" s="7"/>
      <c r="G2" s="7"/>
      <c r="H2" s="7"/>
      <c r="I2" s="8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0" customHeight="1">
      <c r="A3" s="9" t="s">
        <v>1</v>
      </c>
      <c r="B3" s="12" t="str">
        <f>'ex NEA to AUFRE'!B3</f>
        <v>15 Aug to 31 Aug 2026</v>
      </c>
      <c r="C3" s="11"/>
      <c r="D3" s="11"/>
      <c r="E3" s="11"/>
      <c r="F3" s="11"/>
      <c r="G3" s="14"/>
      <c r="H3" s="14"/>
      <c r="I3" s="15"/>
      <c r="J3" s="14" t="s">
        <v>3</v>
      </c>
      <c r="K3" s="15">
        <f>'ex NEA to AUFRE'!J3</f>
        <v>46241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7"/>
      <c r="B4" s="18" t="s">
        <v>4</v>
      </c>
      <c r="C4" s="18" t="s">
        <v>5</v>
      </c>
      <c r="D4" s="18" t="s">
        <v>6</v>
      </c>
      <c r="E4" s="21" t="s">
        <v>7</v>
      </c>
      <c r="F4" s="21" t="s">
        <v>8</v>
      </c>
      <c r="G4" s="25" t="s">
        <v>9</v>
      </c>
      <c r="H4" s="26" t="s">
        <v>10</v>
      </c>
      <c r="I4" s="24" t="s">
        <v>11</v>
      </c>
      <c r="J4" s="30" t="s">
        <v>12</v>
      </c>
      <c r="K4" s="24" t="s">
        <v>13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27"/>
      <c r="B5" s="28"/>
      <c r="C5" s="28"/>
      <c r="D5" s="28"/>
      <c r="E5" s="32" t="s">
        <v>14</v>
      </c>
      <c r="F5" s="32" t="s">
        <v>14</v>
      </c>
      <c r="G5" s="34" t="s">
        <v>14</v>
      </c>
      <c r="H5" s="36" t="s">
        <v>14</v>
      </c>
      <c r="I5" s="38" t="s">
        <v>14</v>
      </c>
      <c r="J5" s="40" t="s">
        <v>14</v>
      </c>
      <c r="K5" s="36" t="s">
        <v>14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35" t="s">
        <v>15</v>
      </c>
      <c r="B6" s="37" t="s">
        <v>16</v>
      </c>
      <c r="C6" s="37" t="s">
        <v>19</v>
      </c>
      <c r="D6" s="37" t="s">
        <v>20</v>
      </c>
      <c r="E6" s="44">
        <f>'ex NEA to AUFRE'!E6+50</f>
        <v>2250</v>
      </c>
      <c r="F6" s="45">
        <f>E6*2</f>
        <v>4500</v>
      </c>
      <c r="G6" s="47">
        <f t="shared" ref="G6:G17" si="2">F6</f>
        <v>4500</v>
      </c>
      <c r="H6" s="49">
        <f>E6+150</f>
        <v>2400</v>
      </c>
      <c r="I6" s="47">
        <f>G6+300</f>
        <v>4800</v>
      </c>
      <c r="J6" s="51">
        <f>'ex NEA to AUFRE'!J6+50</f>
        <v>1950</v>
      </c>
      <c r="K6" s="52"/>
      <c r="L6" s="5"/>
      <c r="M6" s="5"/>
      <c r="N6" s="5"/>
      <c r="O6" s="5"/>
      <c r="P6" s="5"/>
      <c r="Q6" s="50"/>
      <c r="R6" s="50"/>
      <c r="S6" s="50"/>
      <c r="T6" s="50"/>
      <c r="U6" s="50"/>
      <c r="V6" s="5"/>
      <c r="W6" s="5"/>
      <c r="X6" s="5"/>
      <c r="Y6" s="5"/>
      <c r="Z6" s="5"/>
    </row>
    <row r="7" ht="14.25" customHeight="1">
      <c r="A7" s="35"/>
      <c r="B7" s="53" t="s">
        <v>21</v>
      </c>
      <c r="C7" s="53" t="s">
        <v>19</v>
      </c>
      <c r="D7" s="53" t="s">
        <v>20</v>
      </c>
      <c r="E7" s="44">
        <f t="shared" ref="E7:F7" si="1">E6</f>
        <v>2250</v>
      </c>
      <c r="F7" s="55">
        <f t="shared" si="1"/>
        <v>4500</v>
      </c>
      <c r="G7" s="56">
        <f t="shared" si="2"/>
        <v>4500</v>
      </c>
      <c r="H7" s="45">
        <f t="shared" ref="H7:J7" si="3">H6</f>
        <v>2400</v>
      </c>
      <c r="I7" s="57">
        <f t="shared" si="3"/>
        <v>4800</v>
      </c>
      <c r="J7" s="51">
        <f t="shared" si="3"/>
        <v>1950</v>
      </c>
      <c r="K7" s="58"/>
      <c r="L7" s="5"/>
      <c r="M7" s="5"/>
      <c r="N7" s="5"/>
      <c r="O7" s="5"/>
      <c r="P7" s="5"/>
      <c r="Q7" s="50"/>
      <c r="R7" s="50"/>
      <c r="S7" s="50"/>
      <c r="T7" s="50"/>
      <c r="U7" s="50"/>
      <c r="V7" s="5"/>
      <c r="W7" s="5"/>
      <c r="X7" s="5"/>
      <c r="Y7" s="5"/>
      <c r="Z7" s="5"/>
    </row>
    <row r="8" ht="14.25" customHeight="1">
      <c r="A8" s="35"/>
      <c r="B8" s="53" t="s">
        <v>22</v>
      </c>
      <c r="C8" s="53" t="s">
        <v>19</v>
      </c>
      <c r="D8" s="53" t="s">
        <v>20</v>
      </c>
      <c r="E8" s="44">
        <f t="shared" ref="E8:F8" si="4">E6</f>
        <v>2250</v>
      </c>
      <c r="F8" s="55">
        <f t="shared" si="4"/>
        <v>4500</v>
      </c>
      <c r="G8" s="56">
        <f t="shared" si="2"/>
        <v>4500</v>
      </c>
      <c r="H8" s="45">
        <f t="shared" ref="H8:J8" si="5">H6</f>
        <v>2400</v>
      </c>
      <c r="I8" s="57">
        <f t="shared" si="5"/>
        <v>4800</v>
      </c>
      <c r="J8" s="51">
        <f t="shared" si="5"/>
        <v>1950</v>
      </c>
      <c r="K8" s="58"/>
      <c r="L8" s="5"/>
      <c r="M8" s="5"/>
      <c r="N8" s="5"/>
      <c r="O8" s="5"/>
      <c r="P8" s="5"/>
      <c r="Q8" s="50"/>
      <c r="R8" s="50"/>
      <c r="S8" s="50"/>
      <c r="T8" s="50"/>
      <c r="U8" s="50"/>
      <c r="V8" s="5"/>
      <c r="W8" s="5"/>
      <c r="X8" s="5"/>
      <c r="Y8" s="5"/>
      <c r="Z8" s="5"/>
    </row>
    <row r="9" ht="14.25" customHeight="1">
      <c r="A9" s="35"/>
      <c r="B9" s="53" t="s">
        <v>23</v>
      </c>
      <c r="C9" s="53" t="s">
        <v>19</v>
      </c>
      <c r="D9" s="53" t="s">
        <v>20</v>
      </c>
      <c r="E9" s="44">
        <f t="shared" ref="E9:F9" si="6">E6</f>
        <v>2250</v>
      </c>
      <c r="F9" s="55">
        <f t="shared" si="6"/>
        <v>4500</v>
      </c>
      <c r="G9" s="56">
        <f t="shared" si="2"/>
        <v>4500</v>
      </c>
      <c r="H9" s="55">
        <f t="shared" ref="H9:J9" si="7">H6</f>
        <v>2400</v>
      </c>
      <c r="I9" s="57">
        <f t="shared" si="7"/>
        <v>4800</v>
      </c>
      <c r="J9" s="61">
        <f t="shared" si="7"/>
        <v>1950</v>
      </c>
      <c r="K9" s="62"/>
      <c r="L9" s="5"/>
      <c r="M9" s="5"/>
      <c r="N9" s="5"/>
      <c r="O9" s="5"/>
      <c r="P9" s="5"/>
      <c r="Q9" s="50"/>
      <c r="R9" s="50"/>
      <c r="S9" s="50"/>
      <c r="T9" s="50"/>
      <c r="U9" s="50"/>
      <c r="V9" s="5"/>
      <c r="W9" s="5"/>
      <c r="X9" s="5"/>
      <c r="Y9" s="5"/>
      <c r="Z9" s="5"/>
    </row>
    <row r="10" ht="14.25" customHeight="1">
      <c r="A10" s="35"/>
      <c r="B10" s="63" t="s">
        <v>24</v>
      </c>
      <c r="C10" s="63" t="s">
        <v>19</v>
      </c>
      <c r="D10" s="63" t="s">
        <v>20</v>
      </c>
      <c r="E10" s="65">
        <f t="shared" ref="E10:F10" si="8">E6+M10</f>
        <v>2450</v>
      </c>
      <c r="F10" s="66">
        <f t="shared" si="8"/>
        <v>4700</v>
      </c>
      <c r="G10" s="68">
        <f t="shared" si="2"/>
        <v>4700</v>
      </c>
      <c r="H10" s="66"/>
      <c r="I10" s="70"/>
      <c r="J10" s="71"/>
      <c r="K10" s="66"/>
      <c r="L10" s="5"/>
      <c r="M10" s="67">
        <v>200.0</v>
      </c>
      <c r="N10" s="67">
        <v>200.0</v>
      </c>
      <c r="O10" s="67">
        <v>200.0</v>
      </c>
      <c r="P10" s="69" t="s">
        <v>25</v>
      </c>
      <c r="Q10" s="50"/>
      <c r="R10" s="50"/>
      <c r="S10" s="50"/>
      <c r="T10" s="50"/>
      <c r="U10" s="50"/>
      <c r="V10" s="5"/>
      <c r="W10" s="5"/>
      <c r="X10" s="5"/>
      <c r="Y10" s="5"/>
      <c r="Z10" s="5"/>
    </row>
    <row r="11" ht="14.25" customHeight="1" outlineLevel="1">
      <c r="A11" s="35"/>
      <c r="B11" s="73" t="s">
        <v>26</v>
      </c>
      <c r="C11" s="63" t="s">
        <v>19</v>
      </c>
      <c r="D11" s="63" t="s">
        <v>20</v>
      </c>
      <c r="E11" s="65">
        <f t="shared" ref="E11:E14" si="9">$E$7+M11</f>
        <v>2650</v>
      </c>
      <c r="F11" s="66">
        <f t="shared" ref="F11:F14" si="10">$F$7+N11</f>
        <v>5200</v>
      </c>
      <c r="G11" s="68">
        <f t="shared" si="2"/>
        <v>5200</v>
      </c>
      <c r="H11" s="66"/>
      <c r="I11" s="70"/>
      <c r="J11" s="71"/>
      <c r="K11" s="66"/>
      <c r="L11" s="5"/>
      <c r="M11" s="67">
        <v>400.0</v>
      </c>
      <c r="N11" s="67">
        <v>700.0</v>
      </c>
      <c r="O11" s="67">
        <v>700.0</v>
      </c>
      <c r="P11" s="69" t="s">
        <v>27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 outlineLevel="1">
      <c r="A12" s="35"/>
      <c r="B12" s="73" t="s">
        <v>28</v>
      </c>
      <c r="C12" s="63" t="s">
        <v>19</v>
      </c>
      <c r="D12" s="63" t="s">
        <v>20</v>
      </c>
      <c r="E12" s="65">
        <f t="shared" si="9"/>
        <v>2450</v>
      </c>
      <c r="F12" s="66">
        <f t="shared" si="10"/>
        <v>4700</v>
      </c>
      <c r="G12" s="68">
        <f t="shared" si="2"/>
        <v>4700</v>
      </c>
      <c r="H12" s="66"/>
      <c r="I12" s="70"/>
      <c r="J12" s="71"/>
      <c r="K12" s="66"/>
      <c r="L12" s="5"/>
      <c r="M12" s="67">
        <v>200.0</v>
      </c>
      <c r="N12" s="67">
        <v>200.0</v>
      </c>
      <c r="O12" s="67">
        <v>200.0</v>
      </c>
      <c r="P12" s="69" t="s">
        <v>27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 outlineLevel="1">
      <c r="A13" s="35"/>
      <c r="B13" s="73" t="s">
        <v>29</v>
      </c>
      <c r="C13" s="63" t="s">
        <v>19</v>
      </c>
      <c r="D13" s="63" t="s">
        <v>20</v>
      </c>
      <c r="E13" s="65">
        <f t="shared" si="9"/>
        <v>2500</v>
      </c>
      <c r="F13" s="66">
        <f t="shared" si="10"/>
        <v>4900</v>
      </c>
      <c r="G13" s="68">
        <f t="shared" si="2"/>
        <v>4900</v>
      </c>
      <c r="H13" s="66"/>
      <c r="I13" s="70"/>
      <c r="J13" s="71"/>
      <c r="K13" s="66"/>
      <c r="L13" s="5"/>
      <c r="M13" s="67">
        <v>250.0</v>
      </c>
      <c r="N13" s="67">
        <v>400.0</v>
      </c>
      <c r="O13" s="67">
        <v>400.0</v>
      </c>
      <c r="P13" s="69" t="s">
        <v>27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 outlineLevel="1">
      <c r="A14" s="35"/>
      <c r="B14" s="73" t="s">
        <v>30</v>
      </c>
      <c r="C14" s="63" t="s">
        <v>19</v>
      </c>
      <c r="D14" s="63" t="s">
        <v>20</v>
      </c>
      <c r="E14" s="65">
        <f t="shared" si="9"/>
        <v>3750</v>
      </c>
      <c r="F14" s="66">
        <f t="shared" si="10"/>
        <v>7000</v>
      </c>
      <c r="G14" s="68">
        <f t="shared" si="2"/>
        <v>7000</v>
      </c>
      <c r="H14" s="66"/>
      <c r="I14" s="70"/>
      <c r="J14" s="71"/>
      <c r="K14" s="66"/>
      <c r="L14" s="5"/>
      <c r="M14" s="67">
        <v>1500.0</v>
      </c>
      <c r="N14" s="67">
        <v>2500.0</v>
      </c>
      <c r="O14" s="67">
        <v>2500.0</v>
      </c>
      <c r="P14" s="69" t="s">
        <v>27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 outlineLevel="1">
      <c r="A15" s="35"/>
      <c r="B15" s="74" t="s">
        <v>31</v>
      </c>
      <c r="C15" s="63" t="s">
        <v>19</v>
      </c>
      <c r="D15" s="63" t="s">
        <v>20</v>
      </c>
      <c r="E15" s="65"/>
      <c r="F15" s="75">
        <f>F43+N15</f>
        <v>5550</v>
      </c>
      <c r="G15" s="76">
        <f t="shared" si="2"/>
        <v>5550</v>
      </c>
      <c r="H15" s="66"/>
      <c r="I15" s="70"/>
      <c r="J15" s="71"/>
      <c r="K15" s="66"/>
      <c r="L15" s="5"/>
      <c r="M15" s="67"/>
      <c r="N15" s="78">
        <v>1050.0</v>
      </c>
      <c r="O15" s="78">
        <v>1050.0</v>
      </c>
      <c r="P15" s="79" t="s">
        <v>32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 outlineLevel="1">
      <c r="A16" s="35"/>
      <c r="B16" s="73" t="s">
        <v>33</v>
      </c>
      <c r="C16" s="63" t="s">
        <v>19</v>
      </c>
      <c r="D16" s="63" t="s">
        <v>20</v>
      </c>
      <c r="E16" s="65">
        <f>$E$7+M16</f>
        <v>2600</v>
      </c>
      <c r="F16" s="66">
        <f>$F$7+N16</f>
        <v>5400</v>
      </c>
      <c r="G16" s="68">
        <f t="shared" si="2"/>
        <v>5400</v>
      </c>
      <c r="H16" s="66"/>
      <c r="I16" s="70"/>
      <c r="J16" s="71"/>
      <c r="K16" s="66"/>
      <c r="L16" s="5"/>
      <c r="M16" s="67">
        <v>350.0</v>
      </c>
      <c r="N16" s="67">
        <v>900.0</v>
      </c>
      <c r="O16" s="67">
        <v>900.0</v>
      </c>
      <c r="P16" s="69" t="s">
        <v>27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 outlineLevel="1">
      <c r="A17" s="35"/>
      <c r="B17" s="81" t="s">
        <v>34</v>
      </c>
      <c r="C17" s="63" t="s">
        <v>19</v>
      </c>
      <c r="D17" s="63" t="s">
        <v>20</v>
      </c>
      <c r="E17" s="82">
        <f>E43+M17</f>
        <v>3250</v>
      </c>
      <c r="F17" s="83">
        <f>F44+N17</f>
        <v>5450</v>
      </c>
      <c r="G17" s="84">
        <f t="shared" si="2"/>
        <v>5450</v>
      </c>
      <c r="H17" s="66"/>
      <c r="I17" s="70"/>
      <c r="J17" s="71"/>
      <c r="K17" s="66"/>
      <c r="L17" s="5"/>
      <c r="M17" s="85">
        <v>1000.0</v>
      </c>
      <c r="N17" s="85">
        <v>950.0</v>
      </c>
      <c r="O17" s="85">
        <v>950.0</v>
      </c>
      <c r="P17" s="79" t="s">
        <v>32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 outlineLevel="1">
      <c r="A18" s="35"/>
      <c r="B18" s="86" t="s">
        <v>35</v>
      </c>
      <c r="C18" s="63" t="s">
        <v>19</v>
      </c>
      <c r="D18" s="63" t="s">
        <v>20</v>
      </c>
      <c r="E18" s="82">
        <f>E42+900</f>
        <v>3150</v>
      </c>
      <c r="F18" s="83">
        <f t="shared" ref="F18:G18" si="11">F42+1000</f>
        <v>5500</v>
      </c>
      <c r="G18" s="84">
        <f t="shared" si="11"/>
        <v>5500</v>
      </c>
      <c r="H18" s="66"/>
      <c r="I18" s="70"/>
      <c r="J18" s="71"/>
      <c r="K18" s="66"/>
      <c r="L18" s="5"/>
      <c r="M18" s="67"/>
      <c r="N18" s="67"/>
      <c r="O18" s="67"/>
      <c r="P18" s="69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 outlineLevel="1">
      <c r="A19" s="35"/>
      <c r="B19" s="73" t="s">
        <v>36</v>
      </c>
      <c r="C19" s="63" t="s">
        <v>19</v>
      </c>
      <c r="D19" s="63" t="s">
        <v>20</v>
      </c>
      <c r="E19" s="65">
        <f t="shared" ref="E19:E20" si="12">$E$7+M19</f>
        <v>2450</v>
      </c>
      <c r="F19" s="66">
        <f t="shared" ref="F19:F20" si="13">$F$7+N19</f>
        <v>4750</v>
      </c>
      <c r="G19" s="68">
        <f t="shared" ref="G19:G22" si="14">F19</f>
        <v>4750</v>
      </c>
      <c r="H19" s="66"/>
      <c r="I19" s="70"/>
      <c r="J19" s="71"/>
      <c r="K19" s="66"/>
      <c r="L19" s="5"/>
      <c r="M19" s="67">
        <v>200.0</v>
      </c>
      <c r="N19" s="67">
        <v>250.0</v>
      </c>
      <c r="O19" s="67">
        <v>250.0</v>
      </c>
      <c r="P19" s="69" t="s">
        <v>27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 outlineLevel="1">
      <c r="A20" s="35"/>
      <c r="B20" s="73" t="s">
        <v>37</v>
      </c>
      <c r="C20" s="63" t="s">
        <v>19</v>
      </c>
      <c r="D20" s="63" t="s">
        <v>20</v>
      </c>
      <c r="E20" s="65">
        <f t="shared" si="12"/>
        <v>2600</v>
      </c>
      <c r="F20" s="66">
        <f t="shared" si="13"/>
        <v>5050</v>
      </c>
      <c r="G20" s="68">
        <f t="shared" si="14"/>
        <v>5050</v>
      </c>
      <c r="H20" s="66"/>
      <c r="I20" s="70"/>
      <c r="J20" s="71"/>
      <c r="K20" s="66"/>
      <c r="L20" s="5"/>
      <c r="M20" s="67">
        <v>350.0</v>
      </c>
      <c r="N20" s="67">
        <v>550.0</v>
      </c>
      <c r="O20" s="67">
        <v>550.0</v>
      </c>
      <c r="P20" s="69" t="s">
        <v>27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 outlineLevel="1">
      <c r="A21" s="35"/>
      <c r="B21" s="73" t="s">
        <v>38</v>
      </c>
      <c r="C21" s="63" t="s">
        <v>19</v>
      </c>
      <c r="D21" s="63" t="s">
        <v>20</v>
      </c>
      <c r="E21" s="65">
        <f>$E$6+M21</f>
        <v>2350</v>
      </c>
      <c r="F21" s="66">
        <f>$F$6+N21</f>
        <v>4650</v>
      </c>
      <c r="G21" s="68">
        <f t="shared" si="14"/>
        <v>4650</v>
      </c>
      <c r="H21" s="66"/>
      <c r="I21" s="70"/>
      <c r="J21" s="71"/>
      <c r="K21" s="66"/>
      <c r="L21" s="5"/>
      <c r="M21" s="87">
        <v>100.0</v>
      </c>
      <c r="N21" s="87">
        <v>150.0</v>
      </c>
      <c r="O21" s="87">
        <v>150.0</v>
      </c>
      <c r="P21" s="88" t="s">
        <v>25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 outlineLevel="1">
      <c r="A22" s="35"/>
      <c r="B22" s="73" t="s">
        <v>41</v>
      </c>
      <c r="C22" s="63" t="s">
        <v>19</v>
      </c>
      <c r="D22" s="63" t="s">
        <v>20</v>
      </c>
      <c r="E22" s="65">
        <f>$E$7+M22</f>
        <v>2635</v>
      </c>
      <c r="F22" s="66">
        <f>$F$7+N22</f>
        <v>5150</v>
      </c>
      <c r="G22" s="68">
        <f t="shared" si="14"/>
        <v>5150</v>
      </c>
      <c r="H22" s="66"/>
      <c r="I22" s="70"/>
      <c r="J22" s="71"/>
      <c r="K22" s="66"/>
      <c r="L22" s="5"/>
      <c r="M22" s="67">
        <v>385.0</v>
      </c>
      <c r="N22" s="67">
        <v>650.0</v>
      </c>
      <c r="O22" s="67">
        <v>650.0</v>
      </c>
      <c r="P22" s="69" t="s">
        <v>27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 outlineLevel="1">
      <c r="A23" s="35"/>
      <c r="B23" s="81" t="s">
        <v>40</v>
      </c>
      <c r="C23" s="63" t="s">
        <v>19</v>
      </c>
      <c r="D23" s="63" t="s">
        <v>20</v>
      </c>
      <c r="E23" s="82">
        <f t="shared" ref="E23:G23" si="15">E43+M23</f>
        <v>2895</v>
      </c>
      <c r="F23" s="83">
        <f t="shared" si="15"/>
        <v>5325</v>
      </c>
      <c r="G23" s="84">
        <f t="shared" si="15"/>
        <v>5325</v>
      </c>
      <c r="H23" s="66"/>
      <c r="I23" s="70"/>
      <c r="J23" s="71"/>
      <c r="K23" s="66"/>
      <c r="L23" s="5"/>
      <c r="M23" s="89">
        <v>645.0</v>
      </c>
      <c r="N23" s="85">
        <v>825.0</v>
      </c>
      <c r="O23" s="85">
        <v>825.0</v>
      </c>
      <c r="P23" s="79" t="s">
        <v>32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 outlineLevel="1">
      <c r="A24" s="35"/>
      <c r="B24" s="73" t="s">
        <v>42</v>
      </c>
      <c r="C24" s="63" t="s">
        <v>19</v>
      </c>
      <c r="D24" s="63" t="s">
        <v>20</v>
      </c>
      <c r="E24" s="65">
        <f t="shared" ref="E24:E25" si="16">$E$7+M24</f>
        <v>2500</v>
      </c>
      <c r="F24" s="66">
        <f t="shared" ref="F24:F25" si="17">$F$7+N24</f>
        <v>4900</v>
      </c>
      <c r="G24" s="68">
        <f t="shared" ref="G24:G46" si="18">F24</f>
        <v>4900</v>
      </c>
      <c r="H24" s="66"/>
      <c r="I24" s="70"/>
      <c r="J24" s="71"/>
      <c r="K24" s="66"/>
      <c r="L24" s="5"/>
      <c r="M24" s="67">
        <v>250.0</v>
      </c>
      <c r="N24" s="67">
        <v>400.0</v>
      </c>
      <c r="O24" s="67">
        <v>400.0</v>
      </c>
      <c r="P24" s="69" t="s">
        <v>27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 outlineLevel="1">
      <c r="A25" s="35"/>
      <c r="B25" s="73" t="s">
        <v>43</v>
      </c>
      <c r="C25" s="63" t="s">
        <v>19</v>
      </c>
      <c r="D25" s="63" t="s">
        <v>20</v>
      </c>
      <c r="E25" s="65">
        <f t="shared" si="16"/>
        <v>2500</v>
      </c>
      <c r="F25" s="66">
        <f t="shared" si="17"/>
        <v>4900</v>
      </c>
      <c r="G25" s="68">
        <f t="shared" si="18"/>
        <v>4900</v>
      </c>
      <c r="H25" s="66"/>
      <c r="I25" s="70"/>
      <c r="J25" s="71"/>
      <c r="K25" s="66"/>
      <c r="L25" s="5"/>
      <c r="M25" s="67">
        <v>250.0</v>
      </c>
      <c r="N25" s="67">
        <v>400.0</v>
      </c>
      <c r="O25" s="67">
        <v>400.0</v>
      </c>
      <c r="P25" s="69" t="s">
        <v>27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 outlineLevel="1">
      <c r="A26" s="35"/>
      <c r="B26" s="73" t="s">
        <v>44</v>
      </c>
      <c r="C26" s="63" t="s">
        <v>19</v>
      </c>
      <c r="D26" s="63" t="s">
        <v>20</v>
      </c>
      <c r="E26" s="65">
        <f>$E$6+M26</f>
        <v>2450</v>
      </c>
      <c r="F26" s="66">
        <f>$F$6+N26</f>
        <v>4750</v>
      </c>
      <c r="G26" s="68">
        <f t="shared" si="18"/>
        <v>4750</v>
      </c>
      <c r="H26" s="66"/>
      <c r="I26" s="70"/>
      <c r="J26" s="71"/>
      <c r="K26" s="66"/>
      <c r="L26" s="5"/>
      <c r="M26" s="67">
        <v>200.0</v>
      </c>
      <c r="N26" s="67">
        <v>250.0</v>
      </c>
      <c r="O26" s="67">
        <v>250.0</v>
      </c>
      <c r="P26" s="69" t="s">
        <v>25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 outlineLevel="1">
      <c r="A27" s="35"/>
      <c r="B27" s="73" t="s">
        <v>45</v>
      </c>
      <c r="C27" s="63" t="s">
        <v>19</v>
      </c>
      <c r="D27" s="63" t="s">
        <v>20</v>
      </c>
      <c r="E27" s="65">
        <f t="shared" ref="E27:E28" si="19">$E$7+M27</f>
        <v>2450</v>
      </c>
      <c r="F27" s="66">
        <f t="shared" ref="F27:F28" si="20">$F$7+N27</f>
        <v>4800</v>
      </c>
      <c r="G27" s="68">
        <f t="shared" si="18"/>
        <v>4800</v>
      </c>
      <c r="H27" s="66"/>
      <c r="I27" s="70"/>
      <c r="J27" s="71"/>
      <c r="K27" s="66"/>
      <c r="L27" s="5"/>
      <c r="M27" s="67">
        <v>200.0</v>
      </c>
      <c r="N27" s="67">
        <v>300.0</v>
      </c>
      <c r="O27" s="67">
        <v>300.0</v>
      </c>
      <c r="P27" s="69" t="s">
        <v>27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 outlineLevel="1">
      <c r="A28" s="35"/>
      <c r="B28" s="73" t="s">
        <v>46</v>
      </c>
      <c r="C28" s="63" t="s">
        <v>19</v>
      </c>
      <c r="D28" s="63" t="s">
        <v>20</v>
      </c>
      <c r="E28" s="65">
        <f t="shared" si="19"/>
        <v>2500</v>
      </c>
      <c r="F28" s="66">
        <f t="shared" si="20"/>
        <v>4900</v>
      </c>
      <c r="G28" s="68">
        <f t="shared" si="18"/>
        <v>4900</v>
      </c>
      <c r="H28" s="66"/>
      <c r="I28" s="70"/>
      <c r="J28" s="71"/>
      <c r="K28" s="66"/>
      <c r="L28" s="5"/>
      <c r="M28" s="67">
        <v>250.0</v>
      </c>
      <c r="N28" s="67">
        <v>400.0</v>
      </c>
      <c r="O28" s="67">
        <v>400.0</v>
      </c>
      <c r="P28" s="69" t="s">
        <v>27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 outlineLevel="1">
      <c r="A29" s="35"/>
      <c r="B29" s="73" t="s">
        <v>47</v>
      </c>
      <c r="C29" s="63" t="s">
        <v>19</v>
      </c>
      <c r="D29" s="63" t="s">
        <v>20</v>
      </c>
      <c r="E29" s="65">
        <f>$E$8+M29</f>
        <v>2450</v>
      </c>
      <c r="F29" s="66">
        <f>$F$8+N29</f>
        <v>4700</v>
      </c>
      <c r="G29" s="68">
        <f t="shared" si="18"/>
        <v>4700</v>
      </c>
      <c r="H29" s="66"/>
      <c r="I29" s="70"/>
      <c r="J29" s="71"/>
      <c r="K29" s="66"/>
      <c r="L29" s="5"/>
      <c r="M29" s="67">
        <v>200.0</v>
      </c>
      <c r="N29" s="67">
        <v>200.0</v>
      </c>
      <c r="O29" s="67">
        <v>200.0</v>
      </c>
      <c r="P29" s="69" t="s">
        <v>48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 outlineLevel="1">
      <c r="A30" s="35"/>
      <c r="B30" s="73" t="s">
        <v>49</v>
      </c>
      <c r="C30" s="63" t="s">
        <v>19</v>
      </c>
      <c r="D30" s="63" t="s">
        <v>20</v>
      </c>
      <c r="E30" s="65">
        <f t="shared" ref="E30:E32" si="21">$E$7+M30</f>
        <v>2550</v>
      </c>
      <c r="F30" s="66">
        <f t="shared" ref="F30:F32" si="22">$F$7+N30</f>
        <v>5075</v>
      </c>
      <c r="G30" s="68">
        <f t="shared" si="18"/>
        <v>5075</v>
      </c>
      <c r="H30" s="66"/>
      <c r="I30" s="70"/>
      <c r="J30" s="71"/>
      <c r="K30" s="66"/>
      <c r="L30" s="5"/>
      <c r="M30" s="67">
        <v>300.0</v>
      </c>
      <c r="N30" s="67">
        <v>575.0</v>
      </c>
      <c r="O30" s="67">
        <v>575.0</v>
      </c>
      <c r="P30" s="69" t="s">
        <v>27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 outlineLevel="1">
      <c r="A31" s="35"/>
      <c r="B31" s="73" t="s">
        <v>50</v>
      </c>
      <c r="C31" s="63" t="s">
        <v>19</v>
      </c>
      <c r="D31" s="63" t="s">
        <v>20</v>
      </c>
      <c r="E31" s="65">
        <f t="shared" si="21"/>
        <v>2550</v>
      </c>
      <c r="F31" s="66">
        <f t="shared" si="22"/>
        <v>4875</v>
      </c>
      <c r="G31" s="68">
        <f t="shared" si="18"/>
        <v>4875</v>
      </c>
      <c r="H31" s="66"/>
      <c r="I31" s="70"/>
      <c r="J31" s="71"/>
      <c r="K31" s="66"/>
      <c r="L31" s="5"/>
      <c r="M31" s="67">
        <v>300.0</v>
      </c>
      <c r="N31" s="67">
        <v>375.0</v>
      </c>
      <c r="O31" s="67">
        <v>375.0</v>
      </c>
      <c r="P31" s="69" t="s">
        <v>27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 outlineLevel="1">
      <c r="A32" s="35"/>
      <c r="B32" s="73" t="s">
        <v>51</v>
      </c>
      <c r="C32" s="63" t="s">
        <v>19</v>
      </c>
      <c r="D32" s="63" t="s">
        <v>20</v>
      </c>
      <c r="E32" s="65">
        <f t="shared" si="21"/>
        <v>2525</v>
      </c>
      <c r="F32" s="66">
        <f t="shared" si="22"/>
        <v>4875</v>
      </c>
      <c r="G32" s="68">
        <f t="shared" si="18"/>
        <v>4875</v>
      </c>
      <c r="H32" s="66"/>
      <c r="I32" s="70"/>
      <c r="J32" s="71"/>
      <c r="K32" s="66"/>
      <c r="L32" s="5"/>
      <c r="M32" s="67">
        <v>275.0</v>
      </c>
      <c r="N32" s="67">
        <v>375.0</v>
      </c>
      <c r="O32" s="67">
        <v>375.0</v>
      </c>
      <c r="P32" s="69" t="s">
        <v>27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 outlineLevel="1">
      <c r="A33" s="35"/>
      <c r="B33" s="73" t="s">
        <v>52</v>
      </c>
      <c r="C33" s="63" t="s">
        <v>19</v>
      </c>
      <c r="D33" s="63" t="s">
        <v>20</v>
      </c>
      <c r="E33" s="65">
        <f>$E$6+M33</f>
        <v>2450</v>
      </c>
      <c r="F33" s="66">
        <f>$F$6+N33</f>
        <v>4700</v>
      </c>
      <c r="G33" s="68">
        <f t="shared" si="18"/>
        <v>4700</v>
      </c>
      <c r="H33" s="66"/>
      <c r="I33" s="70"/>
      <c r="J33" s="71"/>
      <c r="K33" s="66"/>
      <c r="L33" s="5"/>
      <c r="M33" s="67">
        <v>200.0</v>
      </c>
      <c r="N33" s="67">
        <v>200.0</v>
      </c>
      <c r="O33" s="67">
        <v>200.0</v>
      </c>
      <c r="P33" s="69" t="s">
        <v>25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 outlineLevel="1">
      <c r="A34" s="35"/>
      <c r="B34" s="73" t="s">
        <v>53</v>
      </c>
      <c r="C34" s="63" t="s">
        <v>19</v>
      </c>
      <c r="D34" s="63" t="s">
        <v>20</v>
      </c>
      <c r="E34" s="65">
        <f t="shared" ref="E34:E36" si="23">$E$7+M34</f>
        <v>2525</v>
      </c>
      <c r="F34" s="66">
        <f t="shared" ref="F34:F36" si="24">$F$7+N34</f>
        <v>5175</v>
      </c>
      <c r="G34" s="68">
        <f t="shared" si="18"/>
        <v>5175</v>
      </c>
      <c r="H34" s="66"/>
      <c r="I34" s="70"/>
      <c r="J34" s="71"/>
      <c r="K34" s="66"/>
      <c r="L34" s="5"/>
      <c r="M34" s="67">
        <v>275.0</v>
      </c>
      <c r="N34" s="67">
        <v>675.0</v>
      </c>
      <c r="O34" s="67">
        <v>675.0</v>
      </c>
      <c r="P34" s="69" t="s">
        <v>27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 outlineLevel="1">
      <c r="A35" s="35"/>
      <c r="B35" s="73" t="s">
        <v>54</v>
      </c>
      <c r="C35" s="63" t="s">
        <v>19</v>
      </c>
      <c r="D35" s="63" t="s">
        <v>20</v>
      </c>
      <c r="E35" s="65">
        <f t="shared" si="23"/>
        <v>2525</v>
      </c>
      <c r="F35" s="66">
        <f t="shared" si="24"/>
        <v>4875</v>
      </c>
      <c r="G35" s="68">
        <f t="shared" si="18"/>
        <v>4875</v>
      </c>
      <c r="H35" s="66"/>
      <c r="I35" s="70"/>
      <c r="J35" s="71"/>
      <c r="K35" s="66"/>
      <c r="L35" s="5"/>
      <c r="M35" s="67">
        <v>275.0</v>
      </c>
      <c r="N35" s="67">
        <v>375.0</v>
      </c>
      <c r="O35" s="67">
        <v>375.0</v>
      </c>
      <c r="P35" s="69" t="s">
        <v>27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 outlineLevel="1">
      <c r="A36" s="35"/>
      <c r="B36" s="73" t="s">
        <v>55</v>
      </c>
      <c r="C36" s="63" t="s">
        <v>19</v>
      </c>
      <c r="D36" s="63" t="s">
        <v>20</v>
      </c>
      <c r="E36" s="65">
        <f t="shared" si="23"/>
        <v>2500</v>
      </c>
      <c r="F36" s="66">
        <f t="shared" si="24"/>
        <v>4850</v>
      </c>
      <c r="G36" s="68">
        <f t="shared" si="18"/>
        <v>4850</v>
      </c>
      <c r="H36" s="66"/>
      <c r="I36" s="70"/>
      <c r="J36" s="71"/>
      <c r="K36" s="66"/>
      <c r="L36" s="5"/>
      <c r="M36" s="67">
        <v>250.0</v>
      </c>
      <c r="N36" s="67">
        <v>350.0</v>
      </c>
      <c r="O36" s="67">
        <v>350.0</v>
      </c>
      <c r="P36" s="69" t="s">
        <v>27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 outlineLevel="1">
      <c r="A37" s="35"/>
      <c r="B37" s="103" t="s">
        <v>56</v>
      </c>
      <c r="C37" s="105" t="s">
        <v>19</v>
      </c>
      <c r="D37" s="105" t="s">
        <v>20</v>
      </c>
      <c r="E37" s="95">
        <f>$E$8+M37</f>
        <v>2350</v>
      </c>
      <c r="F37" s="108">
        <f>$F$8+N37</f>
        <v>4625</v>
      </c>
      <c r="G37" s="109">
        <f t="shared" si="18"/>
        <v>4625</v>
      </c>
      <c r="H37" s="108"/>
      <c r="I37" s="99"/>
      <c r="J37" s="110"/>
      <c r="K37" s="99"/>
      <c r="L37" s="5"/>
      <c r="M37" s="67">
        <v>100.0</v>
      </c>
      <c r="N37" s="67">
        <v>125.0</v>
      </c>
      <c r="O37" s="67">
        <v>125.0</v>
      </c>
      <c r="P37" s="69" t="s">
        <v>48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11" t="s">
        <v>57</v>
      </c>
      <c r="B38" s="112" t="s">
        <v>58</v>
      </c>
      <c r="C38" s="112" t="s">
        <v>19</v>
      </c>
      <c r="D38" s="112" t="s">
        <v>20</v>
      </c>
      <c r="E38" s="44">
        <f t="shared" ref="E38:F38" si="25">E6</f>
        <v>2250</v>
      </c>
      <c r="F38" s="113">
        <f t="shared" si="25"/>
        <v>4500</v>
      </c>
      <c r="G38" s="114">
        <f t="shared" si="18"/>
        <v>4500</v>
      </c>
      <c r="H38" s="101">
        <f t="shared" ref="H38:K38" si="26">H6</f>
        <v>2400</v>
      </c>
      <c r="I38" s="117">
        <f t="shared" si="26"/>
        <v>4800</v>
      </c>
      <c r="J38" s="51">
        <f t="shared" si="26"/>
        <v>1950</v>
      </c>
      <c r="K38" s="58" t="str">
        <f t="shared" si="26"/>
        <v/>
      </c>
      <c r="L38" s="5"/>
      <c r="M38" s="5"/>
      <c r="N38" s="5"/>
      <c r="O38" s="5"/>
      <c r="P38" s="5"/>
      <c r="Q38" s="50"/>
      <c r="R38" s="50"/>
      <c r="S38" s="50"/>
      <c r="T38" s="50"/>
      <c r="U38" s="50"/>
      <c r="V38" s="5"/>
      <c r="W38" s="5"/>
      <c r="X38" s="5"/>
      <c r="Y38" s="5"/>
      <c r="Z38" s="5"/>
    </row>
    <row r="39" ht="14.25" customHeight="1">
      <c r="A39" s="104"/>
      <c r="B39" s="106" t="s">
        <v>59</v>
      </c>
      <c r="C39" s="63" t="s">
        <v>19</v>
      </c>
      <c r="D39" s="105" t="s">
        <v>20</v>
      </c>
      <c r="E39" s="98">
        <f t="shared" ref="E39:E41" si="27">$E$38+M39</f>
        <v>2350</v>
      </c>
      <c r="F39" s="108">
        <f t="shared" ref="F39:F41" si="28">$F$38+N39</f>
        <v>4700</v>
      </c>
      <c r="G39" s="109">
        <f t="shared" si="18"/>
        <v>4700</v>
      </c>
      <c r="H39" s="98"/>
      <c r="I39" s="99"/>
      <c r="J39" s="71"/>
      <c r="K39" s="66"/>
      <c r="L39" s="5"/>
      <c r="M39" s="67">
        <v>100.0</v>
      </c>
      <c r="N39" s="67">
        <v>200.0</v>
      </c>
      <c r="O39" s="67">
        <v>200.0</v>
      </c>
      <c r="P39" s="69"/>
      <c r="Q39" s="69"/>
      <c r="R39" s="5"/>
      <c r="S39" s="50"/>
      <c r="T39" s="50"/>
      <c r="U39" s="50"/>
      <c r="V39" s="5"/>
      <c r="W39" s="5"/>
      <c r="X39" s="5"/>
      <c r="Y39" s="5"/>
      <c r="Z39" s="5"/>
    </row>
    <row r="40" ht="14.25" customHeight="1">
      <c r="A40" s="104"/>
      <c r="B40" s="106" t="s">
        <v>60</v>
      </c>
      <c r="C40" s="63" t="s">
        <v>19</v>
      </c>
      <c r="D40" s="105" t="s">
        <v>20</v>
      </c>
      <c r="E40" s="98">
        <f t="shared" si="27"/>
        <v>2500</v>
      </c>
      <c r="F40" s="108">
        <f t="shared" si="28"/>
        <v>5000</v>
      </c>
      <c r="G40" s="109">
        <f t="shared" si="18"/>
        <v>5000</v>
      </c>
      <c r="H40" s="98"/>
      <c r="I40" s="99"/>
      <c r="J40" s="71"/>
      <c r="K40" s="66"/>
      <c r="L40" s="5"/>
      <c r="M40" s="67">
        <v>250.0</v>
      </c>
      <c r="N40" s="67">
        <v>500.0</v>
      </c>
      <c r="O40" s="67">
        <v>500.0</v>
      </c>
      <c r="P40" s="69"/>
      <c r="Q40" s="69"/>
      <c r="R40" s="5"/>
      <c r="S40" s="50"/>
      <c r="T40" s="50"/>
      <c r="U40" s="50"/>
      <c r="V40" s="5"/>
      <c r="W40" s="5"/>
      <c r="X40" s="5"/>
      <c r="Y40" s="5"/>
      <c r="Z40" s="5"/>
    </row>
    <row r="41" ht="14.25" customHeight="1">
      <c r="A41" s="115"/>
      <c r="B41" s="116" t="s">
        <v>61</v>
      </c>
      <c r="C41" s="93" t="s">
        <v>19</v>
      </c>
      <c r="D41" s="93" t="s">
        <v>20</v>
      </c>
      <c r="E41" s="95">
        <f t="shared" si="27"/>
        <v>2500</v>
      </c>
      <c r="F41" s="96">
        <f t="shared" si="28"/>
        <v>5000</v>
      </c>
      <c r="G41" s="118">
        <f t="shared" si="18"/>
        <v>5000</v>
      </c>
      <c r="H41" s="95"/>
      <c r="I41" s="97"/>
      <c r="J41" s="119"/>
      <c r="K41" s="96"/>
      <c r="L41" s="5"/>
      <c r="M41" s="67">
        <v>250.0</v>
      </c>
      <c r="N41" s="67">
        <v>500.0</v>
      </c>
      <c r="O41" s="67">
        <v>500.0</v>
      </c>
      <c r="P41" s="69"/>
      <c r="Q41" s="69"/>
      <c r="R41" s="5"/>
      <c r="S41" s="50"/>
      <c r="T41" s="50"/>
      <c r="U41" s="50"/>
      <c r="V41" s="5"/>
      <c r="W41" s="5"/>
      <c r="X41" s="5"/>
      <c r="Y41" s="5"/>
      <c r="Z41" s="5"/>
    </row>
    <row r="42" ht="14.25" customHeight="1" outlineLevel="1">
      <c r="A42" s="100" t="s">
        <v>62</v>
      </c>
      <c r="B42" s="37" t="s">
        <v>63</v>
      </c>
      <c r="C42" s="37" t="s">
        <v>19</v>
      </c>
      <c r="D42" s="37" t="s">
        <v>20</v>
      </c>
      <c r="E42" s="44">
        <f t="shared" ref="E42:F42" si="29">E6</f>
        <v>2250</v>
      </c>
      <c r="F42" s="45">
        <f t="shared" si="29"/>
        <v>4500</v>
      </c>
      <c r="G42" s="47">
        <f t="shared" si="18"/>
        <v>4500</v>
      </c>
      <c r="H42" s="49">
        <f t="shared" ref="H42:K42" si="30">H6</f>
        <v>2400</v>
      </c>
      <c r="I42" s="47">
        <f t="shared" si="30"/>
        <v>4800</v>
      </c>
      <c r="J42" s="51">
        <f t="shared" si="30"/>
        <v>1950</v>
      </c>
      <c r="K42" s="58" t="str">
        <f t="shared" si="30"/>
        <v/>
      </c>
      <c r="L42" s="5"/>
      <c r="M42" s="5"/>
      <c r="N42" s="5"/>
      <c r="O42" s="5"/>
      <c r="P42" s="5"/>
      <c r="Q42" s="5"/>
      <c r="R42" s="50"/>
      <c r="S42" s="5"/>
      <c r="T42" s="5"/>
      <c r="U42" s="5"/>
      <c r="V42" s="5"/>
      <c r="W42" s="5"/>
      <c r="X42" s="5"/>
      <c r="Y42" s="5"/>
      <c r="Z42" s="5"/>
    </row>
    <row r="43" ht="14.25" customHeight="1" outlineLevel="1">
      <c r="A43" s="104"/>
      <c r="B43" s="53" t="s">
        <v>64</v>
      </c>
      <c r="C43" s="53" t="s">
        <v>19</v>
      </c>
      <c r="D43" s="53" t="s">
        <v>20</v>
      </c>
      <c r="E43" s="44">
        <f t="shared" ref="E43:F43" si="31">E6</f>
        <v>2250</v>
      </c>
      <c r="F43" s="55">
        <f t="shared" si="31"/>
        <v>4500</v>
      </c>
      <c r="G43" s="56">
        <f t="shared" si="18"/>
        <v>4500</v>
      </c>
      <c r="H43" s="64">
        <f t="shared" ref="H43:K43" si="32">H6</f>
        <v>2400</v>
      </c>
      <c r="I43" s="57">
        <f t="shared" si="32"/>
        <v>4800</v>
      </c>
      <c r="J43" s="51">
        <f t="shared" si="32"/>
        <v>1950</v>
      </c>
      <c r="K43" s="58" t="str">
        <f t="shared" si="32"/>
        <v/>
      </c>
      <c r="L43" s="5"/>
      <c r="M43" s="5"/>
      <c r="N43" s="5"/>
      <c r="O43" s="5"/>
      <c r="P43" s="5"/>
      <c r="Q43" s="5"/>
      <c r="R43" s="50"/>
      <c r="S43" s="5"/>
      <c r="T43" s="5"/>
      <c r="U43" s="5"/>
      <c r="V43" s="5"/>
      <c r="W43" s="5"/>
      <c r="X43" s="5"/>
      <c r="Y43" s="5"/>
      <c r="Z43" s="5"/>
    </row>
    <row r="44" ht="14.25" customHeight="1" outlineLevel="1">
      <c r="A44" s="104"/>
      <c r="B44" s="53" t="s">
        <v>65</v>
      </c>
      <c r="C44" s="53" t="s">
        <v>19</v>
      </c>
      <c r="D44" s="53" t="s">
        <v>20</v>
      </c>
      <c r="E44" s="44">
        <f t="shared" ref="E44:F44" si="33">E6</f>
        <v>2250</v>
      </c>
      <c r="F44" s="55">
        <f t="shared" si="33"/>
        <v>4500</v>
      </c>
      <c r="G44" s="56">
        <f t="shared" si="18"/>
        <v>4500</v>
      </c>
      <c r="H44" s="64">
        <f t="shared" ref="H44:K44" si="34">H6</f>
        <v>2400</v>
      </c>
      <c r="I44" s="57">
        <f t="shared" si="34"/>
        <v>4800</v>
      </c>
      <c r="J44" s="51">
        <f t="shared" si="34"/>
        <v>1950</v>
      </c>
      <c r="K44" s="58" t="str">
        <f t="shared" si="34"/>
        <v/>
      </c>
      <c r="L44" s="5"/>
      <c r="M44" s="5"/>
      <c r="N44" s="5"/>
      <c r="O44" s="5"/>
      <c r="P44" s="5"/>
      <c r="Q44" s="5"/>
      <c r="R44" s="50"/>
      <c r="S44" s="5"/>
      <c r="T44" s="5"/>
      <c r="U44" s="5"/>
      <c r="V44" s="5"/>
      <c r="W44" s="5"/>
      <c r="X44" s="5"/>
      <c r="Y44" s="5"/>
      <c r="Z44" s="5"/>
    </row>
    <row r="45" ht="14.25" customHeight="1" outlineLevel="1">
      <c r="A45" s="104"/>
      <c r="B45" s="63" t="s">
        <v>66</v>
      </c>
      <c r="C45" s="63" t="s">
        <v>19</v>
      </c>
      <c r="D45" s="63" t="s">
        <v>20</v>
      </c>
      <c r="E45" s="128">
        <f t="shared" ref="E45:E46" si="35">E42+M45</f>
        <v>2350</v>
      </c>
      <c r="F45" s="66">
        <f>F43+N45</f>
        <v>4600</v>
      </c>
      <c r="G45" s="68">
        <f t="shared" si="18"/>
        <v>4600</v>
      </c>
      <c r="H45" s="65"/>
      <c r="I45" s="70"/>
      <c r="J45" s="130"/>
      <c r="K45" s="132"/>
      <c r="L45" s="5"/>
      <c r="M45" s="5">
        <v>100.0</v>
      </c>
      <c r="N45" s="5">
        <v>100.0</v>
      </c>
      <c r="O45" s="5">
        <v>100.0</v>
      </c>
      <c r="P45" s="69" t="s">
        <v>67</v>
      </c>
      <c r="Q45" s="5"/>
      <c r="R45" s="50"/>
      <c r="S45" s="5"/>
      <c r="T45" s="5"/>
      <c r="U45" s="5"/>
      <c r="V45" s="5"/>
      <c r="W45" s="5"/>
      <c r="X45" s="5"/>
      <c r="Y45" s="5"/>
      <c r="Z45" s="5"/>
    </row>
    <row r="46" ht="14.25" customHeight="1" outlineLevel="1">
      <c r="A46" s="104"/>
      <c r="B46" s="137" t="s">
        <v>68</v>
      </c>
      <c r="C46" s="63" t="s">
        <v>19</v>
      </c>
      <c r="D46" s="63" t="s">
        <v>20</v>
      </c>
      <c r="E46" s="82">
        <f t="shared" si="35"/>
        <v>2710</v>
      </c>
      <c r="F46" s="83">
        <f>F43+N46</f>
        <v>5100</v>
      </c>
      <c r="G46" s="139">
        <f t="shared" si="18"/>
        <v>5100</v>
      </c>
      <c r="H46" s="65"/>
      <c r="I46" s="70"/>
      <c r="J46" s="71"/>
      <c r="K46" s="66"/>
      <c r="L46" s="5"/>
      <c r="M46" s="5">
        <v>460.0</v>
      </c>
      <c r="N46" s="5">
        <v>600.0</v>
      </c>
      <c r="O46" s="5">
        <v>600.0</v>
      </c>
      <c r="P46" s="69" t="s">
        <v>69</v>
      </c>
      <c r="Q46" s="5"/>
      <c r="R46" s="50"/>
      <c r="S46" s="5"/>
      <c r="T46" s="5"/>
      <c r="U46" s="5"/>
      <c r="V46" s="5"/>
      <c r="W46" s="5"/>
      <c r="X46" s="5"/>
      <c r="Y46" s="5"/>
      <c r="Z46" s="5"/>
    </row>
    <row r="47" ht="14.25" customHeight="1" outlineLevel="1">
      <c r="A47" s="104"/>
      <c r="B47" s="86" t="s">
        <v>70</v>
      </c>
      <c r="C47" s="63" t="s">
        <v>19</v>
      </c>
      <c r="D47" s="63" t="s">
        <v>20</v>
      </c>
      <c r="E47" s="121">
        <f t="shared" ref="E47:G47" si="36">E43+M47</f>
        <v>2750</v>
      </c>
      <c r="F47" s="122">
        <f t="shared" si="36"/>
        <v>5150</v>
      </c>
      <c r="G47" s="123">
        <f t="shared" si="36"/>
        <v>5150</v>
      </c>
      <c r="H47" s="142"/>
      <c r="I47" s="143"/>
      <c r="J47" s="71"/>
      <c r="K47" s="66"/>
      <c r="L47" s="5"/>
      <c r="M47" s="124">
        <v>500.0</v>
      </c>
      <c r="N47" s="124">
        <v>650.0</v>
      </c>
      <c r="O47" s="124">
        <v>650.0</v>
      </c>
      <c r="P47" s="69" t="s">
        <v>69</v>
      </c>
      <c r="Q47" s="5"/>
      <c r="R47" s="50"/>
      <c r="S47" s="5"/>
      <c r="T47" s="5"/>
      <c r="U47" s="5"/>
      <c r="V47" s="5"/>
      <c r="W47" s="5"/>
      <c r="X47" s="5"/>
      <c r="Y47" s="5"/>
      <c r="Z47" s="5"/>
    </row>
    <row r="48" ht="14.25" customHeight="1" outlineLevel="1">
      <c r="A48" s="104"/>
      <c r="B48" s="73" t="s">
        <v>71</v>
      </c>
      <c r="C48" s="63" t="s">
        <v>19</v>
      </c>
      <c r="D48" s="105" t="s">
        <v>20</v>
      </c>
      <c r="E48" s="98">
        <f t="shared" ref="E48:F48" si="37">E43+M48</f>
        <v>2400</v>
      </c>
      <c r="F48" s="66">
        <f t="shared" si="37"/>
        <v>4700</v>
      </c>
      <c r="G48" s="68">
        <f t="shared" ref="G48:G54" si="39">F48</f>
        <v>4700</v>
      </c>
      <c r="H48" s="98"/>
      <c r="I48" s="99"/>
      <c r="J48" s="71"/>
      <c r="K48" s="66"/>
      <c r="L48" s="5"/>
      <c r="M48" s="5">
        <v>150.0</v>
      </c>
      <c r="N48" s="5">
        <v>200.0</v>
      </c>
      <c r="O48" s="5">
        <v>200.0</v>
      </c>
      <c r="P48" s="69" t="s">
        <v>67</v>
      </c>
      <c r="Q48" s="5"/>
      <c r="R48" s="50"/>
      <c r="S48" s="5"/>
      <c r="T48" s="5"/>
      <c r="U48" s="5"/>
      <c r="V48" s="5"/>
      <c r="W48" s="5"/>
      <c r="X48" s="5"/>
      <c r="Y48" s="5"/>
      <c r="Z48" s="5"/>
    </row>
    <row r="49" ht="14.25" customHeight="1" outlineLevel="1">
      <c r="A49" s="125"/>
      <c r="B49" s="63" t="s">
        <v>72</v>
      </c>
      <c r="C49" s="105" t="s">
        <v>19</v>
      </c>
      <c r="D49" s="105" t="s">
        <v>20</v>
      </c>
      <c r="E49" s="144">
        <f t="shared" ref="E49:F49" si="38">E43+M49</f>
        <v>2450</v>
      </c>
      <c r="F49" s="108">
        <f t="shared" si="38"/>
        <v>4800</v>
      </c>
      <c r="G49" s="109">
        <f t="shared" si="39"/>
        <v>4800</v>
      </c>
      <c r="H49" s="98"/>
      <c r="I49" s="99"/>
      <c r="J49" s="71"/>
      <c r="K49" s="66"/>
      <c r="L49" s="5"/>
      <c r="M49" s="5">
        <v>200.0</v>
      </c>
      <c r="N49" s="5">
        <v>300.0</v>
      </c>
      <c r="O49" s="5">
        <v>300.0</v>
      </c>
      <c r="P49" s="69" t="s">
        <v>67</v>
      </c>
      <c r="Q49" s="5"/>
      <c r="R49" s="50"/>
      <c r="S49" s="5"/>
      <c r="T49" s="5"/>
      <c r="U49" s="5"/>
      <c r="V49" s="5"/>
      <c r="W49" s="5"/>
      <c r="X49" s="5"/>
      <c r="Y49" s="5"/>
      <c r="Z49" s="5"/>
    </row>
    <row r="50" ht="14.25" customHeight="1" outlineLevel="1">
      <c r="A50" s="127" t="s">
        <v>73</v>
      </c>
      <c r="B50" s="146" t="s">
        <v>74</v>
      </c>
      <c r="C50" s="129" t="s">
        <v>19</v>
      </c>
      <c r="D50" s="129" t="s">
        <v>20</v>
      </c>
      <c r="E50" s="133">
        <f t="shared" ref="E50:F50" si="40">E6</f>
        <v>2250</v>
      </c>
      <c r="F50" s="134">
        <f t="shared" si="40"/>
        <v>4500</v>
      </c>
      <c r="G50" s="135">
        <f t="shared" si="39"/>
        <v>4500</v>
      </c>
      <c r="H50" s="148">
        <f t="shared" ref="H50:K50" si="41">H6</f>
        <v>2400</v>
      </c>
      <c r="I50" s="135">
        <f t="shared" si="41"/>
        <v>4800</v>
      </c>
      <c r="J50" s="149">
        <f t="shared" si="41"/>
        <v>1950</v>
      </c>
      <c r="K50" s="150" t="str">
        <f t="shared" si="41"/>
        <v/>
      </c>
      <c r="L50" s="5"/>
      <c r="M50" s="5"/>
      <c r="N50" s="5"/>
      <c r="O50" s="5"/>
      <c r="P50" s="5"/>
      <c r="Q50" s="5"/>
      <c r="R50" s="50"/>
      <c r="S50" s="5"/>
      <c r="T50" s="5"/>
      <c r="U50" s="5"/>
      <c r="V50" s="5"/>
      <c r="W50" s="5"/>
      <c r="X50" s="5"/>
      <c r="Y50" s="5"/>
      <c r="Z50" s="5"/>
    </row>
    <row r="51" ht="14.25" customHeight="1" outlineLevel="1">
      <c r="A51" s="140" t="s">
        <v>75</v>
      </c>
      <c r="B51" s="37" t="s">
        <v>76</v>
      </c>
      <c r="C51" s="37" t="s">
        <v>19</v>
      </c>
      <c r="D51" s="37" t="s">
        <v>20</v>
      </c>
      <c r="E51" s="44">
        <f t="shared" ref="E51:F51" si="42">E6</f>
        <v>2250</v>
      </c>
      <c r="F51" s="45">
        <f t="shared" si="42"/>
        <v>4500</v>
      </c>
      <c r="G51" s="153">
        <f t="shared" si="39"/>
        <v>4500</v>
      </c>
      <c r="H51" s="44">
        <f t="shared" ref="H51:K51" si="43">H6</f>
        <v>2400</v>
      </c>
      <c r="I51" s="47">
        <f t="shared" si="43"/>
        <v>4800</v>
      </c>
      <c r="J51" s="51">
        <f t="shared" si="43"/>
        <v>1950</v>
      </c>
      <c r="K51" s="58" t="str">
        <f t="shared" si="43"/>
        <v/>
      </c>
      <c r="L51" s="5"/>
      <c r="M51" s="5"/>
      <c r="N51" s="5"/>
      <c r="O51" s="5"/>
      <c r="P51" s="5"/>
      <c r="Q51" s="5"/>
      <c r="R51" s="50"/>
      <c r="S51" s="5"/>
      <c r="T51" s="5"/>
      <c r="U51" s="5"/>
      <c r="V51" s="5"/>
      <c r="W51" s="5"/>
      <c r="X51" s="5"/>
      <c r="Y51" s="5"/>
      <c r="Z51" s="5"/>
    </row>
    <row r="52" ht="14.25" customHeight="1" outlineLevel="1">
      <c r="A52" s="104"/>
      <c r="B52" s="37" t="str">
        <f>'ex NEA to AUFRE'!B52</f>
        <v>Keelung (Direct POL)</v>
      </c>
      <c r="C52" s="53" t="s">
        <v>19</v>
      </c>
      <c r="D52" s="37" t="s">
        <v>20</v>
      </c>
      <c r="E52" s="44">
        <f t="shared" ref="E52:F52" si="44">E6</f>
        <v>2250</v>
      </c>
      <c r="F52" s="45">
        <f t="shared" si="44"/>
        <v>4500</v>
      </c>
      <c r="G52" s="153">
        <f t="shared" si="39"/>
        <v>4500</v>
      </c>
      <c r="H52" s="44">
        <f t="shared" ref="H52:K52" si="45">H6</f>
        <v>2400</v>
      </c>
      <c r="I52" s="47">
        <f t="shared" si="45"/>
        <v>4800</v>
      </c>
      <c r="J52" s="51">
        <f t="shared" si="45"/>
        <v>1950</v>
      </c>
      <c r="K52" s="58" t="str">
        <f t="shared" si="45"/>
        <v/>
      </c>
      <c r="L52" s="5"/>
      <c r="M52" s="5"/>
      <c r="N52" s="5"/>
      <c r="O52" s="5"/>
      <c r="P52" s="69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 outlineLevel="1">
      <c r="A53" s="104"/>
      <c r="B53" s="126" t="s">
        <v>81</v>
      </c>
      <c r="C53" s="63" t="s">
        <v>19</v>
      </c>
      <c r="D53" s="158" t="s">
        <v>20</v>
      </c>
      <c r="E53" s="128">
        <f t="shared" ref="E53:F53" si="46">E51+M53</f>
        <v>2400</v>
      </c>
      <c r="F53" s="132">
        <f t="shared" si="46"/>
        <v>4700</v>
      </c>
      <c r="G53" s="161">
        <f t="shared" si="39"/>
        <v>4700</v>
      </c>
      <c r="H53" s="128">
        <f>H51+200</f>
        <v>2600</v>
      </c>
      <c r="I53" s="147">
        <f>I51+300</f>
        <v>5100</v>
      </c>
      <c r="J53" s="71">
        <f>J51+200</f>
        <v>2150</v>
      </c>
      <c r="K53" s="162"/>
      <c r="L53" s="5"/>
      <c r="M53" s="5">
        <v>150.0</v>
      </c>
      <c r="N53" s="5">
        <v>200.0</v>
      </c>
      <c r="O53" s="5">
        <v>200.0</v>
      </c>
      <c r="P53" s="69" t="s">
        <v>79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 outlineLevel="1">
      <c r="A54" s="115"/>
      <c r="B54" s="152" t="s">
        <v>80</v>
      </c>
      <c r="C54" s="63" t="s">
        <v>19</v>
      </c>
      <c r="D54" s="158" t="s">
        <v>20</v>
      </c>
      <c r="E54" s="154">
        <f t="shared" ref="E54:F54" si="47">E51+M54</f>
        <v>2400</v>
      </c>
      <c r="F54" s="155">
        <f t="shared" si="47"/>
        <v>4700</v>
      </c>
      <c r="G54" s="166">
        <f t="shared" si="39"/>
        <v>4700</v>
      </c>
      <c r="H54" s="154">
        <f t="shared" ref="H54:J54" si="48">H53</f>
        <v>2600</v>
      </c>
      <c r="I54" s="156">
        <f t="shared" si="48"/>
        <v>5100</v>
      </c>
      <c r="J54" s="119">
        <f t="shared" si="48"/>
        <v>2150</v>
      </c>
      <c r="K54" s="167"/>
      <c r="L54" s="5"/>
      <c r="M54" s="5">
        <v>150.0</v>
      </c>
      <c r="N54" s="5">
        <v>200.0</v>
      </c>
      <c r="O54" s="5">
        <v>200.0</v>
      </c>
      <c r="P54" s="69" t="s">
        <v>79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59" t="s">
        <v>82</v>
      </c>
      <c r="B56" s="160" t="s">
        <v>83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59" t="s">
        <v>84</v>
      </c>
      <c r="B57" s="159" t="s">
        <v>85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63" t="s">
        <v>91</v>
      </c>
      <c r="B58" s="163" t="s">
        <v>87</v>
      </c>
      <c r="C58" s="164"/>
      <c r="D58" s="165"/>
      <c r="E58" s="16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3.25" customHeight="1">
      <c r="A60" s="168" t="s">
        <v>88</v>
      </c>
      <c r="B60" s="169"/>
      <c r="C60" s="169"/>
      <c r="D60" s="169"/>
      <c r="E60" s="169"/>
      <c r="F60" s="169"/>
      <c r="G60" s="169"/>
      <c r="H60" s="169"/>
      <c r="I60" s="169"/>
      <c r="J60" s="169"/>
      <c r="K60" s="17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71"/>
      <c r="B61" s="172"/>
      <c r="C61" s="172"/>
      <c r="D61" s="172"/>
      <c r="E61" s="173" t="s">
        <v>7</v>
      </c>
      <c r="F61" s="173" t="s">
        <v>8</v>
      </c>
      <c r="G61" s="174" t="s">
        <v>9</v>
      </c>
      <c r="H61" s="175" t="s">
        <v>89</v>
      </c>
      <c r="I61" s="176" t="s">
        <v>90</v>
      </c>
      <c r="J61" s="173" t="s">
        <v>12</v>
      </c>
      <c r="K61" s="176" t="s">
        <v>13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25" customHeight="1">
      <c r="A62" s="177" t="s">
        <v>98</v>
      </c>
      <c r="B62" s="178" t="s">
        <v>93</v>
      </c>
      <c r="C62" s="179"/>
      <c r="D62" s="180"/>
      <c r="E62" s="181" t="str">
        <f>'ex NEA to AUFRE'!E62</f>
        <v>included</v>
      </c>
      <c r="F62" s="181" t="str">
        <f>'ex NEA to AUFRE'!F62</f>
        <v>included</v>
      </c>
      <c r="G62" s="181" t="str">
        <f>'ex NEA to AUFRE'!G62</f>
        <v>included</v>
      </c>
      <c r="H62" s="181" t="str">
        <f>'ex NEA to AUFRE'!H62</f>
        <v>included</v>
      </c>
      <c r="I62" s="181" t="str">
        <f>'ex NEA to AUFRE'!I62</f>
        <v>included</v>
      </c>
      <c r="J62" s="181" t="s">
        <v>94</v>
      </c>
      <c r="K62" s="181" t="s">
        <v>94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82" t="s">
        <v>95</v>
      </c>
      <c r="B63" s="183" t="s">
        <v>96</v>
      </c>
      <c r="C63" s="179"/>
      <c r="D63" s="180"/>
      <c r="E63" s="187" t="s">
        <v>97</v>
      </c>
      <c r="F63" s="187" t="s">
        <v>97</v>
      </c>
      <c r="G63" s="187" t="s">
        <v>97</v>
      </c>
      <c r="H63" s="187" t="s">
        <v>97</v>
      </c>
      <c r="I63" s="187" t="s">
        <v>97</v>
      </c>
      <c r="J63" s="185" t="s">
        <v>97</v>
      </c>
      <c r="K63" s="185" t="s">
        <v>97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82" t="s">
        <v>99</v>
      </c>
      <c r="B64" s="183" t="s">
        <v>100</v>
      </c>
      <c r="C64" s="179"/>
      <c r="D64" s="180"/>
      <c r="E64" s="187" t="s">
        <v>97</v>
      </c>
      <c r="F64" s="187" t="s">
        <v>97</v>
      </c>
      <c r="G64" s="187" t="s">
        <v>97</v>
      </c>
      <c r="H64" s="187" t="s">
        <v>97</v>
      </c>
      <c r="I64" s="187" t="s">
        <v>97</v>
      </c>
      <c r="J64" s="185" t="s">
        <v>97</v>
      </c>
      <c r="K64" s="186" t="s">
        <v>97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88" t="s">
        <v>101</v>
      </c>
      <c r="B65" s="189" t="s">
        <v>102</v>
      </c>
      <c r="C65" s="179"/>
      <c r="D65" s="180"/>
      <c r="E65" s="187" t="s">
        <v>97</v>
      </c>
      <c r="F65" s="187" t="s">
        <v>97</v>
      </c>
      <c r="G65" s="187" t="s">
        <v>97</v>
      </c>
      <c r="H65" s="187" t="s">
        <v>97</v>
      </c>
      <c r="I65" s="190" t="s">
        <v>97</v>
      </c>
      <c r="J65" s="185" t="s">
        <v>97</v>
      </c>
      <c r="K65" s="185" t="s">
        <v>97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82" t="s">
        <v>103</v>
      </c>
      <c r="B66" s="183" t="s">
        <v>104</v>
      </c>
      <c r="C66" s="179"/>
      <c r="D66" s="180"/>
      <c r="E66" s="187" t="s">
        <v>97</v>
      </c>
      <c r="F66" s="187" t="s">
        <v>97</v>
      </c>
      <c r="G66" s="187" t="s">
        <v>97</v>
      </c>
      <c r="H66" s="187" t="s">
        <v>97</v>
      </c>
      <c r="I66" s="190" t="s">
        <v>97</v>
      </c>
      <c r="J66" s="185" t="s">
        <v>97</v>
      </c>
      <c r="K66" s="185" t="s">
        <v>97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82" t="s">
        <v>105</v>
      </c>
      <c r="B67" s="183" t="s">
        <v>106</v>
      </c>
      <c r="C67" s="179"/>
      <c r="D67" s="180"/>
      <c r="E67" s="187" t="s">
        <v>97</v>
      </c>
      <c r="F67" s="187" t="s">
        <v>97</v>
      </c>
      <c r="G67" s="187" t="s">
        <v>97</v>
      </c>
      <c r="H67" s="187" t="s">
        <v>97</v>
      </c>
      <c r="I67" s="190" t="s">
        <v>97</v>
      </c>
      <c r="J67" s="185" t="s">
        <v>97</v>
      </c>
      <c r="K67" s="186" t="s">
        <v>97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96" t="s">
        <v>107</v>
      </c>
      <c r="B68" s="199" t="s">
        <v>108</v>
      </c>
      <c r="C68" s="193"/>
      <c r="D68" s="201"/>
      <c r="E68" s="187" t="s">
        <v>97</v>
      </c>
      <c r="F68" s="187" t="s">
        <v>97</v>
      </c>
      <c r="G68" s="187" t="s">
        <v>97</v>
      </c>
      <c r="H68" s="187" t="s">
        <v>97</v>
      </c>
      <c r="I68" s="190" t="s">
        <v>97</v>
      </c>
      <c r="J68" s="185" t="s">
        <v>97</v>
      </c>
      <c r="K68" s="186" t="s">
        <v>97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202" t="s">
        <v>112</v>
      </c>
      <c r="B69" s="203" t="s">
        <v>113</v>
      </c>
      <c r="C69" s="204"/>
      <c r="D69" s="206"/>
      <c r="E69" s="208" t="s">
        <v>97</v>
      </c>
      <c r="F69" s="208" t="s">
        <v>97</v>
      </c>
      <c r="G69" s="208" t="s">
        <v>97</v>
      </c>
      <c r="H69" s="208" t="s">
        <v>97</v>
      </c>
      <c r="I69" s="210" t="s">
        <v>97</v>
      </c>
      <c r="J69" s="210" t="s">
        <v>97</v>
      </c>
      <c r="K69" s="210" t="s">
        <v>97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95" t="s">
        <v>109</v>
      </c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200" t="str">
        <f>'ex NEA to AUFRE'!A71</f>
        <v>Rate incl OBS, EFS (ex KR &amp; HK), PSS, subject to ISL/THL/THD/LND/DOC/DOF/EFS and all applicable surcharges as per ONE tariff</v>
      </c>
      <c r="B72" s="200"/>
      <c r="C72" s="200"/>
      <c r="D72" s="200"/>
      <c r="E72" s="200"/>
      <c r="F72" s="200"/>
      <c r="G72" s="195"/>
      <c r="H72" s="195"/>
      <c r="I72" s="195"/>
      <c r="J72" s="195"/>
      <c r="K72" s="19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200" t="str">
        <f>'ex NEA to AUFRE'!A72</f>
        <v>Ex TW only: Rate incl OBS/ISL, PSS, subject to THL/THD/LND/DOC/DOF and all applicable surcharges as per ONE tariff</v>
      </c>
      <c r="B73" s="200"/>
      <c r="C73" s="200"/>
      <c r="D73" s="200"/>
      <c r="E73" s="200"/>
      <c r="F73" s="200"/>
      <c r="G73" s="195"/>
      <c r="H73" s="195"/>
      <c r="I73" s="195"/>
      <c r="J73" s="195"/>
      <c r="K73" s="19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207" t="s">
        <v>114</v>
      </c>
      <c r="B74" s="207"/>
      <c r="C74" s="207"/>
      <c r="D74" s="207"/>
      <c r="E74" s="195"/>
      <c r="F74" s="195"/>
      <c r="G74" s="195"/>
      <c r="H74" s="195"/>
      <c r="I74" s="195"/>
      <c r="J74" s="195"/>
      <c r="K74" s="19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95" t="s">
        <v>115</v>
      </c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95" t="s">
        <v>116</v>
      </c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95" t="s">
        <v>117</v>
      </c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95" t="s">
        <v>118</v>
      </c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95" t="s">
        <v>119</v>
      </c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211" t="s">
        <v>120</v>
      </c>
      <c r="B82" s="212"/>
      <c r="C82" s="212"/>
      <c r="D82" s="212"/>
      <c r="E82" s="213"/>
      <c r="F82" s="213"/>
      <c r="G82" s="214"/>
      <c r="H82" s="214"/>
      <c r="I82" s="21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215" t="s">
        <v>121</v>
      </c>
      <c r="B83" s="213"/>
      <c r="C83" s="213"/>
      <c r="D83" s="213"/>
      <c r="E83" s="213"/>
      <c r="F83" s="213"/>
      <c r="G83" s="214"/>
      <c r="H83" s="214"/>
      <c r="I83" s="2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215" t="s">
        <v>122</v>
      </c>
      <c r="B84" s="213"/>
      <c r="C84" s="213"/>
      <c r="D84" s="213"/>
      <c r="E84" s="213"/>
      <c r="F84" s="213"/>
      <c r="G84" s="214"/>
      <c r="H84" s="214"/>
      <c r="I84" s="2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217"/>
      <c r="B85" s="217"/>
      <c r="C85" s="217"/>
      <c r="D85" s="217"/>
      <c r="E85" s="217"/>
      <c r="F85" s="217"/>
      <c r="G85" s="214"/>
      <c r="H85" s="214"/>
      <c r="I85" s="21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218" t="s">
        <v>123</v>
      </c>
      <c r="B86" s="219" t="s">
        <v>124</v>
      </c>
      <c r="C86" s="219" t="s">
        <v>125</v>
      </c>
      <c r="D86" s="220" t="s">
        <v>126</v>
      </c>
      <c r="E86" s="220" t="s">
        <v>127</v>
      </c>
      <c r="F86" s="220" t="s">
        <v>128</v>
      </c>
      <c r="G86" s="214"/>
      <c r="H86" s="214"/>
      <c r="I86" s="21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221" t="s">
        <v>129</v>
      </c>
      <c r="B87" s="222" t="s">
        <v>130</v>
      </c>
      <c r="C87" s="223" t="s">
        <v>131</v>
      </c>
      <c r="D87" s="169"/>
      <c r="E87" s="170"/>
      <c r="F87" s="224"/>
      <c r="G87" s="214"/>
      <c r="H87" s="214"/>
      <c r="I87" s="21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225"/>
      <c r="B88" s="222" t="s">
        <v>132</v>
      </c>
      <c r="C88" s="226" t="s">
        <v>133</v>
      </c>
      <c r="D88" s="226" t="s">
        <v>134</v>
      </c>
      <c r="E88" s="226" t="s">
        <v>134</v>
      </c>
      <c r="F88" s="224"/>
      <c r="G88" s="214"/>
      <c r="H88" s="214"/>
      <c r="I88" s="21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225"/>
      <c r="B89" s="222" t="s">
        <v>135</v>
      </c>
      <c r="C89" s="226" t="s">
        <v>136</v>
      </c>
      <c r="D89" s="226" t="s">
        <v>133</v>
      </c>
      <c r="E89" s="226" t="s">
        <v>133</v>
      </c>
      <c r="F89" s="224"/>
      <c r="G89" s="214"/>
      <c r="H89" s="214"/>
      <c r="I89" s="21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225"/>
      <c r="B90" s="222" t="s">
        <v>137</v>
      </c>
      <c r="C90" s="226" t="s">
        <v>136</v>
      </c>
      <c r="D90" s="226" t="s">
        <v>133</v>
      </c>
      <c r="E90" s="226" t="s">
        <v>133</v>
      </c>
      <c r="F90" s="224"/>
      <c r="G90" s="214"/>
      <c r="H90" s="214"/>
      <c r="I90" s="21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225"/>
      <c r="B91" s="222" t="s">
        <v>138</v>
      </c>
      <c r="C91" s="227" t="s">
        <v>133</v>
      </c>
      <c r="D91" s="227" t="s">
        <v>134</v>
      </c>
      <c r="E91" s="227" t="s">
        <v>134</v>
      </c>
      <c r="F91" s="224"/>
      <c r="G91" s="214"/>
      <c r="H91" s="214"/>
      <c r="I91" s="21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225"/>
      <c r="B92" s="222" t="s">
        <v>139</v>
      </c>
      <c r="C92" s="226" t="s">
        <v>136</v>
      </c>
      <c r="D92" s="226" t="s">
        <v>133</v>
      </c>
      <c r="E92" s="226" t="s">
        <v>133</v>
      </c>
      <c r="F92" s="224"/>
      <c r="G92" s="214"/>
      <c r="H92" s="214"/>
      <c r="I92" s="21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225"/>
      <c r="B93" s="222" t="s">
        <v>140</v>
      </c>
      <c r="C93" s="223" t="s">
        <v>131</v>
      </c>
      <c r="D93" s="169"/>
      <c r="E93" s="170"/>
      <c r="F93" s="224"/>
      <c r="G93" s="214"/>
      <c r="H93" s="214"/>
      <c r="I93" s="21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225"/>
      <c r="B94" s="222" t="s">
        <v>141</v>
      </c>
      <c r="C94" s="226" t="s">
        <v>136</v>
      </c>
      <c r="D94" s="226" t="s">
        <v>133</v>
      </c>
      <c r="E94" s="226" t="s">
        <v>133</v>
      </c>
      <c r="F94" s="224"/>
      <c r="G94" s="214"/>
      <c r="H94" s="214"/>
      <c r="I94" s="21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228"/>
      <c r="B95" s="222" t="s">
        <v>142</v>
      </c>
      <c r="C95" s="226" t="s">
        <v>136</v>
      </c>
      <c r="D95" s="226" t="s">
        <v>133</v>
      </c>
      <c r="E95" s="226" t="s">
        <v>133</v>
      </c>
      <c r="F95" s="224"/>
      <c r="G95" s="214"/>
      <c r="H95" s="214"/>
      <c r="I95" s="21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229" t="s">
        <v>143</v>
      </c>
      <c r="B96" s="230"/>
      <c r="C96" s="230"/>
      <c r="D96" s="230"/>
      <c r="E96" s="230"/>
      <c r="F96" s="231"/>
      <c r="G96" s="214"/>
      <c r="H96" s="214"/>
      <c r="I96" s="2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217"/>
      <c r="B97" s="217"/>
      <c r="C97" s="232"/>
      <c r="D97" s="233"/>
      <c r="E97" s="217"/>
      <c r="F97" s="217"/>
      <c r="G97" s="214"/>
      <c r="H97" s="214"/>
      <c r="I97" s="2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218" t="s">
        <v>144</v>
      </c>
      <c r="B98" s="219" t="s">
        <v>145</v>
      </c>
      <c r="C98" s="219" t="s">
        <v>125</v>
      </c>
      <c r="D98" s="220" t="s">
        <v>126</v>
      </c>
      <c r="E98" s="220" t="s">
        <v>127</v>
      </c>
      <c r="F98" s="220" t="s">
        <v>128</v>
      </c>
      <c r="G98" s="214"/>
      <c r="H98" s="214"/>
      <c r="I98" s="2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34" t="s">
        <v>146</v>
      </c>
      <c r="B99" s="222" t="s">
        <v>147</v>
      </c>
      <c r="C99" s="235" t="s">
        <v>148</v>
      </c>
      <c r="D99" s="235" t="s">
        <v>149</v>
      </c>
      <c r="E99" s="235" t="s">
        <v>149</v>
      </c>
      <c r="F99" s="224"/>
      <c r="G99" s="214"/>
      <c r="H99" s="214"/>
      <c r="I99" s="2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25"/>
      <c r="B100" s="222" t="s">
        <v>150</v>
      </c>
      <c r="C100" s="235" t="s">
        <v>151</v>
      </c>
      <c r="D100" s="235" t="s">
        <v>148</v>
      </c>
      <c r="E100" s="235" t="s">
        <v>148</v>
      </c>
      <c r="F100" s="224"/>
      <c r="G100" s="214"/>
      <c r="H100" s="214"/>
      <c r="I100" s="2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225"/>
      <c r="B101" s="222" t="s">
        <v>152</v>
      </c>
      <c r="C101" s="235" t="s">
        <v>153</v>
      </c>
      <c r="D101" s="235" t="s">
        <v>154</v>
      </c>
      <c r="E101" s="235" t="s">
        <v>154</v>
      </c>
      <c r="F101" s="224"/>
      <c r="G101" s="214"/>
      <c r="H101" s="214"/>
      <c r="I101" s="2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228"/>
      <c r="B102" s="222" t="s">
        <v>155</v>
      </c>
      <c r="C102" s="235" t="s">
        <v>156</v>
      </c>
      <c r="D102" s="235" t="s">
        <v>156</v>
      </c>
      <c r="E102" s="235" t="s">
        <v>156</v>
      </c>
      <c r="F102" s="224"/>
      <c r="G102" s="214"/>
      <c r="H102" s="214"/>
      <c r="I102" s="2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229" t="s">
        <v>143</v>
      </c>
      <c r="B103" s="230"/>
      <c r="C103" s="230"/>
      <c r="D103" s="230"/>
      <c r="E103" s="230"/>
      <c r="F103" s="231"/>
      <c r="G103" s="214"/>
      <c r="H103" s="214"/>
      <c r="I103" s="2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214"/>
      <c r="B104" s="214"/>
      <c r="C104" s="214"/>
      <c r="D104" s="214"/>
      <c r="E104" s="214"/>
      <c r="F104" s="214"/>
      <c r="G104" s="214"/>
      <c r="H104" s="214"/>
      <c r="I104" s="2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236" t="s">
        <v>157</v>
      </c>
      <c r="B105" s="198"/>
      <c r="C105" s="214"/>
      <c r="D105" s="214"/>
      <c r="E105" s="214"/>
      <c r="F105" s="214"/>
      <c r="G105" s="214"/>
      <c r="H105" s="214"/>
      <c r="I105" s="2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214"/>
      <c r="B106" s="214"/>
      <c r="C106" s="214"/>
      <c r="D106" s="214"/>
      <c r="E106" s="214"/>
      <c r="F106" s="214"/>
      <c r="G106" s="214"/>
      <c r="H106" s="214"/>
      <c r="I106" s="21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237" t="s">
        <v>158</v>
      </c>
      <c r="B107" s="238"/>
      <c r="C107" s="238"/>
      <c r="D107" s="238"/>
      <c r="E107" s="214"/>
      <c r="F107" s="239"/>
      <c r="H107" s="239"/>
      <c r="I107" s="240" t="s">
        <v>159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214"/>
      <c r="B108" s="214"/>
      <c r="C108" s="214"/>
      <c r="D108" s="214"/>
      <c r="E108" s="214"/>
      <c r="F108" s="239"/>
      <c r="H108" s="23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241" t="s">
        <v>160</v>
      </c>
      <c r="B109" s="242"/>
      <c r="C109" s="243" t="s">
        <v>161</v>
      </c>
      <c r="D109" s="184"/>
      <c r="E109" s="214"/>
      <c r="F109" s="241" t="s">
        <v>162</v>
      </c>
      <c r="G109" s="179"/>
      <c r="H109" s="179"/>
      <c r="I109" s="18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244" t="s">
        <v>163</v>
      </c>
      <c r="B110" s="184"/>
      <c r="C110" s="245" t="s">
        <v>164</v>
      </c>
      <c r="D110" s="184"/>
      <c r="E110" s="214"/>
      <c r="F110" s="244" t="s">
        <v>163</v>
      </c>
      <c r="G110" s="184"/>
      <c r="H110" s="246" t="s">
        <v>165</v>
      </c>
      <c r="I110" s="18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244" t="s">
        <v>166</v>
      </c>
      <c r="B111" s="184"/>
      <c r="C111" s="247" t="s">
        <v>166</v>
      </c>
      <c r="D111" s="184"/>
      <c r="E111" s="214"/>
      <c r="F111" s="244" t="s">
        <v>166</v>
      </c>
      <c r="G111" s="184"/>
      <c r="H111" s="244" t="s">
        <v>166</v>
      </c>
      <c r="I111" s="18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248" t="s">
        <v>167</v>
      </c>
      <c r="B112" s="179"/>
      <c r="C112" s="249">
        <v>600.0</v>
      </c>
      <c r="D112" s="184"/>
      <c r="E112" s="214"/>
      <c r="F112" s="248" t="s">
        <v>168</v>
      </c>
      <c r="G112" s="179"/>
      <c r="H112" s="179"/>
      <c r="I112" s="18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248" t="s">
        <v>169</v>
      </c>
      <c r="B113" s="184"/>
      <c r="C113" s="250" t="s">
        <v>170</v>
      </c>
      <c r="D113" s="184"/>
      <c r="E113" s="214"/>
      <c r="F113" s="248" t="s">
        <v>171</v>
      </c>
      <c r="G113" s="184"/>
      <c r="H113" s="251">
        <v>10500.0</v>
      </c>
      <c r="I113" s="18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248" t="s">
        <v>172</v>
      </c>
      <c r="B114" s="184"/>
      <c r="C114" s="250" t="s">
        <v>170</v>
      </c>
      <c r="D114" s="184"/>
      <c r="E114" s="214"/>
      <c r="F114" s="248" t="s">
        <v>173</v>
      </c>
      <c r="G114" s="184"/>
      <c r="H114" s="251">
        <v>9000.0</v>
      </c>
      <c r="I114" s="18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248" t="s">
        <v>174</v>
      </c>
      <c r="B115" s="184"/>
      <c r="C115" s="250" t="s">
        <v>170</v>
      </c>
      <c r="D115" s="184"/>
      <c r="E115" s="214"/>
      <c r="F115" s="248" t="s">
        <v>175</v>
      </c>
      <c r="G115" s="184"/>
      <c r="H115" s="251">
        <v>7500.0</v>
      </c>
      <c r="I115" s="18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214"/>
      <c r="B116" s="214"/>
      <c r="C116" s="214"/>
      <c r="D116" s="214"/>
      <c r="E116" s="214"/>
      <c r="F116" s="248" t="s">
        <v>176</v>
      </c>
      <c r="G116" s="184"/>
      <c r="H116" s="251">
        <v>6000.0</v>
      </c>
      <c r="I116" s="18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214"/>
      <c r="B117" s="214"/>
      <c r="C117" s="214"/>
      <c r="D117" s="214"/>
      <c r="E117" s="214"/>
      <c r="F117" s="248" t="s">
        <v>177</v>
      </c>
      <c r="G117" s="184"/>
      <c r="H117" s="251">
        <v>4600.0</v>
      </c>
      <c r="I117" s="18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214"/>
      <c r="B118" s="214"/>
      <c r="C118" s="214"/>
      <c r="D118" s="214"/>
      <c r="E118" s="214"/>
      <c r="F118" s="248" t="s">
        <v>178</v>
      </c>
      <c r="G118" s="184"/>
      <c r="H118" s="251">
        <v>3100.0</v>
      </c>
      <c r="I118" s="18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14"/>
      <c r="B119" s="214"/>
      <c r="C119" s="214"/>
      <c r="D119" s="214"/>
      <c r="E119" s="214"/>
      <c r="F119" s="252" t="s">
        <v>179</v>
      </c>
      <c r="G119" s="184"/>
      <c r="H119" s="253">
        <v>2600.0</v>
      </c>
      <c r="I119" s="18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14"/>
      <c r="B120" s="214"/>
      <c r="C120" s="214"/>
      <c r="D120" s="214"/>
      <c r="E120" s="214"/>
      <c r="F120" s="252" t="s">
        <v>180</v>
      </c>
      <c r="G120" s="184"/>
      <c r="H120" s="253">
        <v>600.0</v>
      </c>
      <c r="I120" s="18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214"/>
      <c r="B121" s="214"/>
      <c r="C121" s="214"/>
      <c r="D121" s="214"/>
      <c r="E121" s="214"/>
      <c r="F121" s="214"/>
      <c r="G121" s="214"/>
      <c r="H121" s="239"/>
      <c r="I121" s="254" t="s">
        <v>181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</sheetData>
  <mergeCells count="61"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F112:I112"/>
    <mergeCell ref="F113:G113"/>
    <mergeCell ref="H113:I113"/>
    <mergeCell ref="F114:G114"/>
    <mergeCell ref="H114:I114"/>
    <mergeCell ref="F116:G116"/>
    <mergeCell ref="H116:I116"/>
    <mergeCell ref="A1:I2"/>
    <mergeCell ref="B4:B5"/>
    <mergeCell ref="C4:C5"/>
    <mergeCell ref="D4:D5"/>
    <mergeCell ref="A38:A41"/>
    <mergeCell ref="A42:A49"/>
    <mergeCell ref="A51:A54"/>
    <mergeCell ref="A60:K60"/>
    <mergeCell ref="B62:D62"/>
    <mergeCell ref="B63:D63"/>
    <mergeCell ref="B64:D64"/>
    <mergeCell ref="B65:D65"/>
    <mergeCell ref="B66:D66"/>
    <mergeCell ref="B67:D67"/>
    <mergeCell ref="B68:D68"/>
    <mergeCell ref="B69:D69"/>
    <mergeCell ref="A87:A95"/>
    <mergeCell ref="C87:E87"/>
    <mergeCell ref="C93:E93"/>
    <mergeCell ref="A96:F96"/>
    <mergeCell ref="C97:D97"/>
    <mergeCell ref="A99:A102"/>
    <mergeCell ref="A103:F103"/>
    <mergeCell ref="F107:G107"/>
    <mergeCell ref="F108:G108"/>
    <mergeCell ref="H108:I108"/>
    <mergeCell ref="C109:D109"/>
    <mergeCell ref="F109:I109"/>
    <mergeCell ref="A110:B110"/>
    <mergeCell ref="C110:D110"/>
    <mergeCell ref="F110:G110"/>
    <mergeCell ref="H110:I110"/>
    <mergeCell ref="C111:D111"/>
    <mergeCell ref="F111:G111"/>
    <mergeCell ref="H111:I111"/>
    <mergeCell ref="A115:B115"/>
    <mergeCell ref="C115:D115"/>
    <mergeCell ref="F115:G115"/>
    <mergeCell ref="H115:I115"/>
    <mergeCell ref="A111:B111"/>
    <mergeCell ref="A112:B112"/>
    <mergeCell ref="C112:D112"/>
    <mergeCell ref="A113:B113"/>
    <mergeCell ref="C113:D113"/>
    <mergeCell ref="A114:B114"/>
    <mergeCell ref="C114:D114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