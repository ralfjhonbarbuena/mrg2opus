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58246\Desktop\SAMPLE MRGS\NEW\AU\"/>
    </mc:Choice>
  </mc:AlternateContent>
  <xr:revisionPtr revIDLastSave="0" documentId="8_{C873590B-F87F-424F-BE04-6A2DB6A42B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 NEA to AUBNE_AUMEL" sheetId="1" r:id="rId1"/>
    <sheet name="ex NEA to AUSYD" sheetId="2" r:id="rId2"/>
    <sheet name="ex NEA to AUBNE on NZ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2" i="3" l="1"/>
  <c r="I62" i="3"/>
  <c r="H62" i="3"/>
  <c r="G62" i="3"/>
  <c r="F62" i="3"/>
  <c r="E62" i="3"/>
  <c r="D62" i="3"/>
  <c r="J61" i="3"/>
  <c r="I61" i="3"/>
  <c r="H61" i="3"/>
  <c r="G61" i="3"/>
  <c r="F61" i="3"/>
  <c r="E61" i="3"/>
  <c r="D61" i="3"/>
  <c r="D54" i="3"/>
  <c r="D53" i="3"/>
  <c r="D52" i="3"/>
  <c r="J51" i="3"/>
  <c r="I51" i="3"/>
  <c r="G51" i="3"/>
  <c r="D51" i="3"/>
  <c r="J50" i="3"/>
  <c r="I50" i="3"/>
  <c r="G50" i="3"/>
  <c r="E50" i="3"/>
  <c r="F50" i="3" s="1"/>
  <c r="D50" i="3"/>
  <c r="J43" i="3"/>
  <c r="I43" i="3"/>
  <c r="J8" i="3"/>
  <c r="B4" i="3"/>
  <c r="J3" i="3"/>
  <c r="J62" i="2"/>
  <c r="I62" i="2"/>
  <c r="H62" i="2"/>
  <c r="G62" i="2"/>
  <c r="F62" i="2"/>
  <c r="E62" i="2"/>
  <c r="D62" i="2"/>
  <c r="J61" i="2"/>
  <c r="I61" i="2"/>
  <c r="H61" i="2"/>
  <c r="G61" i="2"/>
  <c r="F61" i="2"/>
  <c r="E61" i="2"/>
  <c r="D61" i="2"/>
  <c r="D54" i="2"/>
  <c r="G54" i="2" s="1"/>
  <c r="C54" i="2"/>
  <c r="D53" i="2"/>
  <c r="G53" i="2" s="1"/>
  <c r="C53" i="2"/>
  <c r="D52" i="2"/>
  <c r="G52" i="2" s="1"/>
  <c r="C52" i="2"/>
  <c r="J51" i="2"/>
  <c r="I51" i="2"/>
  <c r="G51" i="2"/>
  <c r="D51" i="2"/>
  <c r="C51" i="2"/>
  <c r="J50" i="2"/>
  <c r="I50" i="2"/>
  <c r="E50" i="2"/>
  <c r="H50" i="2" s="1"/>
  <c r="D50" i="2"/>
  <c r="G50" i="2" s="1"/>
  <c r="J43" i="2"/>
  <c r="I43" i="2"/>
  <c r="J8" i="2"/>
  <c r="I8" i="2"/>
  <c r="J7" i="2"/>
  <c r="I7" i="2"/>
  <c r="E7" i="2"/>
  <c r="E11" i="2" s="1"/>
  <c r="D7" i="2"/>
  <c r="D9" i="2" s="1"/>
  <c r="B4" i="2"/>
  <c r="J3" i="2"/>
  <c r="D54" i="1"/>
  <c r="G54" i="1" s="1"/>
  <c r="G54" i="3" s="1"/>
  <c r="D53" i="1"/>
  <c r="G53" i="1" s="1"/>
  <c r="G53" i="3" s="1"/>
  <c r="J52" i="1"/>
  <c r="J52" i="3" s="1"/>
  <c r="I52" i="1"/>
  <c r="I52" i="3" s="1"/>
  <c r="D52" i="1"/>
  <c r="G52" i="1" s="1"/>
  <c r="G52" i="3" s="1"/>
  <c r="G51" i="1"/>
  <c r="E51" i="1"/>
  <c r="E51" i="3" s="1"/>
  <c r="H50" i="1"/>
  <c r="H50" i="3" s="1"/>
  <c r="G50" i="1"/>
  <c r="F50" i="1"/>
  <c r="D48" i="1"/>
  <c r="D47" i="1"/>
  <c r="J44" i="1"/>
  <c r="J44" i="3" s="1"/>
  <c r="I44" i="1"/>
  <c r="I44" i="3" s="1"/>
  <c r="D44" i="1"/>
  <c r="E44" i="1" s="1"/>
  <c r="J43" i="1"/>
  <c r="I43" i="1"/>
  <c r="D43" i="1"/>
  <c r="D49" i="1" s="1"/>
  <c r="D36" i="1"/>
  <c r="D35" i="1"/>
  <c r="F34" i="1"/>
  <c r="E34" i="1"/>
  <c r="D34" i="1"/>
  <c r="D32" i="1"/>
  <c r="D31" i="1"/>
  <c r="D28" i="1"/>
  <c r="E27" i="1"/>
  <c r="F27" i="1" s="1"/>
  <c r="D27" i="1"/>
  <c r="E25" i="1"/>
  <c r="D25" i="1"/>
  <c r="D23" i="1"/>
  <c r="F22" i="1"/>
  <c r="E22" i="1"/>
  <c r="D22" i="1"/>
  <c r="D20" i="1"/>
  <c r="D15" i="1"/>
  <c r="E11" i="1"/>
  <c r="D11" i="1"/>
  <c r="J10" i="1"/>
  <c r="J10" i="2" s="1"/>
  <c r="I10" i="1"/>
  <c r="I10" i="2" s="1"/>
  <c r="E10" i="1"/>
  <c r="D10" i="1"/>
  <c r="G10" i="1" s="1"/>
  <c r="J9" i="1"/>
  <c r="J9" i="2" s="1"/>
  <c r="I9" i="1"/>
  <c r="I9" i="2" s="1"/>
  <c r="D9" i="1"/>
  <c r="J8" i="1"/>
  <c r="I8" i="1"/>
  <c r="I8" i="3" s="1"/>
  <c r="D8" i="1"/>
  <c r="D14" i="1" s="1"/>
  <c r="G7" i="1"/>
  <c r="F7" i="1"/>
  <c r="F25" i="1" s="1"/>
  <c r="D30" i="2" l="1"/>
  <c r="D38" i="2"/>
  <c r="E53" i="3"/>
  <c r="F53" i="3" s="1"/>
  <c r="F51" i="3"/>
  <c r="E54" i="3"/>
  <c r="F54" i="3" s="1"/>
  <c r="E9" i="1"/>
  <c r="D38" i="1"/>
  <c r="D30" i="1"/>
  <c r="G9" i="1"/>
  <c r="E46" i="1"/>
  <c r="E18" i="1"/>
  <c r="F18" i="1" s="1"/>
  <c r="E44" i="3"/>
  <c r="E39" i="1"/>
  <c r="F44" i="1"/>
  <c r="E19" i="1"/>
  <c r="F19" i="1" s="1"/>
  <c r="E24" i="1"/>
  <c r="E16" i="1"/>
  <c r="F16" i="1" s="1"/>
  <c r="E45" i="1"/>
  <c r="E44" i="2"/>
  <c r="G44" i="1"/>
  <c r="G44" i="3" s="1"/>
  <c r="G7" i="2"/>
  <c r="D27" i="2"/>
  <c r="D22" i="2"/>
  <c r="D19" i="1"/>
  <c r="E53" i="1"/>
  <c r="F53" i="1" s="1"/>
  <c r="H53" i="1" s="1"/>
  <c r="H53" i="3" s="1"/>
  <c r="F50" i="2"/>
  <c r="H7" i="1"/>
  <c r="D24" i="1"/>
  <c r="H7" i="2"/>
  <c r="D11" i="2"/>
  <c r="D37" i="1"/>
  <c r="J39" i="1"/>
  <c r="D43" i="2"/>
  <c r="I39" i="1"/>
  <c r="D29" i="1"/>
  <c r="G8" i="1"/>
  <c r="G8" i="3" s="1"/>
  <c r="D13" i="1"/>
  <c r="G43" i="1"/>
  <c r="G43" i="3" s="1"/>
  <c r="J44" i="2"/>
  <c r="F51" i="1"/>
  <c r="D44" i="2"/>
  <c r="F11" i="1"/>
  <c r="E43" i="1"/>
  <c r="E52" i="1"/>
  <c r="E52" i="3" s="1"/>
  <c r="F52" i="3" s="1"/>
  <c r="D8" i="2"/>
  <c r="I44" i="2"/>
  <c r="F10" i="1"/>
  <c r="H10" i="1" s="1"/>
  <c r="D10" i="2"/>
  <c r="G10" i="2" s="1"/>
  <c r="D25" i="2"/>
  <c r="E51" i="2"/>
  <c r="I52" i="2"/>
  <c r="D34" i="2"/>
  <c r="E34" i="2"/>
  <c r="F34" i="2" s="1"/>
  <c r="D44" i="3"/>
  <c r="E8" i="1"/>
  <c r="D21" i="1"/>
  <c r="D33" i="1"/>
  <c r="D45" i="1"/>
  <c r="D18" i="1"/>
  <c r="D26" i="1"/>
  <c r="D46" i="1"/>
  <c r="E10" i="2"/>
  <c r="H10" i="2" s="1"/>
  <c r="E25" i="2"/>
  <c r="J52" i="2"/>
  <c r="D43" i="3"/>
  <c r="D39" i="1"/>
  <c r="E22" i="2"/>
  <c r="F7" i="2"/>
  <c r="E27" i="2"/>
  <c r="F27" i="2" s="1"/>
  <c r="D12" i="1"/>
  <c r="E54" i="1"/>
  <c r="F54" i="1" s="1"/>
  <c r="H54" i="1" s="1"/>
  <c r="H54" i="3" s="1"/>
  <c r="D8" i="3"/>
  <c r="D17" i="1"/>
  <c r="E24" i="3" l="1"/>
  <c r="E16" i="3"/>
  <c r="F16" i="3" s="1"/>
  <c r="F44" i="3"/>
  <c r="E19" i="3"/>
  <c r="F19" i="3" s="1"/>
  <c r="E46" i="3"/>
  <c r="E18" i="3"/>
  <c r="F18" i="3" s="1"/>
  <c r="E45" i="3"/>
  <c r="I39" i="3"/>
  <c r="I39" i="2"/>
  <c r="D32" i="2"/>
  <c r="D13" i="2"/>
  <c r="D15" i="2"/>
  <c r="D26" i="2"/>
  <c r="D37" i="2"/>
  <c r="D33" i="2"/>
  <c r="D29" i="2"/>
  <c r="D21" i="2"/>
  <c r="D17" i="2"/>
  <c r="D36" i="2"/>
  <c r="D20" i="2"/>
  <c r="D12" i="2"/>
  <c r="D28" i="2"/>
  <c r="D14" i="2"/>
  <c r="D35" i="2"/>
  <c r="D31" i="2"/>
  <c r="D23" i="2"/>
  <c r="G43" i="2"/>
  <c r="D48" i="2"/>
  <c r="D49" i="2"/>
  <c r="D47" i="2"/>
  <c r="G8" i="2"/>
  <c r="G9" i="2"/>
  <c r="J39" i="2"/>
  <c r="J39" i="3"/>
  <c r="E45" i="2"/>
  <c r="E18" i="2"/>
  <c r="F18" i="2" s="1"/>
  <c r="H44" i="2"/>
  <c r="E24" i="2"/>
  <c r="E16" i="2"/>
  <c r="F16" i="2" s="1"/>
  <c r="F44" i="2"/>
  <c r="E19" i="2"/>
  <c r="F19" i="2" s="1"/>
  <c r="E46" i="2"/>
  <c r="E38" i="1"/>
  <c r="F38" i="1" s="1"/>
  <c r="E30" i="1"/>
  <c r="F30" i="1" s="1"/>
  <c r="F9" i="1"/>
  <c r="H9" i="1" s="1"/>
  <c r="E9" i="2"/>
  <c r="D35" i="3"/>
  <c r="D31" i="3"/>
  <c r="D23" i="3"/>
  <c r="D9" i="3"/>
  <c r="D12" i="3"/>
  <c r="D13" i="3"/>
  <c r="D21" i="3"/>
  <c r="D36" i="3"/>
  <c r="D32" i="3"/>
  <c r="D28" i="3"/>
  <c r="D20" i="3"/>
  <c r="D33" i="3"/>
  <c r="D29" i="3"/>
  <c r="D25" i="3"/>
  <c r="D17" i="3"/>
  <c r="D15" i="3"/>
  <c r="D14" i="3"/>
  <c r="D26" i="3"/>
  <c r="D7" i="3"/>
  <c r="D37" i="3"/>
  <c r="D24" i="3"/>
  <c r="D19" i="3"/>
  <c r="D45" i="3"/>
  <c r="D46" i="3"/>
  <c r="D18" i="3"/>
  <c r="D48" i="3"/>
  <c r="D47" i="3"/>
  <c r="D49" i="3"/>
  <c r="E26" i="1"/>
  <c r="F26" i="1" s="1"/>
  <c r="E12" i="1"/>
  <c r="F12" i="1" s="1"/>
  <c r="E35" i="1"/>
  <c r="F35" i="1" s="1"/>
  <c r="E31" i="1"/>
  <c r="F31" i="1" s="1"/>
  <c r="E23" i="1"/>
  <c r="F23" i="1" s="1"/>
  <c r="E32" i="1"/>
  <c r="F32" i="1" s="1"/>
  <c r="E20" i="1"/>
  <c r="F20" i="1" s="1"/>
  <c r="E13" i="1"/>
  <c r="F13" i="1" s="1"/>
  <c r="E36" i="1"/>
  <c r="F36" i="1" s="1"/>
  <c r="E28" i="1"/>
  <c r="F28" i="1" s="1"/>
  <c r="E8" i="2"/>
  <c r="E37" i="1"/>
  <c r="F37" i="1" s="1"/>
  <c r="E33" i="1"/>
  <c r="F33" i="1" s="1"/>
  <c r="E29" i="1"/>
  <c r="F29" i="1" s="1"/>
  <c r="E21" i="1"/>
  <c r="F21" i="1" s="1"/>
  <c r="E17" i="1"/>
  <c r="F17" i="1" s="1"/>
  <c r="F8" i="1"/>
  <c r="H8" i="1" s="1"/>
  <c r="H8" i="3" s="1"/>
  <c r="E8" i="3"/>
  <c r="E15" i="1"/>
  <c r="F15" i="1" s="1"/>
  <c r="E14" i="1"/>
  <c r="F14" i="1" s="1"/>
  <c r="E43" i="3"/>
  <c r="E47" i="1"/>
  <c r="E48" i="1"/>
  <c r="E43" i="2"/>
  <c r="E49" i="1"/>
  <c r="F49" i="1" s="1"/>
  <c r="F43" i="1"/>
  <c r="D41" i="1"/>
  <c r="D39" i="3"/>
  <c r="D40" i="1"/>
  <c r="G39" i="1"/>
  <c r="G39" i="3" s="1"/>
  <c r="D42" i="1"/>
  <c r="D39" i="2"/>
  <c r="D18" i="2"/>
  <c r="D24" i="2"/>
  <c r="D46" i="2"/>
  <c r="D45" i="2"/>
  <c r="G44" i="2"/>
  <c r="D19" i="2"/>
  <c r="H51" i="1"/>
  <c r="H51" i="3" s="1"/>
  <c r="F52" i="1"/>
  <c r="H52" i="1" s="1"/>
  <c r="H52" i="3" s="1"/>
  <c r="E52" i="2"/>
  <c r="H51" i="2"/>
  <c r="F51" i="2"/>
  <c r="E53" i="2"/>
  <c r="E54" i="2"/>
  <c r="F45" i="1"/>
  <c r="H44" i="1"/>
  <c r="H44" i="3" s="1"/>
  <c r="F46" i="1"/>
  <c r="F24" i="1"/>
  <c r="F25" i="2"/>
  <c r="F10" i="2"/>
  <c r="F11" i="2"/>
  <c r="F22" i="2"/>
  <c r="E41" i="1"/>
  <c r="F41" i="1" s="1"/>
  <c r="E40" i="1"/>
  <c r="F40" i="1" s="1"/>
  <c r="E39" i="3"/>
  <c r="E39" i="2"/>
  <c r="E42" i="1"/>
  <c r="F42" i="1" s="1"/>
  <c r="F39" i="1"/>
  <c r="H39" i="1" s="1"/>
  <c r="H39" i="3" s="1"/>
  <c r="E42" i="3" l="1"/>
  <c r="F42" i="3" s="1"/>
  <c r="F39" i="3"/>
  <c r="E41" i="3"/>
  <c r="F41" i="3" s="1"/>
  <c r="E40" i="3"/>
  <c r="F40" i="3" s="1"/>
  <c r="F9" i="2"/>
  <c r="H9" i="2"/>
  <c r="E38" i="2"/>
  <c r="F38" i="2" s="1"/>
  <c r="E30" i="2"/>
  <c r="F30" i="2" s="1"/>
  <c r="E49" i="3"/>
  <c r="F49" i="3" s="1"/>
  <c r="E48" i="3"/>
  <c r="F43" i="3"/>
  <c r="E47" i="3"/>
  <c r="F53" i="2"/>
  <c r="H53" i="2"/>
  <c r="H43" i="1"/>
  <c r="H43" i="3" s="1"/>
  <c r="F48" i="1"/>
  <c r="F47" i="1"/>
  <c r="F45" i="2"/>
  <c r="F46" i="2"/>
  <c r="F24" i="2"/>
  <c r="H54" i="2"/>
  <c r="F54" i="2"/>
  <c r="D11" i="3"/>
  <c r="D27" i="3"/>
  <c r="D10" i="3"/>
  <c r="D34" i="3"/>
  <c r="D22" i="3"/>
  <c r="F24" i="3"/>
  <c r="F46" i="3"/>
  <c r="F45" i="3"/>
  <c r="D40" i="2"/>
  <c r="G39" i="2"/>
  <c r="D42" i="2"/>
  <c r="D41" i="2"/>
  <c r="D40" i="3"/>
  <c r="D42" i="3"/>
  <c r="D41" i="3"/>
  <c r="H43" i="2"/>
  <c r="E48" i="2"/>
  <c r="E49" i="2"/>
  <c r="F49" i="2" s="1"/>
  <c r="F43" i="2"/>
  <c r="E47" i="2"/>
  <c r="D38" i="3"/>
  <c r="D30" i="3"/>
  <c r="E40" i="2"/>
  <c r="F40" i="2" s="1"/>
  <c r="E42" i="2"/>
  <c r="F42" i="2" s="1"/>
  <c r="F39" i="2"/>
  <c r="E41" i="2"/>
  <c r="F41" i="2" s="1"/>
  <c r="H39" i="2"/>
  <c r="E12" i="3"/>
  <c r="F12" i="3" s="1"/>
  <c r="E36" i="3"/>
  <c r="F36" i="3" s="1"/>
  <c r="E32" i="3"/>
  <c r="F32" i="3" s="1"/>
  <c r="E28" i="3"/>
  <c r="F28" i="3" s="1"/>
  <c r="E20" i="3"/>
  <c r="F20" i="3" s="1"/>
  <c r="E37" i="3"/>
  <c r="F37" i="3" s="1"/>
  <c r="E33" i="3"/>
  <c r="F33" i="3" s="1"/>
  <c r="E25" i="3"/>
  <c r="E21" i="3"/>
  <c r="F21" i="3" s="1"/>
  <c r="E15" i="3"/>
  <c r="F15" i="3" s="1"/>
  <c r="F8" i="3"/>
  <c r="E14" i="3"/>
  <c r="F14" i="3" s="1"/>
  <c r="E35" i="3"/>
  <c r="F35" i="3" s="1"/>
  <c r="E31" i="3"/>
  <c r="F31" i="3" s="1"/>
  <c r="E23" i="3"/>
  <c r="F23" i="3" s="1"/>
  <c r="E26" i="3"/>
  <c r="F26" i="3" s="1"/>
  <c r="E7" i="3"/>
  <c r="E29" i="3"/>
  <c r="F29" i="3" s="1"/>
  <c r="E17" i="3"/>
  <c r="F17" i="3" s="1"/>
  <c r="E13" i="3"/>
  <c r="F13" i="3" s="1"/>
  <c r="E9" i="3"/>
  <c r="F52" i="2"/>
  <c r="H52" i="2"/>
  <c r="E13" i="2"/>
  <c r="F13" i="2" s="1"/>
  <c r="H8" i="2"/>
  <c r="E37" i="2"/>
  <c r="F37" i="2" s="1"/>
  <c r="E33" i="2"/>
  <c r="F33" i="2" s="1"/>
  <c r="E29" i="2"/>
  <c r="F29" i="2" s="1"/>
  <c r="E21" i="2"/>
  <c r="F21" i="2" s="1"/>
  <c r="E17" i="2"/>
  <c r="F17" i="2" s="1"/>
  <c r="E36" i="2"/>
  <c r="F36" i="2" s="1"/>
  <c r="F8" i="2"/>
  <c r="E20" i="2"/>
  <c r="F20" i="2" s="1"/>
  <c r="E15" i="2"/>
  <c r="F15" i="2" s="1"/>
  <c r="E35" i="2"/>
  <c r="F35" i="2" s="1"/>
  <c r="E12" i="2"/>
  <c r="F12" i="2" s="1"/>
  <c r="E32" i="2"/>
  <c r="F32" i="2" s="1"/>
  <c r="E28" i="2"/>
  <c r="F28" i="2" s="1"/>
  <c r="E31" i="2"/>
  <c r="F31" i="2" s="1"/>
  <c r="E14" i="2"/>
  <c r="F14" i="2" s="1"/>
  <c r="E23" i="2"/>
  <c r="F23" i="2" s="1"/>
  <c r="E26" i="2"/>
  <c r="F26" i="2" s="1"/>
  <c r="E38" i="3" l="1"/>
  <c r="F38" i="3" s="1"/>
  <c r="E30" i="3"/>
  <c r="F7" i="3"/>
  <c r="F9" i="3"/>
  <c r="F30" i="3" s="1"/>
  <c r="F25" i="3"/>
  <c r="E10" i="3"/>
  <c r="E11" i="3"/>
  <c r="E27" i="3"/>
  <c r="E34" i="3"/>
  <c r="E22" i="3"/>
  <c r="F48" i="3"/>
  <c r="F47" i="3"/>
  <c r="F47" i="2"/>
  <c r="F48" i="2"/>
  <c r="F34" i="3" l="1"/>
  <c r="F22" i="3"/>
  <c r="F11" i="3"/>
  <c r="F27" i="3"/>
  <c r="F10" i="3"/>
</calcChain>
</file>

<file path=xl/sharedStrings.xml><?xml version="1.0" encoding="utf-8"?>
<sst xmlns="http://schemas.openxmlformats.org/spreadsheetml/2006/main" count="1061" uniqueCount="188">
  <si>
    <t>ONE AU Minimum Rate Guideline</t>
  </si>
  <si>
    <t>ONE AU Minimum Rate Guideline (NZJ)</t>
  </si>
  <si>
    <t>ISSUE DATE:</t>
  </si>
  <si>
    <t>Validity:</t>
  </si>
  <si>
    <t>01 Sept to 14 Sept 2026</t>
  </si>
  <si>
    <t>POD: Sydney</t>
  </si>
  <si>
    <t>POD: Brisbane</t>
  </si>
  <si>
    <t>POD: Melbourne/Brisbane</t>
  </si>
  <si>
    <t>POL</t>
  </si>
  <si>
    <t xml:space="preserve">Service (for reference only, no need to file in rate filing) </t>
  </si>
  <si>
    <t xml:space="preserve">Service  </t>
  </si>
  <si>
    <t>20'</t>
  </si>
  <si>
    <t>40'</t>
  </si>
  <si>
    <t>40'HC</t>
  </si>
  <si>
    <t xml:space="preserve">20'RF </t>
  </si>
  <si>
    <t xml:space="preserve">40'HC RF </t>
  </si>
  <si>
    <t>20'RAD</t>
  </si>
  <si>
    <t>40'HC RAD</t>
  </si>
  <si>
    <t>Add-on Table</t>
  </si>
  <si>
    <t>Add-on table</t>
  </si>
  <si>
    <t>USD</t>
  </si>
  <si>
    <t>North &amp; Central China</t>
  </si>
  <si>
    <t>Qingdao</t>
  </si>
  <si>
    <t>AUN / AUE</t>
  </si>
  <si>
    <t>China</t>
  </si>
  <si>
    <t>NZJ (only)</t>
  </si>
  <si>
    <t>Shanghai</t>
  </si>
  <si>
    <t>AUN / AUE / AUX</t>
  </si>
  <si>
    <t>Ningbo</t>
  </si>
  <si>
    <t xml:space="preserve">AUN / AUE </t>
  </si>
  <si>
    <t>Xingang</t>
  </si>
  <si>
    <t>on top of Qingdao</t>
  </si>
  <si>
    <t>Dalian</t>
  </si>
  <si>
    <t>Changsha</t>
  </si>
  <si>
    <t>on top of Shanghai</t>
  </si>
  <si>
    <t>Changshu</t>
  </si>
  <si>
    <t>Changzhou</t>
  </si>
  <si>
    <t>Chengdu</t>
  </si>
  <si>
    <t>Chengdu (via CNYTN by rail)</t>
  </si>
  <si>
    <t>on top of Yantian</t>
  </si>
  <si>
    <t>Chongqing (via CNSHA)</t>
  </si>
  <si>
    <t>Chongqing (via CNYTN by rail)</t>
  </si>
  <si>
    <t>Guiyang (via CNYTN by rail)</t>
  </si>
  <si>
    <t>Jiangyin</t>
  </si>
  <si>
    <t>Jiujiang (CNJIU)</t>
  </si>
  <si>
    <t>Lianyungang</t>
  </si>
  <si>
    <t>Nanchang (via CNSHA)</t>
  </si>
  <si>
    <t>Nanchang (via CNYTN by rail)</t>
  </si>
  <si>
    <t>Nanjing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</si>
  <si>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</si>
  <si>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</si>
  <si>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</si>
  <si>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</si>
  <si>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</si>
  <si>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</si>
  <si>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</si>
  <si>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</si>
  <si>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</si>
  <si>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</si>
  <si>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</si>
  <si>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</si>
  <si>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</si>
  <si>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</si>
  <si>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</si>
  <si>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</si>
  <si>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</si>
  <si>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</si>
  <si>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</si>
  <si>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</si>
  <si>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</si>
  <si>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AUN</t>
  </si>
  <si>
    <t>Yantian</t>
  </si>
  <si>
    <t>Ganzhou (CNGAN)</t>
  </si>
  <si>
    <t>Zhuzhou (CNZUU)</t>
  </si>
  <si>
    <t>Huangpu</t>
  </si>
  <si>
    <t xml:space="preserve">AUN </t>
  </si>
  <si>
    <t>on top of Hong Kong</t>
  </si>
  <si>
    <t>PRDA*</t>
  </si>
  <si>
    <t>PRDB*</t>
  </si>
  <si>
    <t>Korea</t>
  </si>
  <si>
    <t>Busan</t>
  </si>
  <si>
    <t>Taiwan (include ISL)</t>
  </si>
  <si>
    <t>Kaohsiung</t>
  </si>
  <si>
    <t>Keelung (Direct only)</t>
  </si>
  <si>
    <t>on top of Kaohsiung</t>
  </si>
  <si>
    <t>Taichung</t>
  </si>
  <si>
    <t>Taoyuan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</si>
  <si>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</si>
  <si>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</si>
  <si>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</si>
  <si>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</si>
  <si>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</si>
  <si>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20'RF</t>
  </si>
  <si>
    <t>40'HC RF</t>
  </si>
  <si>
    <t>OBS</t>
  </si>
  <si>
    <t>ONE Bunker Surcharge</t>
  </si>
  <si>
    <t>USD301</t>
  </si>
  <si>
    <t>USD602</t>
  </si>
  <si>
    <t>USD403</t>
  </si>
  <si>
    <t>USD806</t>
  </si>
  <si>
    <t>included</t>
  </si>
  <si>
    <t>LSF (ex CN &amp; HK only)</t>
  </si>
  <si>
    <t>Low Sulphur Fuel Surcharge</t>
  </si>
  <si>
    <t>ONE Tariff</t>
  </si>
  <si>
    <t>LSF (ex TW only)</t>
  </si>
  <si>
    <t>THD</t>
  </si>
  <si>
    <t>Terminal Handling Destination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</si>
  <si>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</si>
  <si>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</si>
  <si>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</si>
  <si>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</si>
  <si>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</si>
  <si>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</si>
  <si>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</si>
  <si>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</si>
  <si>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</si>
  <si>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</si>
  <si>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Remarks:</t>
  </si>
  <si>
    <t>Rate incl OBS, EFS (ex KR &amp; HK), PSS, subject to ISL/THL/THD/LND/DOC/DOF and local charges both ends</t>
  </si>
  <si>
    <t>Ex TW only: Rate incl OBS/ISL, PSS, subject to THL/THD/LND/DOC/DOF and all applicable surcharges as per ONE tariff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</si>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</sst>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"/>
    <numFmt numFmtId="165" formatCode="[$-409]d\-mmm\-yy"/>
    <numFmt numFmtId="166" formatCode="&quot;$&quot;#,##0"/>
  </numFmts>
  <fonts count="31" x14ac:knownFonts="1">
    <font>
      <sz val="11"/>
      <color theme="1"/>
      <name val="Calibri"/>
      <scheme val="minor"/>
    </font>
    <font>
      <b/>
      <sz val="28"/>
      <color rgb="FFBD0F72"/>
      <name val="Calibri"/>
    </font>
    <font>
      <sz val="11"/>
      <name val="Calibri"/>
    </font>
    <font>
      <b/>
      <sz val="11"/>
      <color theme="1"/>
      <name val="Calibri"/>
    </font>
    <font>
      <b/>
      <sz val="12"/>
      <color rgb="FFBD0F72"/>
      <name val="Calibri"/>
    </font>
    <font>
      <b/>
      <sz val="20"/>
      <color rgb="FFBD0F72"/>
      <name val="Calibri"/>
    </font>
    <font>
      <b/>
      <sz val="14"/>
      <color rgb="FFBD0F72"/>
      <name val="Calibri"/>
    </font>
    <font>
      <b/>
      <sz val="11"/>
      <color rgb="FFCCD3D1"/>
      <name val="Calibri"/>
    </font>
    <font>
      <b/>
      <sz val="11"/>
      <color rgb="FFF2F2F2"/>
      <name val="Calibri"/>
    </font>
    <font>
      <b/>
      <sz val="11"/>
      <color rgb="FFBD0F72"/>
      <name val="Calibri"/>
    </font>
    <font>
      <b/>
      <sz val="11"/>
      <color rgb="FF0000FF"/>
      <name val="Calibri"/>
    </font>
    <font>
      <b/>
      <sz val="14"/>
      <color rgb="FFF2F2F2"/>
      <name val="Calibri"/>
    </font>
    <font>
      <b/>
      <sz val="11"/>
      <color theme="0"/>
      <name val="Calibri"/>
    </font>
    <font>
      <b/>
      <sz val="11"/>
      <color rgb="FFD8D8D8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2"/>
      <color rgb="FF222222"/>
      <name val="Arial"/>
    </font>
    <font>
      <b/>
      <sz val="11"/>
      <color rgb="FFFFFF00"/>
      <name val="Calibri"/>
    </font>
    <font>
      <b/>
      <u/>
      <sz val="18"/>
      <color theme="1"/>
      <name val="Calibri"/>
    </font>
    <font>
      <b/>
      <sz val="11"/>
      <color rgb="FFFF0000"/>
      <name val="Times New Roman"/>
    </font>
    <font>
      <sz val="12"/>
      <color rgb="FFFF0000"/>
      <name val="Calibri"/>
    </font>
    <font>
      <sz val="12"/>
      <color rgb="FFFFFFFF"/>
      <name val="Calibri"/>
    </font>
    <font>
      <sz val="12"/>
      <color theme="1"/>
      <name val="Calibri"/>
    </font>
    <font>
      <sz val="12"/>
      <color rgb="FF0000FF"/>
      <name val="Calibri"/>
    </font>
    <font>
      <b/>
      <sz val="12"/>
      <color rgb="FFFF0000"/>
      <name val="Calibri"/>
    </font>
    <font>
      <b/>
      <sz val="12"/>
      <color rgb="FF0000FF"/>
      <name val="Calibri"/>
    </font>
    <font>
      <b/>
      <sz val="14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rgb="FFFF0000"/>
      <name val="Calibri"/>
    </font>
    <font>
      <i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CD3D1"/>
        <bgColor rgb="FFCCD3D1"/>
      </patternFill>
    </fill>
    <fill>
      <patternFill patternType="solid">
        <fgColor rgb="FFFFFF00"/>
        <bgColor rgb="FFFFFF00"/>
      </patternFill>
    </fill>
    <fill>
      <patternFill patternType="solid">
        <fgColor rgb="FFBD0F72"/>
        <bgColor rgb="FFBD0F7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CC0099"/>
        <bgColor rgb="FFCC0099"/>
      </patternFill>
    </fill>
  </fills>
  <borders count="10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 applyFont="1" applyAlignment="1"/>
    <xf numFmtId="0" fontId="3" fillId="0" borderId="0" xfId="0" applyFont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 vertical="center"/>
    </xf>
    <xf numFmtId="165" fontId="7" fillId="4" borderId="17" xfId="0" applyNumberFormat="1" applyFont="1" applyFill="1" applyBorder="1" applyAlignment="1">
      <alignment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7" fillId="4" borderId="10" xfId="0" applyNumberFormat="1" applyFont="1" applyFill="1" applyBorder="1" applyAlignment="1">
      <alignment horizontal="right" vertical="top"/>
    </xf>
    <xf numFmtId="165" fontId="7" fillId="4" borderId="13" xfId="0" applyNumberFormat="1" applyFont="1" applyFill="1" applyBorder="1" applyAlignment="1">
      <alignment horizontal="right" vertical="top"/>
    </xf>
    <xf numFmtId="0" fontId="8" fillId="4" borderId="26" xfId="0" applyFont="1" applyFill="1" applyBorder="1" applyAlignment="1">
      <alignment horizontal="center" vertical="top"/>
    </xf>
    <xf numFmtId="0" fontId="8" fillId="4" borderId="28" xfId="0" applyFont="1" applyFill="1" applyBorder="1" applyAlignment="1">
      <alignment horizontal="center" vertical="top"/>
    </xf>
    <xf numFmtId="0" fontId="8" fillId="4" borderId="30" xfId="0" applyFont="1" applyFill="1" applyBorder="1" applyAlignment="1">
      <alignment horizontal="center" vertical="top"/>
    </xf>
    <xf numFmtId="0" fontId="8" fillId="4" borderId="31" xfId="0" applyFont="1" applyFill="1" applyBorder="1" applyAlignment="1">
      <alignment horizontal="center" vertical="top"/>
    </xf>
    <xf numFmtId="0" fontId="8" fillId="4" borderId="32" xfId="0" applyFont="1" applyFill="1" applyBorder="1" applyAlignment="1">
      <alignment horizontal="center" vertical="top"/>
    </xf>
    <xf numFmtId="0" fontId="8" fillId="4" borderId="33" xfId="0" applyFont="1" applyFill="1" applyBorder="1" applyAlignment="1">
      <alignment horizontal="center" vertical="top"/>
    </xf>
    <xf numFmtId="0" fontId="8" fillId="4" borderId="35" xfId="0" applyFont="1" applyFill="1" applyBorder="1" applyAlignment="1">
      <alignment horizontal="center" vertical="top"/>
    </xf>
    <xf numFmtId="165" fontId="9" fillId="3" borderId="21" xfId="0" applyNumberFormat="1" applyFont="1" applyFill="1" applyBorder="1"/>
    <xf numFmtId="165" fontId="9" fillId="0" borderId="22" xfId="0" applyNumberFormat="1" applyFont="1" applyBorder="1"/>
    <xf numFmtId="1" fontId="10" fillId="0" borderId="20" xfId="0" applyNumberFormat="1" applyFont="1" applyBorder="1" applyAlignment="1">
      <alignment horizontal="center" vertical="top"/>
    </xf>
    <xf numFmtId="165" fontId="11" fillId="4" borderId="17" xfId="0" applyNumberFormat="1" applyFont="1" applyFill="1" applyBorder="1"/>
    <xf numFmtId="0" fontId="10" fillId="0" borderId="36" xfId="0" applyFont="1" applyBorder="1" applyAlignment="1">
      <alignment horizontal="center" vertical="top"/>
    </xf>
    <xf numFmtId="165" fontId="12" fillId="4" borderId="21" xfId="0" applyNumberFormat="1" applyFont="1" applyFill="1" applyBorder="1"/>
    <xf numFmtId="1" fontId="9" fillId="0" borderId="20" xfId="0" applyNumberFormat="1" applyFont="1" applyBorder="1" applyAlignment="1">
      <alignment horizontal="center" vertical="top"/>
    </xf>
    <xf numFmtId="165" fontId="8" fillId="4" borderId="37" xfId="0" applyNumberFormat="1" applyFont="1" applyFill="1" applyBorder="1"/>
    <xf numFmtId="1" fontId="10" fillId="0" borderId="22" xfId="0" applyNumberFormat="1" applyFont="1" applyBorder="1" applyAlignment="1">
      <alignment horizontal="center" vertical="top"/>
    </xf>
    <xf numFmtId="1" fontId="9" fillId="0" borderId="21" xfId="0" applyNumberFormat="1" applyFont="1" applyBorder="1" applyAlignment="1">
      <alignment horizontal="center" vertical="top"/>
    </xf>
    <xf numFmtId="1" fontId="9" fillId="0" borderId="38" xfId="0" applyNumberFormat="1" applyFont="1" applyBorder="1" applyAlignment="1">
      <alignment horizontal="center" vertical="top"/>
    </xf>
    <xf numFmtId="1" fontId="12" fillId="4" borderId="38" xfId="0" applyNumberFormat="1" applyFont="1" applyFill="1" applyBorder="1" applyAlignment="1">
      <alignment horizontal="center" vertical="center"/>
    </xf>
    <xf numFmtId="1" fontId="9" fillId="0" borderId="39" xfId="0" applyNumberFormat="1" applyFont="1" applyBorder="1" applyAlignment="1">
      <alignment horizontal="center" vertical="top"/>
    </xf>
    <xf numFmtId="1" fontId="9" fillId="0" borderId="22" xfId="0" applyNumberFormat="1" applyFont="1" applyBorder="1" applyAlignment="1">
      <alignment horizontal="center" vertical="top"/>
    </xf>
    <xf numFmtId="1" fontId="12" fillId="4" borderId="36" xfId="0" applyNumberFormat="1" applyFont="1" applyFill="1" applyBorder="1" applyAlignment="1">
      <alignment horizontal="center" vertical="center"/>
    </xf>
    <xf numFmtId="1" fontId="10" fillId="0" borderId="40" xfId="0" applyNumberFormat="1" applyFont="1" applyBorder="1" applyAlignment="1">
      <alignment horizontal="center" vertical="top"/>
    </xf>
    <xf numFmtId="1" fontId="12" fillId="4" borderId="39" xfId="0" applyNumberFormat="1" applyFont="1" applyFill="1" applyBorder="1" applyAlignment="1">
      <alignment horizontal="center" vertical="center"/>
    </xf>
    <xf numFmtId="1" fontId="8" fillId="4" borderId="20" xfId="0" applyNumberFormat="1" applyFont="1" applyFill="1" applyBorder="1" applyAlignment="1">
      <alignment horizontal="center" vertical="top"/>
    </xf>
    <xf numFmtId="1" fontId="3" fillId="0" borderId="0" xfId="0" applyNumberFormat="1" applyFont="1"/>
    <xf numFmtId="1" fontId="8" fillId="4" borderId="22" xfId="0" applyNumberFormat="1" applyFont="1" applyFill="1" applyBorder="1" applyAlignment="1">
      <alignment horizontal="center" vertical="top"/>
    </xf>
    <xf numFmtId="0" fontId="9" fillId="0" borderId="0" xfId="0" applyFont="1"/>
    <xf numFmtId="1" fontId="9" fillId="5" borderId="20" xfId="0" applyNumberFormat="1" applyFont="1" applyFill="1" applyBorder="1" applyAlignment="1">
      <alignment horizontal="center" vertical="top"/>
    </xf>
    <xf numFmtId="165" fontId="7" fillId="4" borderId="10" xfId="0" applyNumberFormat="1" applyFont="1" applyFill="1" applyBorder="1"/>
    <xf numFmtId="165" fontId="9" fillId="3" borderId="36" xfId="0" applyNumberFormat="1" applyFont="1" applyFill="1" applyBorder="1"/>
    <xf numFmtId="165" fontId="9" fillId="0" borderId="36" xfId="0" applyNumberFormat="1" applyFont="1" applyBorder="1"/>
    <xf numFmtId="0" fontId="9" fillId="0" borderId="42" xfId="0" applyFont="1" applyBorder="1" applyAlignment="1"/>
    <xf numFmtId="165" fontId="9" fillId="0" borderId="43" xfId="0" applyNumberFormat="1" applyFont="1" applyBorder="1"/>
    <xf numFmtId="1" fontId="9" fillId="0" borderId="44" xfId="0" applyNumberFormat="1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1" fontId="9" fillId="0" borderId="36" xfId="0" applyNumberFormat="1" applyFont="1" applyBorder="1" applyAlignment="1">
      <alignment horizontal="center" vertical="top"/>
    </xf>
    <xf numFmtId="1" fontId="9" fillId="0" borderId="40" xfId="0" applyNumberFormat="1" applyFont="1" applyBorder="1" applyAlignment="1">
      <alignment horizontal="center" vertical="top"/>
    </xf>
    <xf numFmtId="1" fontId="9" fillId="0" borderId="45" xfId="0" applyNumberFormat="1" applyFont="1" applyBorder="1" applyAlignment="1">
      <alignment horizontal="center" vertical="top"/>
    </xf>
    <xf numFmtId="1" fontId="9" fillId="5" borderId="46" xfId="0" applyNumberFormat="1" applyFont="1" applyFill="1" applyBorder="1" applyAlignment="1">
      <alignment horizontal="center" vertical="top"/>
    </xf>
    <xf numFmtId="1" fontId="9" fillId="0" borderId="47" xfId="0" applyNumberFormat="1" applyFont="1" applyBorder="1" applyAlignment="1">
      <alignment horizontal="center" vertical="top"/>
    </xf>
    <xf numFmtId="1" fontId="9" fillId="0" borderId="48" xfId="0" applyNumberFormat="1" applyFont="1" applyBorder="1" applyAlignment="1">
      <alignment horizontal="center" vertical="top"/>
    </xf>
    <xf numFmtId="165" fontId="12" fillId="4" borderId="36" xfId="0" applyNumberFormat="1" applyFont="1" applyFill="1" applyBorder="1"/>
    <xf numFmtId="165" fontId="8" fillId="4" borderId="49" xfId="0" applyNumberFormat="1" applyFont="1" applyFill="1" applyBorder="1"/>
    <xf numFmtId="1" fontId="12" fillId="4" borderId="38" xfId="0" applyNumberFormat="1" applyFont="1" applyFill="1" applyBorder="1" applyAlignment="1">
      <alignment horizontal="center" vertical="top"/>
    </xf>
    <xf numFmtId="1" fontId="12" fillId="4" borderId="36" xfId="0" applyNumberFormat="1" applyFont="1" applyFill="1" applyBorder="1" applyAlignment="1">
      <alignment horizontal="center" vertical="top"/>
    </xf>
    <xf numFmtId="1" fontId="12" fillId="4" borderId="39" xfId="0" applyNumberFormat="1" applyFont="1" applyFill="1" applyBorder="1" applyAlignment="1">
      <alignment horizontal="center" vertical="top"/>
    </xf>
    <xf numFmtId="1" fontId="13" fillId="4" borderId="38" xfId="0" applyNumberFormat="1" applyFont="1" applyFill="1" applyBorder="1" applyAlignment="1">
      <alignment horizontal="center" vertical="top"/>
    </xf>
    <xf numFmtId="1" fontId="13" fillId="4" borderId="39" xfId="0" applyNumberFormat="1" applyFont="1" applyFill="1" applyBorder="1" applyAlignment="1">
      <alignment horizontal="center" vertical="top"/>
    </xf>
    <xf numFmtId="0" fontId="14" fillId="0" borderId="0" xfId="0" applyFont="1"/>
    <xf numFmtId="1" fontId="13" fillId="4" borderId="46" xfId="0" applyNumberFormat="1" applyFont="1" applyFill="1" applyBorder="1" applyAlignment="1">
      <alignment horizontal="center" vertical="top"/>
    </xf>
    <xf numFmtId="0" fontId="15" fillId="0" borderId="0" xfId="0" applyFont="1" applyAlignment="1">
      <alignment horizontal="left"/>
    </xf>
    <xf numFmtId="1" fontId="9" fillId="5" borderId="38" xfId="0" applyNumberFormat="1" applyFont="1" applyFill="1" applyBorder="1" applyAlignment="1">
      <alignment horizontal="center" vertical="top"/>
    </xf>
    <xf numFmtId="1" fontId="7" fillId="4" borderId="38" xfId="0" applyNumberFormat="1" applyFont="1" applyFill="1" applyBorder="1" applyAlignment="1">
      <alignment horizontal="center" vertical="top"/>
    </xf>
    <xf numFmtId="1" fontId="9" fillId="0" borderId="50" xfId="0" applyNumberFormat="1" applyFont="1" applyBorder="1" applyAlignment="1">
      <alignment horizontal="center" vertical="top"/>
    </xf>
    <xf numFmtId="1" fontId="7" fillId="4" borderId="39" xfId="0" applyNumberFormat="1" applyFont="1" applyFill="1" applyBorder="1" applyAlignment="1">
      <alignment horizontal="center" vertical="top"/>
    </xf>
    <xf numFmtId="1" fontId="7" fillId="4" borderId="51" xfId="0" applyNumberFormat="1" applyFont="1" applyFill="1" applyBorder="1" applyAlignment="1">
      <alignment horizontal="center" vertical="top"/>
    </xf>
    <xf numFmtId="166" fontId="9" fillId="0" borderId="0" xfId="0" applyNumberFormat="1" applyFont="1" applyAlignment="1">
      <alignment horizontal="center"/>
    </xf>
    <xf numFmtId="0" fontId="8" fillId="4" borderId="36" xfId="0" applyFont="1" applyFill="1" applyBorder="1" applyAlignment="1">
      <alignment horizontal="left"/>
    </xf>
    <xf numFmtId="0" fontId="8" fillId="4" borderId="49" xfId="0" applyFont="1" applyFill="1" applyBorder="1" applyAlignment="1"/>
    <xf numFmtId="1" fontId="7" fillId="6" borderId="38" xfId="0" applyNumberFormat="1" applyFont="1" applyFill="1" applyBorder="1" applyAlignment="1">
      <alignment horizontal="center" vertical="top"/>
    </xf>
    <xf numFmtId="1" fontId="7" fillId="6" borderId="39" xfId="0" applyNumberFormat="1" applyFont="1" applyFill="1" applyBorder="1" applyAlignment="1">
      <alignment horizontal="center" vertical="top"/>
    </xf>
    <xf numFmtId="1" fontId="8" fillId="4" borderId="38" xfId="0" applyNumberFormat="1" applyFont="1" applyFill="1" applyBorder="1" applyAlignment="1">
      <alignment horizontal="center" vertical="top"/>
    </xf>
    <xf numFmtId="1" fontId="8" fillId="4" borderId="36" xfId="0" applyNumberFormat="1" applyFont="1" applyFill="1" applyBorder="1" applyAlignment="1">
      <alignment horizontal="center" vertical="top"/>
    </xf>
    <xf numFmtId="166" fontId="9" fillId="3" borderId="11" xfId="0" applyNumberFormat="1" applyFont="1" applyFill="1" applyBorder="1" applyAlignment="1">
      <alignment horizontal="center"/>
    </xf>
    <xf numFmtId="0" fontId="9" fillId="3" borderId="36" xfId="0" applyFont="1" applyFill="1" applyBorder="1" applyAlignment="1">
      <alignment horizontal="left"/>
    </xf>
    <xf numFmtId="1" fontId="9" fillId="4" borderId="38" xfId="0" applyNumberFormat="1" applyFont="1" applyFill="1" applyBorder="1" applyAlignment="1">
      <alignment horizontal="center" vertical="top"/>
    </xf>
    <xf numFmtId="1" fontId="9" fillId="3" borderId="36" xfId="0" applyNumberFormat="1" applyFont="1" applyFill="1" applyBorder="1" applyAlignment="1">
      <alignment horizontal="center" vertical="top"/>
    </xf>
    <xf numFmtId="1" fontId="9" fillId="3" borderId="39" xfId="0" applyNumberFormat="1" applyFont="1" applyFill="1" applyBorder="1" applyAlignment="1">
      <alignment horizontal="center" vertical="top"/>
    </xf>
    <xf numFmtId="166" fontId="14" fillId="0" borderId="0" xfId="0" applyNumberFormat="1" applyFont="1" applyAlignment="1">
      <alignment horizontal="center"/>
    </xf>
    <xf numFmtId="0" fontId="12" fillId="4" borderId="36" xfId="0" applyFont="1" applyFill="1" applyBorder="1" applyAlignment="1">
      <alignment horizontal="left"/>
    </xf>
    <xf numFmtId="1" fontId="8" fillId="4" borderId="52" xfId="0" applyNumberFormat="1" applyFont="1" applyFill="1" applyBorder="1" applyAlignment="1">
      <alignment horizontal="center" vertical="top"/>
    </xf>
    <xf numFmtId="1" fontId="8" fillId="4" borderId="39" xfId="0" applyNumberFormat="1" applyFont="1" applyFill="1" applyBorder="1" applyAlignment="1">
      <alignment horizontal="center" vertical="top"/>
    </xf>
    <xf numFmtId="0" fontId="8" fillId="4" borderId="33" xfId="0" applyFont="1" applyFill="1" applyBorder="1" applyAlignment="1">
      <alignment horizontal="left"/>
    </xf>
    <xf numFmtId="165" fontId="8" fillId="4" borderId="54" xfId="0" applyNumberFormat="1" applyFont="1" applyFill="1" applyBorder="1"/>
    <xf numFmtId="1" fontId="8" fillId="4" borderId="31" xfId="0" applyNumberFormat="1" applyFont="1" applyFill="1" applyBorder="1" applyAlignment="1">
      <alignment horizontal="center" vertical="top"/>
    </xf>
    <xf numFmtId="1" fontId="8" fillId="4" borderId="33" xfId="0" applyNumberFormat="1" applyFont="1" applyFill="1" applyBorder="1" applyAlignment="1">
      <alignment horizontal="center" vertical="top"/>
    </xf>
    <xf numFmtId="1" fontId="12" fillId="4" borderId="35" xfId="0" applyNumberFormat="1" applyFont="1" applyFill="1" applyBorder="1" applyAlignment="1">
      <alignment horizontal="center" vertical="top"/>
    </xf>
    <xf numFmtId="1" fontId="7" fillId="4" borderId="31" xfId="0" applyNumberFormat="1" applyFont="1" applyFill="1" applyBorder="1" applyAlignment="1">
      <alignment horizontal="center" vertical="top"/>
    </xf>
    <xf numFmtId="1" fontId="7" fillId="4" borderId="35" xfId="0" applyNumberFormat="1" applyFont="1" applyFill="1" applyBorder="1" applyAlignment="1">
      <alignment horizontal="center" vertical="top"/>
    </xf>
    <xf numFmtId="0" fontId="8" fillId="4" borderId="28" xfId="0" applyFont="1" applyFill="1" applyBorder="1" applyAlignment="1">
      <alignment horizontal="left"/>
    </xf>
    <xf numFmtId="165" fontId="9" fillId="0" borderId="55" xfId="0" applyNumberFormat="1" applyFont="1" applyBorder="1"/>
    <xf numFmtId="165" fontId="8" fillId="4" borderId="56" xfId="0" applyNumberFormat="1" applyFont="1" applyFill="1" applyBorder="1"/>
    <xf numFmtId="1" fontId="8" fillId="4" borderId="26" xfId="0" applyNumberFormat="1" applyFont="1" applyFill="1" applyBorder="1" applyAlignment="1">
      <alignment horizontal="center" vertical="top"/>
    </xf>
    <xf numFmtId="1" fontId="8" fillId="4" borderId="28" xfId="0" applyNumberFormat="1" applyFont="1" applyFill="1" applyBorder="1" applyAlignment="1">
      <alignment horizontal="center" vertical="top"/>
    </xf>
    <xf numFmtId="1" fontId="12" fillId="4" borderId="30" xfId="0" applyNumberFormat="1" applyFont="1" applyFill="1" applyBorder="1" applyAlignment="1">
      <alignment horizontal="center" vertical="top"/>
    </xf>
    <xf numFmtId="1" fontId="7" fillId="4" borderId="57" xfId="0" applyNumberFormat="1" applyFont="1" applyFill="1" applyBorder="1" applyAlignment="1">
      <alignment horizontal="center" vertical="top"/>
    </xf>
    <xf numFmtId="1" fontId="7" fillId="4" borderId="26" xfId="0" applyNumberFormat="1" applyFont="1" applyFill="1" applyBorder="1" applyAlignment="1">
      <alignment horizontal="center" vertical="top"/>
    </xf>
    <xf numFmtId="1" fontId="7" fillId="4" borderId="30" xfId="0" applyNumberFormat="1" applyFont="1" applyFill="1" applyBorder="1" applyAlignment="1">
      <alignment horizontal="center" vertical="top"/>
    </xf>
    <xf numFmtId="1" fontId="9" fillId="0" borderId="58" xfId="0" applyNumberFormat="1" applyFont="1" applyBorder="1" applyAlignment="1">
      <alignment horizontal="center" vertical="top"/>
    </xf>
    <xf numFmtId="1" fontId="7" fillId="4" borderId="32" xfId="0" applyNumberFormat="1" applyFont="1" applyFill="1" applyBorder="1" applyAlignment="1">
      <alignment horizontal="center" vertical="top"/>
    </xf>
    <xf numFmtId="165" fontId="9" fillId="0" borderId="60" xfId="0" applyNumberFormat="1" applyFont="1" applyBorder="1"/>
    <xf numFmtId="165" fontId="9" fillId="0" borderId="42" xfId="0" applyNumberFormat="1" applyFont="1" applyBorder="1"/>
    <xf numFmtId="0" fontId="3" fillId="0" borderId="0" xfId="0" applyFont="1" applyAlignment="1">
      <alignment horizontal="center"/>
    </xf>
    <xf numFmtId="165" fontId="12" fillId="4" borderId="49" xfId="0" applyNumberFormat="1" applyFont="1" applyFill="1" applyBorder="1"/>
    <xf numFmtId="0" fontId="3" fillId="4" borderId="11" xfId="0" applyFont="1" applyFill="1" applyBorder="1"/>
    <xf numFmtId="1" fontId="9" fillId="6" borderId="46" xfId="0" applyNumberFormat="1" applyFont="1" applyFill="1" applyBorder="1" applyAlignment="1">
      <alignment horizontal="center" vertical="top"/>
    </xf>
    <xf numFmtId="1" fontId="9" fillId="6" borderId="61" xfId="0" applyNumberFormat="1" applyFont="1" applyFill="1" applyBorder="1" applyAlignment="1">
      <alignment horizontal="center" vertical="top"/>
    </xf>
    <xf numFmtId="1" fontId="12" fillId="4" borderId="49" xfId="0" applyNumberFormat="1" applyFont="1" applyFill="1" applyBorder="1" applyAlignment="1">
      <alignment horizontal="center" vertical="top"/>
    </xf>
    <xf numFmtId="1" fontId="8" fillId="6" borderId="38" xfId="0" applyNumberFormat="1" applyFont="1" applyFill="1" applyBorder="1" applyAlignment="1">
      <alignment horizontal="center" vertical="top"/>
    </xf>
    <xf numFmtId="1" fontId="8" fillId="6" borderId="39" xfId="0" applyNumberFormat="1" applyFont="1" applyFill="1" applyBorder="1" applyAlignment="1">
      <alignment horizontal="center" vertical="top"/>
    </xf>
    <xf numFmtId="1" fontId="7" fillId="6" borderId="26" xfId="0" applyNumberFormat="1" applyFont="1" applyFill="1" applyBorder="1" applyAlignment="1">
      <alignment horizontal="center" vertical="top"/>
    </xf>
    <xf numFmtId="1" fontId="7" fillId="6" borderId="62" xfId="0" applyNumberFormat="1" applyFont="1" applyFill="1" applyBorder="1" applyAlignment="1">
      <alignment horizontal="center" vertical="top"/>
    </xf>
    <xf numFmtId="165" fontId="8" fillId="4" borderId="64" xfId="0" applyNumberFormat="1" applyFont="1" applyFill="1" applyBorder="1" applyAlignment="1">
      <alignment horizontal="left"/>
    </xf>
    <xf numFmtId="165" fontId="9" fillId="0" borderId="65" xfId="0" applyNumberFormat="1" applyFont="1" applyBorder="1"/>
    <xf numFmtId="165" fontId="9" fillId="0" borderId="66" xfId="0" applyNumberFormat="1" applyFont="1" applyBorder="1"/>
    <xf numFmtId="1" fontId="9" fillId="0" borderId="67" xfId="0" applyNumberFormat="1" applyFont="1" applyBorder="1" applyAlignment="1">
      <alignment horizontal="center" vertical="top"/>
    </xf>
    <xf numFmtId="1" fontId="9" fillId="0" borderId="65" xfId="0" applyNumberFormat="1" applyFont="1" applyBorder="1" applyAlignment="1">
      <alignment horizontal="center" vertical="top"/>
    </xf>
    <xf numFmtId="1" fontId="9" fillId="0" borderId="68" xfId="0" applyNumberFormat="1" applyFont="1" applyBorder="1" applyAlignment="1">
      <alignment horizontal="center" vertical="top"/>
    </xf>
    <xf numFmtId="1" fontId="9" fillId="5" borderId="67" xfId="0" applyNumberFormat="1" applyFont="1" applyFill="1" applyBorder="1" applyAlignment="1">
      <alignment horizontal="center" vertical="top"/>
    </xf>
    <xf numFmtId="1" fontId="9" fillId="0" borderId="70" xfId="0" applyNumberFormat="1" applyFont="1" applyBorder="1" applyAlignment="1">
      <alignment horizontal="center" vertical="top"/>
    </xf>
    <xf numFmtId="1" fontId="10" fillId="0" borderId="67" xfId="0" applyNumberFormat="1" applyFont="1" applyBorder="1" applyAlignment="1">
      <alignment horizontal="center" vertical="top"/>
    </xf>
    <xf numFmtId="1" fontId="9" fillId="0" borderId="60" xfId="0" applyNumberFormat="1" applyFont="1" applyBorder="1" applyAlignment="1">
      <alignment horizontal="center" vertical="top"/>
    </xf>
    <xf numFmtId="1" fontId="10" fillId="0" borderId="65" xfId="0" applyNumberFormat="1" applyFont="1" applyBorder="1" applyAlignment="1">
      <alignment horizontal="center" vertical="top"/>
    </xf>
    <xf numFmtId="1" fontId="9" fillId="0" borderId="72" xfId="0" applyNumberFormat="1" applyFont="1" applyBorder="1" applyAlignment="1">
      <alignment horizontal="center" vertical="top"/>
    </xf>
    <xf numFmtId="1" fontId="10" fillId="0" borderId="68" xfId="0" applyNumberFormat="1" applyFont="1" applyBorder="1" applyAlignment="1">
      <alignment horizontal="center" vertical="top"/>
    </xf>
    <xf numFmtId="1" fontId="9" fillId="0" borderId="73" xfId="0" applyNumberFormat="1" applyFont="1" applyBorder="1" applyAlignment="1">
      <alignment horizontal="center" vertical="top"/>
    </xf>
    <xf numFmtId="1" fontId="10" fillId="0" borderId="73" xfId="0" applyNumberFormat="1" applyFont="1" applyBorder="1" applyAlignment="1">
      <alignment horizontal="center" vertical="top"/>
    </xf>
    <xf numFmtId="1" fontId="10" fillId="0" borderId="47" xfId="0" applyNumberFormat="1" applyFont="1" applyBorder="1" applyAlignment="1">
      <alignment horizontal="center" vertical="top"/>
    </xf>
    <xf numFmtId="1" fontId="10" fillId="0" borderId="60" xfId="0" applyNumberFormat="1" applyFont="1" applyBorder="1" applyAlignment="1">
      <alignment horizontal="center" vertical="top"/>
    </xf>
    <xf numFmtId="1" fontId="10" fillId="0" borderId="72" xfId="0" applyNumberFormat="1" applyFont="1" applyBorder="1" applyAlignment="1">
      <alignment horizontal="center" vertical="top"/>
    </xf>
    <xf numFmtId="165" fontId="8" fillId="4" borderId="36" xfId="0" applyNumberFormat="1" applyFont="1" applyFill="1" applyBorder="1"/>
    <xf numFmtId="1" fontId="10" fillId="0" borderId="45" xfId="0" applyNumberFormat="1" applyFont="1" applyBorder="1" applyAlignment="1">
      <alignment horizontal="center" vertical="top"/>
    </xf>
    <xf numFmtId="165" fontId="8" fillId="4" borderId="74" xfId="0" applyNumberFormat="1" applyFont="1" applyFill="1" applyBorder="1"/>
    <xf numFmtId="1" fontId="8" fillId="4" borderId="46" xfId="0" applyNumberFormat="1" applyFont="1" applyFill="1" applyBorder="1" applyAlignment="1">
      <alignment horizontal="center" vertical="top"/>
    </xf>
    <xf numFmtId="1" fontId="8" fillId="4" borderId="75" xfId="0" applyNumberFormat="1" applyFont="1" applyFill="1" applyBorder="1" applyAlignment="1">
      <alignment horizontal="center" vertical="top"/>
    </xf>
    <xf numFmtId="1" fontId="8" fillId="4" borderId="76" xfId="0" applyNumberFormat="1" applyFont="1" applyFill="1" applyBorder="1" applyAlignment="1">
      <alignment horizontal="center" vertical="top"/>
    </xf>
    <xf numFmtId="165" fontId="8" fillId="4" borderId="33" xfId="0" applyNumberFormat="1" applyFont="1" applyFill="1" applyBorder="1"/>
    <xf numFmtId="1" fontId="8" fillId="4" borderId="77" xfId="0" applyNumberFormat="1" applyFont="1" applyFill="1" applyBorder="1" applyAlignment="1">
      <alignment horizontal="center" vertical="top"/>
    </xf>
    <xf numFmtId="1" fontId="8" fillId="4" borderId="78" xfId="0" applyNumberFormat="1" applyFont="1" applyFill="1" applyBorder="1" applyAlignment="1">
      <alignment horizontal="center" vertical="top"/>
    </xf>
    <xf numFmtId="1" fontId="8" fillId="4" borderId="79" xfId="0" applyNumberFormat="1" applyFont="1" applyFill="1" applyBorder="1" applyAlignment="1">
      <alignment horizontal="center" vertical="top"/>
    </xf>
    <xf numFmtId="1" fontId="9" fillId="0" borderId="31" xfId="0" applyNumberFormat="1" applyFont="1" applyBorder="1" applyAlignment="1">
      <alignment horizontal="center" vertical="top"/>
    </xf>
    <xf numFmtId="1" fontId="9" fillId="0" borderId="35" xfId="0" applyNumberFormat="1" applyFont="1" applyBorder="1" applyAlignment="1">
      <alignment horizontal="center" vertical="top"/>
    </xf>
    <xf numFmtId="1" fontId="12" fillId="4" borderId="51" xfId="0" applyNumberFormat="1" applyFont="1" applyFill="1" applyBorder="1" applyAlignment="1">
      <alignment horizontal="center" vertical="top"/>
    </xf>
    <xf numFmtId="1" fontId="12" fillId="4" borderId="26" xfId="0" applyNumberFormat="1" applyFont="1" applyFill="1" applyBorder="1" applyAlignment="1">
      <alignment horizontal="center" vertical="top"/>
    </xf>
    <xf numFmtId="0" fontId="14" fillId="0" borderId="0" xfId="0" applyFont="1" applyAlignment="1">
      <alignment vertical="center"/>
    </xf>
    <xf numFmtId="165" fontId="8" fillId="4" borderId="80" xfId="0" applyNumberFormat="1" applyFont="1" applyFill="1" applyBorder="1"/>
    <xf numFmtId="1" fontId="12" fillId="4" borderId="57" xfId="0" applyNumberFormat="1" applyFont="1" applyFill="1" applyBorder="1" applyAlignment="1">
      <alignment horizontal="center" vertical="top"/>
    </xf>
    <xf numFmtId="1" fontId="12" fillId="4" borderId="31" xfId="0" applyNumberFormat="1" applyFont="1" applyFill="1" applyBorder="1" applyAlignment="1">
      <alignment horizontal="center" vertical="top"/>
    </xf>
    <xf numFmtId="1" fontId="8" fillId="4" borderId="57" xfId="0" applyNumberFormat="1" applyFont="1" applyFill="1" applyBorder="1" applyAlignment="1">
      <alignment horizontal="center" vertical="top"/>
    </xf>
    <xf numFmtId="0" fontId="16" fillId="0" borderId="0" xfId="0" applyFont="1"/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 vertical="top"/>
    </xf>
    <xf numFmtId="0" fontId="7" fillId="4" borderId="56" xfId="0" applyFont="1" applyFill="1" applyBorder="1" applyAlignment="1">
      <alignment horizontal="center" vertical="top"/>
    </xf>
    <xf numFmtId="0" fontId="7" fillId="4" borderId="36" xfId="0" applyFont="1" applyFill="1" applyBorder="1" applyAlignment="1">
      <alignment horizontal="center" vertical="top"/>
    </xf>
    <xf numFmtId="0" fontId="7" fillId="4" borderId="30" xfId="0" applyFont="1" applyFill="1" applyBorder="1" applyAlignment="1">
      <alignment horizontal="center" vertical="top"/>
    </xf>
    <xf numFmtId="0" fontId="17" fillId="4" borderId="38" xfId="0" applyFont="1" applyFill="1" applyBorder="1"/>
    <xf numFmtId="0" fontId="14" fillId="3" borderId="36" xfId="0" applyFont="1" applyFill="1" applyBorder="1" applyAlignment="1">
      <alignment horizontal="center"/>
    </xf>
    <xf numFmtId="0" fontId="7" fillId="4" borderId="84" xfId="0" applyFont="1" applyFill="1" applyBorder="1" applyAlignment="1">
      <alignment horizontal="center" vertical="top"/>
    </xf>
    <xf numFmtId="0" fontId="7" fillId="4" borderId="85" xfId="0" applyFont="1" applyFill="1" applyBorder="1" applyAlignment="1">
      <alignment horizontal="center" vertical="top"/>
    </xf>
    <xf numFmtId="0" fontId="7" fillId="4" borderId="75" xfId="0" applyFont="1" applyFill="1" applyBorder="1" applyAlignment="1">
      <alignment horizontal="center" vertical="top"/>
    </xf>
    <xf numFmtId="0" fontId="13" fillId="4" borderId="38" xfId="0" applyFont="1" applyFill="1" applyBorder="1"/>
    <xf numFmtId="0" fontId="7" fillId="4" borderId="51" xfId="0" applyFont="1" applyFill="1" applyBorder="1" applyAlignment="1">
      <alignment horizontal="center"/>
    </xf>
    <xf numFmtId="0" fontId="7" fillId="4" borderId="38" xfId="0" applyFont="1" applyFill="1" applyBorder="1"/>
    <xf numFmtId="0" fontId="3" fillId="3" borderId="11" xfId="0" applyFont="1" applyFill="1" applyBorder="1"/>
    <xf numFmtId="0" fontId="7" fillId="4" borderId="86" xfId="0" applyFont="1" applyFill="1" applyBorder="1" applyAlignment="1">
      <alignment horizontal="center"/>
    </xf>
    <xf numFmtId="0" fontId="7" fillId="4" borderId="26" xfId="0" applyFont="1" applyFill="1" applyBorder="1"/>
    <xf numFmtId="0" fontId="13" fillId="4" borderId="51" xfId="0" applyFont="1" applyFill="1" applyBorder="1" applyAlignment="1">
      <alignment horizontal="center"/>
    </xf>
    <xf numFmtId="0" fontId="13" fillId="4" borderId="86" xfId="0" applyFont="1" applyFill="1" applyBorder="1" applyAlignment="1">
      <alignment horizontal="center"/>
    </xf>
    <xf numFmtId="0" fontId="9" fillId="2" borderId="11" xfId="0" applyFont="1" applyFill="1" applyBorder="1"/>
    <xf numFmtId="0" fontId="9" fillId="3" borderId="11" xfId="0" applyFont="1" applyFill="1" applyBorder="1" applyAlignment="1"/>
    <xf numFmtId="0" fontId="15" fillId="3" borderId="11" xfId="0" applyFont="1" applyFill="1" applyBorder="1" applyAlignment="1"/>
    <xf numFmtId="0" fontId="9" fillId="7" borderId="11" xfId="0" applyFont="1" applyFill="1" applyBorder="1"/>
    <xf numFmtId="0" fontId="18" fillId="3" borderId="89" xfId="0" applyFont="1" applyFill="1" applyBorder="1" applyAlignment="1"/>
    <xf numFmtId="0" fontId="15" fillId="3" borderId="89" xfId="0" applyFont="1" applyFill="1" applyBorder="1" applyAlignment="1"/>
    <xf numFmtId="0" fontId="15" fillId="0" borderId="89" xfId="0" applyFont="1" applyBorder="1" applyAlignment="1"/>
    <xf numFmtId="0" fontId="15" fillId="0" borderId="0" xfId="0" applyFont="1" applyAlignment="1"/>
    <xf numFmtId="0" fontId="19" fillId="0" borderId="89" xfId="0" applyFont="1" applyBorder="1" applyAlignment="1"/>
    <xf numFmtId="0" fontId="15" fillId="0" borderId="90" xfId="0" applyFont="1" applyBorder="1" applyAlignment="1"/>
    <xf numFmtId="0" fontId="20" fillId="8" borderId="91" xfId="0" applyFont="1" applyFill="1" applyBorder="1" applyAlignment="1">
      <alignment horizontal="center" wrapText="1"/>
    </xf>
    <xf numFmtId="0" fontId="21" fillId="9" borderId="92" xfId="0" applyFont="1" applyFill="1" applyBorder="1" applyAlignment="1">
      <alignment wrapText="1"/>
    </xf>
    <xf numFmtId="0" fontId="21" fillId="9" borderId="92" xfId="0" applyFont="1" applyFill="1" applyBorder="1" applyAlignment="1">
      <alignment horizontal="center" wrapText="1"/>
    </xf>
    <xf numFmtId="0" fontId="22" fillId="8" borderId="92" xfId="0" applyFont="1" applyFill="1" applyBorder="1" applyAlignment="1">
      <alignment wrapText="1"/>
    </xf>
    <xf numFmtId="0" fontId="15" fillId="8" borderId="92" xfId="0" applyFont="1" applyFill="1" applyBorder="1" applyAlignment="1"/>
    <xf numFmtId="0" fontId="23" fillId="0" borderId="92" xfId="0" applyFont="1" applyBorder="1" applyAlignment="1">
      <alignment horizontal="center" wrapText="1"/>
    </xf>
    <xf numFmtId="0" fontId="20" fillId="3" borderId="92" xfId="0" applyFont="1" applyFill="1" applyBorder="1" applyAlignment="1">
      <alignment horizontal="center" wrapText="1"/>
    </xf>
    <xf numFmtId="0" fontId="20" fillId="0" borderId="92" xfId="0" applyFont="1" applyBorder="1" applyAlignment="1">
      <alignment horizontal="center" wrapText="1"/>
    </xf>
    <xf numFmtId="0" fontId="3" fillId="3" borderId="11" xfId="0" applyFont="1" applyFill="1" applyBorder="1" applyAlignment="1"/>
    <xf numFmtId="0" fontId="25" fillId="0" borderId="101" xfId="0" applyFont="1" applyBorder="1" applyAlignment="1"/>
    <xf numFmtId="0" fontId="15" fillId="0" borderId="101" xfId="0" applyFont="1" applyBorder="1" applyAlignment="1"/>
    <xf numFmtId="0" fontId="15" fillId="8" borderId="0" xfId="0" applyFont="1" applyFill="1" applyAlignment="1"/>
    <xf numFmtId="0" fontId="3" fillId="8" borderId="0" xfId="0" applyFont="1" applyFill="1" applyAlignment="1">
      <alignment horizontal="right"/>
    </xf>
    <xf numFmtId="0" fontId="26" fillId="9" borderId="43" xfId="0" applyFont="1" applyFill="1" applyBorder="1" applyAlignment="1">
      <alignment horizontal="center"/>
    </xf>
    <xf numFmtId="0" fontId="15" fillId="9" borderId="102" xfId="0" applyFont="1" applyFill="1" applyBorder="1" applyAlignment="1"/>
    <xf numFmtId="0" fontId="30" fillId="8" borderId="0" xfId="0" quotePrefix="1" applyFont="1" applyFill="1" applyAlignment="1">
      <alignment horizontal="right"/>
    </xf>
    <xf numFmtId="0" fontId="28" fillId="9" borderId="102" xfId="0" applyFont="1" applyFill="1" applyBorder="1" applyAlignment="1">
      <alignment horizontal="center"/>
    </xf>
    <xf numFmtId="0" fontId="2" fillId="0" borderId="40" xfId="0" applyFont="1" applyBorder="1"/>
    <xf numFmtId="0" fontId="27" fillId="9" borderId="43" xfId="0" applyFont="1" applyFill="1" applyBorder="1" applyAlignment="1">
      <alignment horizontal="center"/>
    </xf>
    <xf numFmtId="0" fontId="15" fillId="8" borderId="43" xfId="0" applyFont="1" applyFill="1" applyBorder="1" applyAlignment="1">
      <alignment horizontal="center"/>
    </xf>
    <xf numFmtId="0" fontId="2" fillId="0" borderId="102" xfId="0" applyFont="1" applyBorder="1"/>
    <xf numFmtId="3" fontId="15" fillId="8" borderId="43" xfId="0" applyNumberFormat="1" applyFont="1" applyFill="1" applyBorder="1" applyAlignment="1">
      <alignment horizontal="center"/>
    </xf>
    <xf numFmtId="0" fontId="27" fillId="9" borderId="102" xfId="0" applyFont="1" applyFill="1" applyBorder="1" applyAlignment="1">
      <alignment horizontal="center"/>
    </xf>
    <xf numFmtId="3" fontId="15" fillId="3" borderId="43" xfId="0" applyNumberFormat="1" applyFont="1" applyFill="1" applyBorder="1" applyAlignment="1">
      <alignment horizontal="center"/>
    </xf>
    <xf numFmtId="3" fontId="15" fillId="8" borderId="10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3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8" fillId="4" borderId="18" xfId="0" applyFont="1" applyFill="1" applyBorder="1" applyAlignment="1">
      <alignment horizontal="left" vertical="center"/>
    </xf>
    <xf numFmtId="0" fontId="2" fillId="0" borderId="24" xfId="0" applyFont="1" applyBorder="1"/>
    <xf numFmtId="0" fontId="8" fillId="4" borderId="19" xfId="0" applyFont="1" applyFill="1" applyBorder="1" applyAlignment="1">
      <alignment horizontal="center" vertical="center" wrapText="1"/>
    </xf>
    <xf numFmtId="0" fontId="2" fillId="0" borderId="25" xfId="0" applyFont="1" applyBorder="1"/>
    <xf numFmtId="165" fontId="8" fillId="4" borderId="34" xfId="0" applyNumberFormat="1" applyFont="1" applyFill="1" applyBorder="1" applyAlignment="1">
      <alignment horizontal="left" vertical="center"/>
    </xf>
    <xf numFmtId="0" fontId="2" fillId="0" borderId="41" xfId="0" applyFont="1" applyBorder="1"/>
    <xf numFmtId="0" fontId="2" fillId="0" borderId="53" xfId="0" applyFont="1" applyBorder="1"/>
    <xf numFmtId="165" fontId="12" fillId="4" borderId="34" xfId="0" applyNumberFormat="1" applyFont="1" applyFill="1" applyBorder="1" applyAlignment="1">
      <alignment horizontal="left" vertical="center"/>
    </xf>
    <xf numFmtId="0" fontId="2" fillId="0" borderId="63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165" fontId="8" fillId="4" borderId="71" xfId="0" applyNumberFormat="1" applyFont="1" applyFill="1" applyBorder="1" applyAlignment="1">
      <alignment horizontal="left" vertical="center"/>
    </xf>
    <xf numFmtId="0" fontId="6" fillId="2" borderId="81" xfId="0" applyFont="1" applyFill="1" applyBorder="1" applyAlignment="1">
      <alignment horizontal="center"/>
    </xf>
    <xf numFmtId="0" fontId="2" fillId="0" borderId="82" xfId="0" applyFont="1" applyBorder="1"/>
    <xf numFmtId="0" fontId="2" fillId="0" borderId="83" xfId="0" applyFont="1" applyBorder="1"/>
    <xf numFmtId="0" fontId="17" fillId="4" borderId="43" xfId="0" applyFont="1" applyFill="1" applyBorder="1" applyAlignment="1">
      <alignment horizontal="center"/>
    </xf>
    <xf numFmtId="0" fontId="13" fillId="4" borderId="43" xfId="0" applyFont="1" applyFill="1" applyBorder="1" applyAlignment="1">
      <alignment horizontal="center"/>
    </xf>
    <xf numFmtId="0" fontId="7" fillId="4" borderId="43" xfId="0" applyFont="1" applyFill="1" applyBorder="1" applyAlignment="1">
      <alignment horizontal="center"/>
    </xf>
    <xf numFmtId="0" fontId="7" fillId="4" borderId="87" xfId="0" applyFont="1" applyFill="1" applyBorder="1" applyAlignment="1">
      <alignment horizontal="center"/>
    </xf>
    <xf numFmtId="0" fontId="2" fillId="0" borderId="88" xfId="0" applyFont="1" applyBorder="1"/>
    <xf numFmtId="0" fontId="20" fillId="8" borderId="93" xfId="0" applyFont="1" applyFill="1" applyBorder="1" applyAlignment="1">
      <alignment horizontal="center" vertical="center" wrapText="1"/>
    </xf>
    <xf numFmtId="0" fontId="2" fillId="0" borderId="94" xfId="0" applyFont="1" applyBorder="1"/>
    <xf numFmtId="0" fontId="2" fillId="0" borderId="95" xfId="0" applyFont="1" applyBorder="1"/>
    <xf numFmtId="0" fontId="23" fillId="8" borderId="14" xfId="0" applyFont="1" applyFill="1" applyBorder="1" applyAlignment="1">
      <alignment horizontal="center" wrapText="1"/>
    </xf>
    <xf numFmtId="0" fontId="22" fillId="0" borderId="96" xfId="0" applyFont="1" applyBorder="1" applyAlignment="1">
      <alignment wrapText="1"/>
    </xf>
    <xf numFmtId="0" fontId="2" fillId="0" borderId="97" xfId="0" applyFont="1" applyBorder="1"/>
    <xf numFmtId="0" fontId="2" fillId="0" borderId="98" xfId="0" applyFont="1" applyBorder="1"/>
    <xf numFmtId="0" fontId="15" fillId="0" borderId="99" xfId="0" applyFont="1" applyBorder="1" applyAlignment="1"/>
    <xf numFmtId="0" fontId="2" fillId="0" borderId="100" xfId="0" applyFont="1" applyBorder="1"/>
    <xf numFmtId="0" fontId="24" fillId="3" borderId="93" xfId="0" applyFont="1" applyFill="1" applyBorder="1" applyAlignment="1">
      <alignment horizontal="center" vertical="center" wrapText="1"/>
    </xf>
    <xf numFmtId="0" fontId="15" fillId="8" borderId="0" xfId="0" applyFont="1" applyFill="1" applyAlignment="1"/>
    <xf numFmtId="0" fontId="26" fillId="9" borderId="102" xfId="0" applyFont="1" applyFill="1" applyBorder="1" applyAlignment="1">
      <alignment horizontal="center"/>
    </xf>
    <xf numFmtId="0" fontId="26" fillId="9" borderId="43" xfId="0" applyFont="1" applyFill="1" applyBorder="1" applyAlignment="1">
      <alignment horizontal="center"/>
    </xf>
    <xf numFmtId="0" fontId="28" fillId="9" borderId="43" xfId="0" applyFont="1" applyFill="1" applyBorder="1" applyAlignment="1">
      <alignment horizontal="center"/>
    </xf>
    <xf numFmtId="0" fontId="29" fillId="8" borderId="43" xfId="0" applyFont="1" applyFill="1" applyBorder="1" applyAlignment="1">
      <alignment horizontal="center"/>
    </xf>
    <xf numFmtId="3" fontId="29" fillId="8" borderId="4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5" xfId="0" applyFont="1" applyBorder="1"/>
    <xf numFmtId="0" fontId="6" fillId="3" borderId="14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9" xfId="0" applyFont="1" applyBorder="1"/>
    <xf numFmtId="165" fontId="12" fillId="4" borderId="59" xfId="0" applyNumberFormat="1" applyFont="1" applyFill="1" applyBorder="1" applyAlignment="1">
      <alignment horizontal="left" vertical="center"/>
    </xf>
    <xf numFmtId="0" fontId="2" fillId="0" borderId="69" xfId="0" applyFont="1" applyBorder="1"/>
    <xf numFmtId="165" fontId="8" fillId="4" borderId="59" xfId="0" applyNumberFormat="1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59"/>
  <sheetViews>
    <sheetView tabSelected="1" workbookViewId="0">
      <selection activeCell="C9" sqref="C9"/>
    </sheetView>
  </sheetViews>
  <sheetFormatPr defaultColWidth="14.42578125" defaultRowHeight="15" customHeight="1" outlineLevelRow="1" x14ac:dyDescent="0.25"/>
  <cols>
    <col min="1" max="1" width="26.42578125" customWidth="1"/>
    <col min="2" max="2" width="41.42578125" customWidth="1"/>
    <col min="3" max="3" width="24" customWidth="1"/>
    <col min="4" max="6" width="15.42578125" customWidth="1"/>
    <col min="7" max="7" width="22.5703125" customWidth="1"/>
    <col min="8" max="9" width="18.42578125" customWidth="1"/>
    <col min="10" max="10" width="19.42578125" customWidth="1"/>
    <col min="11" max="11" width="3.42578125" customWidth="1"/>
    <col min="12" max="14" width="8.85546875" hidden="1" customWidth="1"/>
    <col min="15" max="15" width="2.42578125" hidden="1" customWidth="1"/>
    <col min="16" max="16" width="5.5703125" hidden="1" customWidth="1"/>
    <col min="17" max="17" width="8.85546875" hidden="1" customWidth="1"/>
    <col min="18" max="18" width="8.85546875" customWidth="1"/>
    <col min="19" max="19" width="3" customWidth="1"/>
    <col min="20" max="26" width="8.85546875" customWidth="1"/>
  </cols>
  <sheetData>
    <row r="1" spans="1:26" ht="23.2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5">
      <c r="A2" s="221"/>
      <c r="B2" s="222"/>
      <c r="C2" s="222"/>
      <c r="D2" s="222"/>
      <c r="E2" s="222"/>
      <c r="F2" s="222"/>
      <c r="G2" s="222"/>
      <c r="H2" s="222"/>
      <c r="I2" s="222"/>
      <c r="J2" s="2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25">
      <c r="A3" s="2"/>
      <c r="B3" s="3"/>
      <c r="C3" s="3"/>
      <c r="D3" s="3"/>
      <c r="E3" s="3"/>
      <c r="F3" s="3"/>
      <c r="G3" s="3"/>
      <c r="H3" s="3"/>
      <c r="I3" s="4" t="s">
        <v>2</v>
      </c>
      <c r="J3" s="5">
        <v>46258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 x14ac:dyDescent="0.4">
      <c r="A4" s="7" t="s">
        <v>3</v>
      </c>
      <c r="B4" s="8" t="s">
        <v>4</v>
      </c>
      <c r="C4" s="10"/>
      <c r="D4" s="224" t="s">
        <v>7</v>
      </c>
      <c r="E4" s="225"/>
      <c r="F4" s="226"/>
      <c r="G4" s="224" t="s">
        <v>7</v>
      </c>
      <c r="H4" s="226"/>
      <c r="I4" s="224" t="s">
        <v>7</v>
      </c>
      <c r="J4" s="22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11"/>
      <c r="B5" s="227" t="s">
        <v>8</v>
      </c>
      <c r="C5" s="229" t="s">
        <v>9</v>
      </c>
      <c r="D5" s="12" t="s">
        <v>11</v>
      </c>
      <c r="E5" s="13" t="s">
        <v>12</v>
      </c>
      <c r="F5" s="14" t="s">
        <v>13</v>
      </c>
      <c r="G5" s="15" t="s">
        <v>14</v>
      </c>
      <c r="H5" s="16" t="s">
        <v>15</v>
      </c>
      <c r="I5" s="18" t="s">
        <v>16</v>
      </c>
      <c r="J5" s="19" t="s">
        <v>17</v>
      </c>
      <c r="K5" s="20"/>
      <c r="L5" s="20" t="s">
        <v>18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4.75" customHeight="1" x14ac:dyDescent="0.25">
      <c r="A6" s="21"/>
      <c r="B6" s="228"/>
      <c r="C6" s="230"/>
      <c r="D6" s="23" t="s">
        <v>20</v>
      </c>
      <c r="E6" s="24" t="s">
        <v>20</v>
      </c>
      <c r="F6" s="25" t="s">
        <v>20</v>
      </c>
      <c r="G6" s="23" t="s">
        <v>20</v>
      </c>
      <c r="H6" s="25" t="s">
        <v>20</v>
      </c>
      <c r="I6" s="27" t="s">
        <v>20</v>
      </c>
      <c r="J6" s="25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231" t="s">
        <v>21</v>
      </c>
      <c r="B7" s="30" t="s">
        <v>22</v>
      </c>
      <c r="C7" s="31" t="s">
        <v>23</v>
      </c>
      <c r="D7" s="32">
        <v>2425</v>
      </c>
      <c r="E7" s="34">
        <v>4850</v>
      </c>
      <c r="F7" s="38">
        <f t="shared" ref="F7:F9" si="0">E7</f>
        <v>4850</v>
      </c>
      <c r="G7" s="40">
        <f t="shared" ref="G7:G10" si="1">D7+100</f>
        <v>2525</v>
      </c>
      <c r="H7" s="42">
        <f t="shared" ref="H7:H10" si="2">F7+200</f>
        <v>5050</v>
      </c>
      <c r="I7" s="32">
        <v>1775</v>
      </c>
      <c r="J7" s="45">
        <v>3550</v>
      </c>
      <c r="K7" s="1"/>
      <c r="L7" s="1"/>
      <c r="M7" s="1"/>
      <c r="N7" s="1"/>
      <c r="O7" s="1"/>
      <c r="P7" s="1"/>
      <c r="Q7" s="48"/>
      <c r="R7" s="48"/>
      <c r="S7" s="48"/>
      <c r="T7" s="48"/>
      <c r="U7" s="1"/>
      <c r="V7" s="1"/>
      <c r="W7" s="1"/>
      <c r="X7" s="1"/>
      <c r="Y7" s="1"/>
      <c r="Z7" s="1"/>
    </row>
    <row r="8" spans="1:26" ht="14.25" customHeight="1" x14ac:dyDescent="0.25">
      <c r="A8" s="232"/>
      <c r="B8" s="53" t="s">
        <v>26</v>
      </c>
      <c r="C8" s="55" t="s">
        <v>27</v>
      </c>
      <c r="D8" s="40">
        <f>D7</f>
        <v>2425</v>
      </c>
      <c r="E8" s="58">
        <f t="shared" ref="E8:E9" si="3">D8*2</f>
        <v>4850</v>
      </c>
      <c r="F8" s="42">
        <f t="shared" si="0"/>
        <v>4850</v>
      </c>
      <c r="G8" s="40">
        <f t="shared" si="1"/>
        <v>2525</v>
      </c>
      <c r="H8" s="42">
        <f t="shared" si="2"/>
        <v>5050</v>
      </c>
      <c r="I8" s="40">
        <f t="shared" ref="I8:J8" si="4">I7</f>
        <v>1775</v>
      </c>
      <c r="J8" s="60">
        <f t="shared" si="4"/>
        <v>3550</v>
      </c>
      <c r="K8" s="1"/>
      <c r="L8" s="1"/>
      <c r="M8" s="1"/>
      <c r="N8" s="1"/>
      <c r="O8" s="1"/>
      <c r="P8" s="1"/>
      <c r="Q8" s="48"/>
      <c r="R8" s="48"/>
      <c r="S8" s="48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232"/>
      <c r="B9" s="53" t="s">
        <v>28</v>
      </c>
      <c r="C9" s="56" t="s">
        <v>29</v>
      </c>
      <c r="D9" s="40">
        <f>D7</f>
        <v>2425</v>
      </c>
      <c r="E9" s="58">
        <f t="shared" si="3"/>
        <v>4850</v>
      </c>
      <c r="F9" s="42">
        <f t="shared" si="0"/>
        <v>4850</v>
      </c>
      <c r="G9" s="40">
        <f t="shared" si="1"/>
        <v>2525</v>
      </c>
      <c r="H9" s="42">
        <f t="shared" si="2"/>
        <v>5050</v>
      </c>
      <c r="I9" s="40">
        <f t="shared" ref="I9:J9" si="5">I7</f>
        <v>1775</v>
      </c>
      <c r="J9" s="60">
        <f t="shared" si="5"/>
        <v>3550</v>
      </c>
      <c r="K9" s="1"/>
      <c r="L9" s="1"/>
      <c r="M9" s="1"/>
      <c r="N9" s="1"/>
      <c r="O9" s="1"/>
      <c r="P9" s="1"/>
      <c r="Q9" s="48"/>
      <c r="R9" s="48"/>
      <c r="S9" s="48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232"/>
      <c r="B10" s="53" t="s">
        <v>30</v>
      </c>
      <c r="C10" s="66" t="s">
        <v>23</v>
      </c>
      <c r="D10" s="67">
        <f t="shared" ref="D10:F10" si="6">D7+L10</f>
        <v>2625</v>
      </c>
      <c r="E10" s="68">
        <f t="shared" si="6"/>
        <v>5150</v>
      </c>
      <c r="F10" s="69">
        <f t="shared" si="6"/>
        <v>5150</v>
      </c>
      <c r="G10" s="40">
        <f t="shared" si="1"/>
        <v>2725</v>
      </c>
      <c r="H10" s="42">
        <f t="shared" si="2"/>
        <v>5350</v>
      </c>
      <c r="I10" s="60">
        <f>I7+L10</f>
        <v>1975</v>
      </c>
      <c r="J10" s="60">
        <f>J7+N10</f>
        <v>3850</v>
      </c>
      <c r="K10" s="1"/>
      <c r="L10" s="72">
        <v>200</v>
      </c>
      <c r="M10" s="72">
        <v>300</v>
      </c>
      <c r="N10" s="72">
        <v>300</v>
      </c>
      <c r="O10" s="50"/>
      <c r="P10" s="74" t="s">
        <v>31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232"/>
      <c r="B11" s="53" t="s">
        <v>32</v>
      </c>
      <c r="C11" s="66" t="s">
        <v>23</v>
      </c>
      <c r="D11" s="67">
        <f t="shared" ref="D11:F11" si="7">D7+L11</f>
        <v>2625</v>
      </c>
      <c r="E11" s="68">
        <f t="shared" si="7"/>
        <v>5150</v>
      </c>
      <c r="F11" s="69">
        <f t="shared" si="7"/>
        <v>5150</v>
      </c>
      <c r="G11" s="76"/>
      <c r="H11" s="78"/>
      <c r="I11" s="79"/>
      <c r="J11" s="79"/>
      <c r="K11" s="1"/>
      <c r="L11" s="72">
        <v>200</v>
      </c>
      <c r="M11" s="72">
        <v>300</v>
      </c>
      <c r="N11" s="72">
        <v>300</v>
      </c>
      <c r="O11" s="80"/>
      <c r="P11" s="74" t="s">
        <v>31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outlineLevel="1" x14ac:dyDescent="0.25">
      <c r="A12" s="232"/>
      <c r="B12" s="81" t="s">
        <v>33</v>
      </c>
      <c r="C12" s="82" t="s">
        <v>27</v>
      </c>
      <c r="D12" s="67">
        <f t="shared" ref="D12:D15" si="8">$D$8+L12</f>
        <v>2825</v>
      </c>
      <c r="E12" s="68">
        <f t="shared" ref="E12:E15" si="9">$E$8+M12</f>
        <v>5550</v>
      </c>
      <c r="F12" s="69">
        <f t="shared" ref="F12:F21" si="10">E12</f>
        <v>5550</v>
      </c>
      <c r="G12" s="76"/>
      <c r="H12" s="78"/>
      <c r="I12" s="79"/>
      <c r="J12" s="79"/>
      <c r="K12" s="1"/>
      <c r="L12" s="80">
        <v>400</v>
      </c>
      <c r="M12" s="80">
        <v>700</v>
      </c>
      <c r="N12" s="80">
        <v>700</v>
      </c>
      <c r="O12" s="80"/>
      <c r="P12" s="74" t="s">
        <v>34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outlineLevel="1" x14ac:dyDescent="0.25">
      <c r="A13" s="232"/>
      <c r="B13" s="81" t="s">
        <v>35</v>
      </c>
      <c r="C13" s="82" t="s">
        <v>27</v>
      </c>
      <c r="D13" s="67">
        <f t="shared" si="8"/>
        <v>2625</v>
      </c>
      <c r="E13" s="68">
        <f t="shared" si="9"/>
        <v>5150</v>
      </c>
      <c r="F13" s="69">
        <f t="shared" si="10"/>
        <v>5150</v>
      </c>
      <c r="G13" s="76"/>
      <c r="H13" s="78"/>
      <c r="I13" s="79"/>
      <c r="J13" s="79"/>
      <c r="K13" s="1"/>
      <c r="L13" s="72">
        <v>200</v>
      </c>
      <c r="M13" s="72">
        <v>300</v>
      </c>
      <c r="N13" s="72">
        <v>300</v>
      </c>
      <c r="O13" s="80"/>
      <c r="P13" s="74" t="s">
        <v>34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outlineLevel="1" x14ac:dyDescent="0.25">
      <c r="A14" s="232"/>
      <c r="B14" s="81" t="s">
        <v>36</v>
      </c>
      <c r="C14" s="82" t="s">
        <v>27</v>
      </c>
      <c r="D14" s="67">
        <f t="shared" si="8"/>
        <v>2675</v>
      </c>
      <c r="E14" s="68">
        <f t="shared" si="9"/>
        <v>5250</v>
      </c>
      <c r="F14" s="69">
        <f t="shared" si="10"/>
        <v>5250</v>
      </c>
      <c r="G14" s="76"/>
      <c r="H14" s="78"/>
      <c r="I14" s="79"/>
      <c r="J14" s="79"/>
      <c r="K14" s="1"/>
      <c r="L14" s="80">
        <v>250</v>
      </c>
      <c r="M14" s="80">
        <v>400</v>
      </c>
      <c r="N14" s="80">
        <v>400</v>
      </c>
      <c r="O14" s="80"/>
      <c r="P14" s="74" t="s">
        <v>34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outlineLevel="1" x14ac:dyDescent="0.25">
      <c r="A15" s="232"/>
      <c r="B15" s="81" t="s">
        <v>37</v>
      </c>
      <c r="C15" s="82" t="s">
        <v>27</v>
      </c>
      <c r="D15" s="67">
        <f t="shared" si="8"/>
        <v>3625</v>
      </c>
      <c r="E15" s="68">
        <f t="shared" si="9"/>
        <v>6750</v>
      </c>
      <c r="F15" s="69">
        <f t="shared" si="10"/>
        <v>6750</v>
      </c>
      <c r="G15" s="76"/>
      <c r="H15" s="78"/>
      <c r="I15" s="79"/>
      <c r="J15" s="79"/>
      <c r="K15" s="1"/>
      <c r="L15" s="80">
        <v>1200</v>
      </c>
      <c r="M15" s="80">
        <v>1900</v>
      </c>
      <c r="N15" s="80">
        <v>1900</v>
      </c>
      <c r="O15" s="80"/>
      <c r="P15" s="74" t="s">
        <v>34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outlineLevel="1" x14ac:dyDescent="0.25">
      <c r="A16" s="232"/>
      <c r="B16" s="88" t="s">
        <v>38</v>
      </c>
      <c r="C16" s="66" t="s">
        <v>23</v>
      </c>
      <c r="D16" s="89"/>
      <c r="E16" s="90">
        <f>E44+M16</f>
        <v>5900</v>
      </c>
      <c r="F16" s="91">
        <f t="shared" si="10"/>
        <v>5900</v>
      </c>
      <c r="G16" s="76"/>
      <c r="H16" s="78"/>
      <c r="I16" s="79"/>
      <c r="J16" s="79"/>
      <c r="K16" s="1"/>
      <c r="L16" s="80"/>
      <c r="M16" s="87">
        <v>1050</v>
      </c>
      <c r="N16" s="87">
        <v>1050</v>
      </c>
      <c r="O16" s="80"/>
      <c r="P16" s="74" t="s">
        <v>39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outlineLevel="1" x14ac:dyDescent="0.25">
      <c r="A17" s="232"/>
      <c r="B17" s="81" t="s">
        <v>40</v>
      </c>
      <c r="C17" s="82" t="s">
        <v>27</v>
      </c>
      <c r="D17" s="67">
        <f>$D$8+L17</f>
        <v>2775</v>
      </c>
      <c r="E17" s="68">
        <f>$E$8+M17</f>
        <v>5750</v>
      </c>
      <c r="F17" s="69">
        <f t="shared" si="10"/>
        <v>5750</v>
      </c>
      <c r="G17" s="76"/>
      <c r="H17" s="78"/>
      <c r="I17" s="79"/>
      <c r="J17" s="79"/>
      <c r="K17" s="1"/>
      <c r="L17" s="80">
        <v>350</v>
      </c>
      <c r="M17" s="80">
        <v>900</v>
      </c>
      <c r="N17" s="80">
        <v>900</v>
      </c>
      <c r="O17" s="80"/>
      <c r="P17" s="74" t="s">
        <v>34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outlineLevel="1" x14ac:dyDescent="0.25">
      <c r="A18" s="232"/>
      <c r="B18" s="88" t="s">
        <v>41</v>
      </c>
      <c r="C18" s="66" t="s">
        <v>23</v>
      </c>
      <c r="D18" s="67">
        <f>D44+1000</f>
        <v>3425</v>
      </c>
      <c r="E18" s="68">
        <f>E44+950</f>
        <v>5800</v>
      </c>
      <c r="F18" s="69">
        <f t="shared" si="10"/>
        <v>5800</v>
      </c>
      <c r="G18" s="76"/>
      <c r="H18" s="78"/>
      <c r="I18" s="79"/>
      <c r="J18" s="79"/>
      <c r="K18" s="1"/>
      <c r="L18" s="80"/>
      <c r="M18" s="80"/>
      <c r="N18" s="80"/>
      <c r="O18" s="80"/>
      <c r="P18" s="7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outlineLevel="1" x14ac:dyDescent="0.25">
      <c r="A19" s="232"/>
      <c r="B19" s="88" t="s">
        <v>42</v>
      </c>
      <c r="C19" s="66" t="s">
        <v>23</v>
      </c>
      <c r="D19" s="67">
        <f>D44+900</f>
        <v>3325</v>
      </c>
      <c r="E19" s="68">
        <f>E44+1000</f>
        <v>5850</v>
      </c>
      <c r="F19" s="69">
        <f t="shared" si="10"/>
        <v>5850</v>
      </c>
      <c r="G19" s="76"/>
      <c r="H19" s="78"/>
      <c r="I19" s="79"/>
      <c r="J19" s="79"/>
      <c r="K19" s="1"/>
      <c r="L19" s="80"/>
      <c r="M19" s="80"/>
      <c r="N19" s="80"/>
      <c r="O19" s="80"/>
      <c r="P19" s="7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outlineLevel="1" x14ac:dyDescent="0.25">
      <c r="A20" s="232"/>
      <c r="B20" s="81" t="s">
        <v>43</v>
      </c>
      <c r="C20" s="82" t="s">
        <v>27</v>
      </c>
      <c r="D20" s="67">
        <f t="shared" ref="D20:D21" si="11">$D$8+L20</f>
        <v>2625</v>
      </c>
      <c r="E20" s="68">
        <f t="shared" ref="E20:E21" si="12">$E$8+M20</f>
        <v>5150</v>
      </c>
      <c r="F20" s="69">
        <f t="shared" si="10"/>
        <v>5150</v>
      </c>
      <c r="G20" s="76"/>
      <c r="H20" s="78"/>
      <c r="I20" s="79"/>
      <c r="J20" s="79"/>
      <c r="K20" s="1"/>
      <c r="L20" s="72">
        <v>200</v>
      </c>
      <c r="M20" s="72">
        <v>300</v>
      </c>
      <c r="N20" s="72">
        <v>300</v>
      </c>
      <c r="O20" s="80"/>
      <c r="P20" s="74" t="s">
        <v>34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outlineLevel="1" x14ac:dyDescent="0.25">
      <c r="A21" s="232"/>
      <c r="B21" s="81" t="s">
        <v>44</v>
      </c>
      <c r="C21" s="82" t="s">
        <v>27</v>
      </c>
      <c r="D21" s="67">
        <f t="shared" si="11"/>
        <v>2775</v>
      </c>
      <c r="E21" s="68">
        <f t="shared" si="12"/>
        <v>5400</v>
      </c>
      <c r="F21" s="69">
        <f t="shared" si="10"/>
        <v>5400</v>
      </c>
      <c r="G21" s="76"/>
      <c r="H21" s="78"/>
      <c r="I21" s="79"/>
      <c r="J21" s="79"/>
      <c r="K21" s="1"/>
      <c r="L21" s="92">
        <v>350</v>
      </c>
      <c r="M21" s="80">
        <v>550</v>
      </c>
      <c r="N21" s="80">
        <v>550</v>
      </c>
      <c r="O21" s="80"/>
      <c r="P21" s="74" t="s">
        <v>34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outlineLevel="1" x14ac:dyDescent="0.25">
      <c r="A22" s="232"/>
      <c r="B22" s="88" t="s">
        <v>45</v>
      </c>
      <c r="C22" s="82" t="s">
        <v>27</v>
      </c>
      <c r="D22" s="67">
        <f>D7+100</f>
        <v>2525</v>
      </c>
      <c r="E22" s="68">
        <f t="shared" ref="E22:F22" si="13">E7+150</f>
        <v>5000</v>
      </c>
      <c r="F22" s="69">
        <f t="shared" si="13"/>
        <v>5000</v>
      </c>
      <c r="G22" s="76"/>
      <c r="H22" s="78"/>
      <c r="I22" s="79"/>
      <c r="J22" s="79"/>
      <c r="K22" s="1"/>
      <c r="L22" s="80">
        <v>200</v>
      </c>
      <c r="M22" s="80">
        <v>350</v>
      </c>
      <c r="N22" s="80">
        <v>350</v>
      </c>
      <c r="O22" s="80"/>
      <c r="P22" s="74" t="s">
        <v>31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outlineLevel="1" x14ac:dyDescent="0.25">
      <c r="A23" s="232"/>
      <c r="B23" s="81" t="s">
        <v>46</v>
      </c>
      <c r="C23" s="82" t="s">
        <v>27</v>
      </c>
      <c r="D23" s="67">
        <f>$D$8+L23</f>
        <v>2810</v>
      </c>
      <c r="E23" s="68">
        <f>$E$8+M23</f>
        <v>5500</v>
      </c>
      <c r="F23" s="69">
        <f>E23</f>
        <v>5500</v>
      </c>
      <c r="G23" s="76"/>
      <c r="H23" s="78"/>
      <c r="I23" s="79"/>
      <c r="J23" s="79"/>
      <c r="K23" s="1"/>
      <c r="L23" s="80">
        <v>385</v>
      </c>
      <c r="M23" s="80">
        <v>650</v>
      </c>
      <c r="N23" s="80">
        <v>650</v>
      </c>
      <c r="O23" s="80"/>
      <c r="P23" s="74" t="s">
        <v>34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outlineLevel="1" x14ac:dyDescent="0.25">
      <c r="A24" s="232"/>
      <c r="B24" s="88" t="s">
        <v>47</v>
      </c>
      <c r="C24" s="66" t="s">
        <v>23</v>
      </c>
      <c r="D24" s="68">
        <f>D44+645</f>
        <v>3070</v>
      </c>
      <c r="E24" s="68">
        <f t="shared" ref="E24:F24" si="14">E44+825</f>
        <v>5675</v>
      </c>
      <c r="F24" s="68">
        <f t="shared" si="14"/>
        <v>5675</v>
      </c>
      <c r="G24" s="76"/>
      <c r="H24" s="78"/>
      <c r="I24" s="79"/>
      <c r="J24" s="79"/>
      <c r="K24" s="1"/>
      <c r="L24" s="80"/>
      <c r="M24" s="80"/>
      <c r="N24" s="80"/>
      <c r="O24" s="80"/>
      <c r="P24" s="7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outlineLevel="1" x14ac:dyDescent="0.25">
      <c r="A25" s="232"/>
      <c r="B25" s="88" t="s">
        <v>48</v>
      </c>
      <c r="C25" s="82" t="s">
        <v>27</v>
      </c>
      <c r="D25" s="67">
        <f t="shared" ref="D25:F25" si="15">D7+L25</f>
        <v>2675</v>
      </c>
      <c r="E25" s="68">
        <f t="shared" si="15"/>
        <v>5250</v>
      </c>
      <c r="F25" s="69">
        <f t="shared" si="15"/>
        <v>5250</v>
      </c>
      <c r="G25" s="76"/>
      <c r="H25" s="78"/>
      <c r="I25" s="79"/>
      <c r="J25" s="79"/>
      <c r="K25" s="1"/>
      <c r="L25" s="80">
        <v>250</v>
      </c>
      <c r="M25" s="80">
        <v>400</v>
      </c>
      <c r="N25" s="80">
        <v>400</v>
      </c>
      <c r="O25" s="80"/>
      <c r="P25" s="74" t="s">
        <v>34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outlineLevel="1" x14ac:dyDescent="0.25">
      <c r="A26" s="232"/>
      <c r="B26" s="81" t="s">
        <v>49</v>
      </c>
      <c r="C26" s="82" t="s">
        <v>27</v>
      </c>
      <c r="D26" s="67">
        <f>$D$8+L26</f>
        <v>2675</v>
      </c>
      <c r="E26" s="68">
        <f>$E$8+M26</f>
        <v>5250</v>
      </c>
      <c r="F26" s="69">
        <f t="shared" ref="F26:F44" si="16">E26</f>
        <v>5250</v>
      </c>
      <c r="G26" s="76"/>
      <c r="H26" s="78"/>
      <c r="I26" s="79"/>
      <c r="J26" s="79"/>
      <c r="K26" s="1"/>
      <c r="L26" s="80">
        <v>250</v>
      </c>
      <c r="M26" s="80">
        <v>400</v>
      </c>
      <c r="N26" s="80">
        <v>400</v>
      </c>
      <c r="O26" s="80"/>
      <c r="P26" s="74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outlineLevel="1" x14ac:dyDescent="0.25">
      <c r="A27" s="232"/>
      <c r="B27" s="81" t="s">
        <v>50</v>
      </c>
      <c r="C27" s="66" t="s">
        <v>23</v>
      </c>
      <c r="D27" s="85">
        <f>$D$7+L27</f>
        <v>2625</v>
      </c>
      <c r="E27" s="86">
        <f>$E$7+M27</f>
        <v>5150</v>
      </c>
      <c r="F27" s="69">
        <f t="shared" si="16"/>
        <v>5150</v>
      </c>
      <c r="G27" s="76"/>
      <c r="H27" s="78"/>
      <c r="I27" s="79"/>
      <c r="J27" s="79"/>
      <c r="K27" s="1"/>
      <c r="L27" s="72">
        <v>200</v>
      </c>
      <c r="M27" s="72">
        <v>300</v>
      </c>
      <c r="N27" s="72">
        <v>300</v>
      </c>
      <c r="O27" s="80"/>
      <c r="P27" s="74" t="s">
        <v>31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outlineLevel="1" x14ac:dyDescent="0.25">
      <c r="A28" s="232"/>
      <c r="B28" s="81" t="s">
        <v>51</v>
      </c>
      <c r="C28" s="82" t="s">
        <v>27</v>
      </c>
      <c r="D28" s="85">
        <f t="shared" ref="D28:D29" si="17">$D$8+L28</f>
        <v>2625</v>
      </c>
      <c r="E28" s="86">
        <f t="shared" ref="E28:E29" si="18">$E$8+M28</f>
        <v>5150</v>
      </c>
      <c r="F28" s="69">
        <f t="shared" si="16"/>
        <v>5150</v>
      </c>
      <c r="G28" s="76"/>
      <c r="H28" s="78"/>
      <c r="I28" s="79"/>
      <c r="J28" s="79"/>
      <c r="K28" s="1"/>
      <c r="L28" s="72">
        <v>200</v>
      </c>
      <c r="M28" s="72">
        <v>300</v>
      </c>
      <c r="N28" s="72">
        <v>300</v>
      </c>
      <c r="O28" s="80"/>
      <c r="P28" s="74" t="s">
        <v>34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outlineLevel="1" x14ac:dyDescent="0.25">
      <c r="A29" s="232"/>
      <c r="B29" s="81" t="s">
        <v>52</v>
      </c>
      <c r="C29" s="82" t="s">
        <v>27</v>
      </c>
      <c r="D29" s="85">
        <f t="shared" si="17"/>
        <v>2675</v>
      </c>
      <c r="E29" s="86">
        <f t="shared" si="18"/>
        <v>5250</v>
      </c>
      <c r="F29" s="69">
        <f t="shared" si="16"/>
        <v>5250</v>
      </c>
      <c r="G29" s="76"/>
      <c r="H29" s="78"/>
      <c r="I29" s="79"/>
      <c r="J29" s="79"/>
      <c r="K29" s="1"/>
      <c r="L29" s="80">
        <v>250</v>
      </c>
      <c r="M29" s="80">
        <v>400</v>
      </c>
      <c r="N29" s="80">
        <v>400</v>
      </c>
      <c r="O29" s="80"/>
      <c r="P29" s="74" t="s">
        <v>34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outlineLevel="1" x14ac:dyDescent="0.25">
      <c r="A30" s="232"/>
      <c r="B30" s="81" t="s">
        <v>53</v>
      </c>
      <c r="C30" s="66" t="s">
        <v>23</v>
      </c>
      <c r="D30" s="85">
        <f>$D$9+L30</f>
        <v>2625</v>
      </c>
      <c r="E30" s="86">
        <f>$E$9+M30</f>
        <v>5150</v>
      </c>
      <c r="F30" s="69">
        <f t="shared" si="16"/>
        <v>5150</v>
      </c>
      <c r="G30" s="76"/>
      <c r="H30" s="78"/>
      <c r="I30" s="79"/>
      <c r="J30" s="79"/>
      <c r="K30" s="1"/>
      <c r="L30" s="72">
        <v>200</v>
      </c>
      <c r="M30" s="72">
        <v>300</v>
      </c>
      <c r="N30" s="72">
        <v>300</v>
      </c>
      <c r="O30" s="80"/>
      <c r="P30" s="74" t="s">
        <v>54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outlineLevel="1" x14ac:dyDescent="0.25">
      <c r="A31" s="232"/>
      <c r="B31" s="81" t="s">
        <v>55</v>
      </c>
      <c r="C31" s="82" t="s">
        <v>27</v>
      </c>
      <c r="D31" s="85">
        <f t="shared" ref="D31:D33" si="19">$D$8+L31</f>
        <v>2725</v>
      </c>
      <c r="E31" s="86">
        <f t="shared" ref="E31:E33" si="20">$E$8+M31</f>
        <v>5425</v>
      </c>
      <c r="F31" s="69">
        <f t="shared" si="16"/>
        <v>5425</v>
      </c>
      <c r="G31" s="76"/>
      <c r="H31" s="78"/>
      <c r="I31" s="79"/>
      <c r="J31" s="79"/>
      <c r="K31" s="1"/>
      <c r="L31" s="80">
        <v>300</v>
      </c>
      <c r="M31" s="80">
        <v>575</v>
      </c>
      <c r="N31" s="80">
        <v>575</v>
      </c>
      <c r="O31" s="80"/>
      <c r="P31" s="74" t="s">
        <v>34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outlineLevel="1" x14ac:dyDescent="0.25">
      <c r="A32" s="232"/>
      <c r="B32" s="81" t="s">
        <v>56</v>
      </c>
      <c r="C32" s="82" t="s">
        <v>27</v>
      </c>
      <c r="D32" s="85">
        <f t="shared" si="19"/>
        <v>2725</v>
      </c>
      <c r="E32" s="86">
        <f t="shared" si="20"/>
        <v>5225</v>
      </c>
      <c r="F32" s="69">
        <f t="shared" si="16"/>
        <v>5225</v>
      </c>
      <c r="G32" s="76"/>
      <c r="H32" s="78"/>
      <c r="I32" s="79"/>
      <c r="J32" s="79"/>
      <c r="K32" s="1"/>
      <c r="L32" s="80">
        <v>300</v>
      </c>
      <c r="M32" s="80">
        <v>375</v>
      </c>
      <c r="N32" s="80">
        <v>375</v>
      </c>
      <c r="O32" s="80"/>
      <c r="P32" s="74" t="s">
        <v>34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outlineLevel="1" x14ac:dyDescent="0.25">
      <c r="A33" s="232"/>
      <c r="B33" s="81" t="s">
        <v>57</v>
      </c>
      <c r="C33" s="82" t="s">
        <v>27</v>
      </c>
      <c r="D33" s="85">
        <f t="shared" si="19"/>
        <v>2700</v>
      </c>
      <c r="E33" s="86">
        <f t="shared" si="20"/>
        <v>5225</v>
      </c>
      <c r="F33" s="69">
        <f t="shared" si="16"/>
        <v>5225</v>
      </c>
      <c r="G33" s="76"/>
      <c r="H33" s="78"/>
      <c r="I33" s="79"/>
      <c r="J33" s="79"/>
      <c r="K33" s="1"/>
      <c r="L33" s="80">
        <v>275</v>
      </c>
      <c r="M33" s="80">
        <v>375</v>
      </c>
      <c r="N33" s="80">
        <v>375</v>
      </c>
      <c r="O33" s="80"/>
      <c r="P33" s="74" t="s">
        <v>34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outlineLevel="1" x14ac:dyDescent="0.25">
      <c r="A34" s="232"/>
      <c r="B34" s="81" t="s">
        <v>58</v>
      </c>
      <c r="C34" s="66" t="s">
        <v>23</v>
      </c>
      <c r="D34" s="85">
        <f>$D$7+L34</f>
        <v>2625</v>
      </c>
      <c r="E34" s="86">
        <f>$E$7+M34</f>
        <v>5150</v>
      </c>
      <c r="F34" s="69">
        <f t="shared" si="16"/>
        <v>5150</v>
      </c>
      <c r="G34" s="76"/>
      <c r="H34" s="78"/>
      <c r="I34" s="79"/>
      <c r="J34" s="79"/>
      <c r="K34" s="1"/>
      <c r="L34" s="72">
        <v>200</v>
      </c>
      <c r="M34" s="72">
        <v>300</v>
      </c>
      <c r="N34" s="72">
        <v>300</v>
      </c>
      <c r="O34" s="80"/>
      <c r="P34" s="74" t="s">
        <v>31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1" x14ac:dyDescent="0.25">
      <c r="A35" s="232"/>
      <c r="B35" s="81" t="s">
        <v>59</v>
      </c>
      <c r="C35" s="82" t="s">
        <v>27</v>
      </c>
      <c r="D35" s="85">
        <f t="shared" ref="D35:D37" si="21">$D$8+L35</f>
        <v>2700</v>
      </c>
      <c r="E35" s="86">
        <f t="shared" ref="E35:E37" si="22">$E$8+M35</f>
        <v>5525</v>
      </c>
      <c r="F35" s="69">
        <f t="shared" si="16"/>
        <v>5525</v>
      </c>
      <c r="G35" s="76"/>
      <c r="H35" s="78"/>
      <c r="I35" s="79"/>
      <c r="J35" s="79"/>
      <c r="K35" s="1"/>
      <c r="L35" s="80">
        <v>275</v>
      </c>
      <c r="M35" s="80">
        <v>675</v>
      </c>
      <c r="N35" s="80">
        <v>675</v>
      </c>
      <c r="O35" s="80"/>
      <c r="P35" s="74" t="s">
        <v>34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outlineLevel="1" x14ac:dyDescent="0.25">
      <c r="A36" s="232"/>
      <c r="B36" s="81" t="s">
        <v>60</v>
      </c>
      <c r="C36" s="82" t="s">
        <v>27</v>
      </c>
      <c r="D36" s="85">
        <f t="shared" si="21"/>
        <v>2700</v>
      </c>
      <c r="E36" s="86">
        <f t="shared" si="22"/>
        <v>5225</v>
      </c>
      <c r="F36" s="69">
        <f t="shared" si="16"/>
        <v>5225</v>
      </c>
      <c r="G36" s="76"/>
      <c r="H36" s="78"/>
      <c r="I36" s="79"/>
      <c r="J36" s="79"/>
      <c r="K36" s="1"/>
      <c r="L36" s="80">
        <v>275</v>
      </c>
      <c r="M36" s="80">
        <v>375</v>
      </c>
      <c r="N36" s="80">
        <v>375</v>
      </c>
      <c r="O36" s="80"/>
      <c r="P36" s="74" t="s">
        <v>34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outlineLevel="1" x14ac:dyDescent="0.25">
      <c r="A37" s="232"/>
      <c r="B37" s="81" t="s">
        <v>61</v>
      </c>
      <c r="C37" s="82" t="s">
        <v>27</v>
      </c>
      <c r="D37" s="85">
        <f t="shared" si="21"/>
        <v>2675</v>
      </c>
      <c r="E37" s="86">
        <f t="shared" si="22"/>
        <v>5200</v>
      </c>
      <c r="F37" s="69">
        <f t="shared" si="16"/>
        <v>5200</v>
      </c>
      <c r="G37" s="76"/>
      <c r="H37" s="78"/>
      <c r="I37" s="79"/>
      <c r="J37" s="79"/>
      <c r="K37" s="1"/>
      <c r="L37" s="80">
        <v>250</v>
      </c>
      <c r="M37" s="80">
        <v>350</v>
      </c>
      <c r="N37" s="80">
        <v>350</v>
      </c>
      <c r="O37" s="80"/>
      <c r="P37" s="74" t="s">
        <v>34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outlineLevel="1" x14ac:dyDescent="0.25">
      <c r="A38" s="233"/>
      <c r="B38" s="96" t="s">
        <v>62</v>
      </c>
      <c r="C38" s="97" t="s">
        <v>23</v>
      </c>
      <c r="D38" s="98">
        <f>$D$9+L38</f>
        <v>2500</v>
      </c>
      <c r="E38" s="99">
        <f>$E$9+M38</f>
        <v>4975</v>
      </c>
      <c r="F38" s="100">
        <f t="shared" si="16"/>
        <v>4975</v>
      </c>
      <c r="G38" s="101"/>
      <c r="H38" s="102"/>
      <c r="I38" s="109"/>
      <c r="J38" s="109"/>
      <c r="K38" s="1"/>
      <c r="L38" s="80">
        <v>75</v>
      </c>
      <c r="M38" s="80">
        <v>125</v>
      </c>
      <c r="N38" s="80">
        <v>125</v>
      </c>
      <c r="O38" s="80"/>
      <c r="P38" s="74" t="s">
        <v>54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234" t="s">
        <v>63</v>
      </c>
      <c r="B39" s="30" t="s">
        <v>64</v>
      </c>
      <c r="C39" s="104" t="s">
        <v>23</v>
      </c>
      <c r="D39" s="40">
        <f>D44+L39</f>
        <v>2575</v>
      </c>
      <c r="E39" s="59">
        <f>E44+200</f>
        <v>5050</v>
      </c>
      <c r="F39" s="43">
        <f t="shared" si="16"/>
        <v>5050</v>
      </c>
      <c r="G39" s="40">
        <f>D39+100</f>
        <v>2675</v>
      </c>
      <c r="H39" s="42">
        <f>F39+200</f>
        <v>5250</v>
      </c>
      <c r="I39" s="112">
        <f>I44+L39</f>
        <v>1925</v>
      </c>
      <c r="J39" s="112">
        <f>J44+N39</f>
        <v>3750</v>
      </c>
      <c r="K39" s="1"/>
      <c r="L39" s="1">
        <v>150</v>
      </c>
      <c r="M39" s="1">
        <v>200</v>
      </c>
      <c r="N39" s="1">
        <v>200</v>
      </c>
      <c r="O39" s="1"/>
      <c r="P39" s="1"/>
      <c r="Q39" s="48"/>
      <c r="R39" s="48"/>
      <c r="S39" s="48"/>
      <c r="T39" s="1"/>
      <c r="U39" s="1"/>
      <c r="V39" s="1"/>
      <c r="W39" s="1"/>
      <c r="X39" s="1"/>
      <c r="Y39" s="1"/>
      <c r="Z39" s="1"/>
    </row>
    <row r="40" spans="1:26" ht="14.25" customHeight="1" outlineLevel="1" x14ac:dyDescent="0.25">
      <c r="A40" s="232"/>
      <c r="B40" s="81" t="s">
        <v>65</v>
      </c>
      <c r="C40" s="105" t="s">
        <v>23</v>
      </c>
      <c r="D40" s="106">
        <f t="shared" ref="D40:D42" si="23">$D$39+L40</f>
        <v>2675</v>
      </c>
      <c r="E40" s="107">
        <f t="shared" ref="E40:E42" si="24">$E$39+M40</f>
        <v>5250</v>
      </c>
      <c r="F40" s="108">
        <f t="shared" si="16"/>
        <v>5250</v>
      </c>
      <c r="G40" s="110"/>
      <c r="H40" s="111"/>
      <c r="I40" s="113"/>
      <c r="J40" s="113"/>
      <c r="K40" s="1"/>
      <c r="L40" s="80">
        <v>100</v>
      </c>
      <c r="M40" s="80">
        <v>200</v>
      </c>
      <c r="N40" s="80">
        <v>200</v>
      </c>
      <c r="O40" s="80"/>
      <c r="P40" s="7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outlineLevel="1" x14ac:dyDescent="0.25">
      <c r="A41" s="232"/>
      <c r="B41" s="81" t="s">
        <v>66</v>
      </c>
      <c r="C41" s="105" t="s">
        <v>23</v>
      </c>
      <c r="D41" s="106">
        <f t="shared" si="23"/>
        <v>2825</v>
      </c>
      <c r="E41" s="107">
        <f t="shared" si="24"/>
        <v>5550</v>
      </c>
      <c r="F41" s="108">
        <f t="shared" si="16"/>
        <v>5550</v>
      </c>
      <c r="G41" s="110"/>
      <c r="H41" s="111"/>
      <c r="I41" s="113"/>
      <c r="J41" s="113"/>
      <c r="K41" s="1"/>
      <c r="L41" s="80">
        <v>250</v>
      </c>
      <c r="M41" s="80">
        <v>500</v>
      </c>
      <c r="N41" s="80">
        <v>500</v>
      </c>
      <c r="O41" s="80"/>
      <c r="P41" s="7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outlineLevel="1" x14ac:dyDescent="0.25">
      <c r="A42" s="233"/>
      <c r="B42" s="96" t="s">
        <v>67</v>
      </c>
      <c r="C42" s="97" t="s">
        <v>23</v>
      </c>
      <c r="D42" s="98">
        <f t="shared" si="23"/>
        <v>2825</v>
      </c>
      <c r="E42" s="99">
        <f t="shared" si="24"/>
        <v>5550</v>
      </c>
      <c r="F42" s="100">
        <f t="shared" si="16"/>
        <v>5550</v>
      </c>
      <c r="G42" s="101"/>
      <c r="H42" s="102"/>
      <c r="I42" s="109"/>
      <c r="J42" s="109"/>
      <c r="K42" s="1"/>
      <c r="L42" s="80">
        <v>250</v>
      </c>
      <c r="M42" s="80">
        <v>500</v>
      </c>
      <c r="N42" s="80">
        <v>500</v>
      </c>
      <c r="O42" s="80"/>
      <c r="P42" s="74"/>
      <c r="Q42" s="1"/>
      <c r="R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234" t="s">
        <v>68</v>
      </c>
      <c r="B43" s="54" t="s">
        <v>69</v>
      </c>
      <c r="C43" s="56" t="s">
        <v>70</v>
      </c>
      <c r="D43" s="40">
        <f>D7</f>
        <v>2425</v>
      </c>
      <c r="E43" s="59">
        <f>D43*2</f>
        <v>4850</v>
      </c>
      <c r="F43" s="42">
        <f t="shared" si="16"/>
        <v>4850</v>
      </c>
      <c r="G43" s="40">
        <f t="shared" ref="G43:G44" si="25">D43+100</f>
        <v>2525</v>
      </c>
      <c r="H43" s="42">
        <f t="shared" ref="H43:H44" si="26">F43+200</f>
        <v>5050</v>
      </c>
      <c r="I43" s="61">
        <f t="shared" ref="I43:J43" si="27">I7</f>
        <v>1775</v>
      </c>
      <c r="J43" s="112">
        <f t="shared" si="27"/>
        <v>3550</v>
      </c>
      <c r="K43" s="1"/>
      <c r="L43" s="1"/>
      <c r="M43" s="1"/>
      <c r="N43" s="1"/>
      <c r="O43" s="1"/>
      <c r="P43" s="1"/>
      <c r="Q43" s="48"/>
      <c r="R43" s="48"/>
      <c r="S43" s="48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232"/>
      <c r="B44" s="53" t="s">
        <v>71</v>
      </c>
      <c r="C44" s="56" t="s">
        <v>23</v>
      </c>
      <c r="D44" s="40">
        <f>D7</f>
        <v>2425</v>
      </c>
      <c r="E44" s="59">
        <f>D44*2</f>
        <v>4850</v>
      </c>
      <c r="F44" s="42">
        <f t="shared" si="16"/>
        <v>4850</v>
      </c>
      <c r="G44" s="40">
        <f t="shared" si="25"/>
        <v>2525</v>
      </c>
      <c r="H44" s="42">
        <f t="shared" si="26"/>
        <v>5050</v>
      </c>
      <c r="I44" s="61">
        <f t="shared" ref="I44:J44" si="28">I7</f>
        <v>1775</v>
      </c>
      <c r="J44" s="59">
        <f t="shared" si="28"/>
        <v>3550</v>
      </c>
      <c r="K44" s="1"/>
      <c r="L44" s="236"/>
      <c r="M44" s="237"/>
      <c r="N44" s="237"/>
      <c r="O44" s="1"/>
      <c r="P44" s="1"/>
      <c r="Q44" s="48"/>
      <c r="R44" s="48"/>
      <c r="S44" s="48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232"/>
      <c r="B45" s="53" t="s">
        <v>72</v>
      </c>
      <c r="C45" s="117" t="s">
        <v>70</v>
      </c>
      <c r="D45" s="67">
        <f>D44+460</f>
        <v>2885</v>
      </c>
      <c r="E45" s="68">
        <f t="shared" ref="E45:F45" si="29">E44+600</f>
        <v>5450</v>
      </c>
      <c r="F45" s="68">
        <f t="shared" si="29"/>
        <v>5450</v>
      </c>
      <c r="G45" s="85"/>
      <c r="H45" s="95"/>
      <c r="I45" s="86"/>
      <c r="J45" s="86"/>
      <c r="K45" s="1"/>
      <c r="L45" s="116"/>
      <c r="M45" s="116"/>
      <c r="N45" s="116"/>
      <c r="O45" s="1"/>
      <c r="P45" s="1"/>
      <c r="Q45" s="48"/>
      <c r="R45" s="48"/>
      <c r="S45" s="48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232"/>
      <c r="B46" s="53" t="s">
        <v>73</v>
      </c>
      <c r="C46" s="117" t="s">
        <v>70</v>
      </c>
      <c r="D46" s="67">
        <f>D44+500</f>
        <v>2925</v>
      </c>
      <c r="E46" s="68">
        <f t="shared" ref="E46:F46" si="30">E44+650</f>
        <v>5500</v>
      </c>
      <c r="F46" s="121">
        <f t="shared" si="30"/>
        <v>5500</v>
      </c>
      <c r="G46" s="85"/>
      <c r="H46" s="95"/>
      <c r="I46" s="86"/>
      <c r="J46" s="86"/>
      <c r="K46" s="1"/>
      <c r="L46" s="116"/>
      <c r="M46" s="116"/>
      <c r="N46" s="116"/>
      <c r="O46" s="1"/>
      <c r="P46" s="1"/>
      <c r="Q46" s="48"/>
      <c r="R46" s="48"/>
      <c r="S46" s="48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232"/>
      <c r="B47" s="53" t="s">
        <v>74</v>
      </c>
      <c r="C47" s="66" t="s">
        <v>75</v>
      </c>
      <c r="D47" s="67">
        <f t="shared" ref="D47:F47" si="31">D43+L47</f>
        <v>2525</v>
      </c>
      <c r="E47" s="68">
        <f t="shared" si="31"/>
        <v>5050</v>
      </c>
      <c r="F47" s="69">
        <f t="shared" si="31"/>
        <v>5050</v>
      </c>
      <c r="G47" s="85"/>
      <c r="H47" s="95"/>
      <c r="I47" s="86"/>
      <c r="J47" s="86"/>
      <c r="K47" s="1"/>
      <c r="L47" s="72">
        <v>100</v>
      </c>
      <c r="M47" s="72">
        <v>200</v>
      </c>
      <c r="N47" s="72">
        <v>200</v>
      </c>
      <c r="O47" s="1"/>
      <c r="P47" s="74" t="s">
        <v>76</v>
      </c>
      <c r="Q47" s="48"/>
      <c r="R47" s="48"/>
      <c r="S47" s="48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232"/>
      <c r="B48" s="88" t="s">
        <v>77</v>
      </c>
      <c r="C48" s="105" t="s">
        <v>75</v>
      </c>
      <c r="D48" s="67">
        <f t="shared" ref="D48:F48" si="32">D43+L48</f>
        <v>2625</v>
      </c>
      <c r="E48" s="68">
        <f t="shared" si="32"/>
        <v>5150</v>
      </c>
      <c r="F48" s="69">
        <f t="shared" si="32"/>
        <v>5150</v>
      </c>
      <c r="G48" s="110"/>
      <c r="H48" s="111"/>
      <c r="I48" s="113"/>
      <c r="J48" s="113"/>
      <c r="K48" s="1"/>
      <c r="L48" s="72">
        <v>200</v>
      </c>
      <c r="M48" s="72">
        <v>300</v>
      </c>
      <c r="N48" s="72">
        <v>300</v>
      </c>
      <c r="O48" s="1"/>
      <c r="P48" s="74" t="s">
        <v>76</v>
      </c>
      <c r="Q48" s="48"/>
      <c r="R48" s="48"/>
      <c r="S48" s="48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235"/>
      <c r="B49" s="81" t="s">
        <v>78</v>
      </c>
      <c r="C49" s="105" t="s">
        <v>70</v>
      </c>
      <c r="D49" s="106">
        <f>$D$43+L49</f>
        <v>2725</v>
      </c>
      <c r="E49" s="107">
        <f>$E$43+M49</f>
        <v>5350</v>
      </c>
      <c r="F49" s="108">
        <f t="shared" ref="F49:F51" si="33">E49</f>
        <v>5350</v>
      </c>
      <c r="G49" s="110"/>
      <c r="H49" s="111"/>
      <c r="I49" s="113"/>
      <c r="J49" s="113"/>
      <c r="K49" s="1"/>
      <c r="L49" s="72">
        <v>300</v>
      </c>
      <c r="M49" s="72">
        <v>500</v>
      </c>
      <c r="N49" s="72">
        <v>500</v>
      </c>
      <c r="O49" s="1"/>
      <c r="P49" s="74" t="s">
        <v>76</v>
      </c>
      <c r="Q49" s="48"/>
      <c r="R49" s="48"/>
      <c r="S49" s="48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26" t="s">
        <v>79</v>
      </c>
      <c r="B50" s="127" t="s">
        <v>80</v>
      </c>
      <c r="C50" s="128" t="s">
        <v>23</v>
      </c>
      <c r="D50" s="134">
        <v>2325</v>
      </c>
      <c r="E50" s="136">
        <v>4650</v>
      </c>
      <c r="F50" s="138">
        <f t="shared" si="33"/>
        <v>4650</v>
      </c>
      <c r="G50" s="129">
        <f t="shared" ref="G50:G54" si="34">D50+100</f>
        <v>2425</v>
      </c>
      <c r="H50" s="131">
        <f t="shared" ref="H50:H54" si="35">F50+200</f>
        <v>4850</v>
      </c>
      <c r="I50" s="140">
        <v>1675</v>
      </c>
      <c r="J50" s="140">
        <v>3350</v>
      </c>
      <c r="K50" s="1"/>
      <c r="L50" s="1"/>
      <c r="M50" s="1"/>
      <c r="N50" s="1"/>
      <c r="O50" s="1"/>
      <c r="P50" s="1"/>
      <c r="Q50" s="48"/>
      <c r="R50" s="48"/>
      <c r="S50" s="48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238" t="s">
        <v>81</v>
      </c>
      <c r="B51" s="114" t="s">
        <v>82</v>
      </c>
      <c r="C51" s="115" t="s">
        <v>70</v>
      </c>
      <c r="D51" s="141">
        <v>2425</v>
      </c>
      <c r="E51" s="142">
        <f>D51*2</f>
        <v>4850</v>
      </c>
      <c r="F51" s="143">
        <f t="shared" si="33"/>
        <v>4850</v>
      </c>
      <c r="G51" s="63">
        <f t="shared" si="34"/>
        <v>2525</v>
      </c>
      <c r="H51" s="137">
        <f t="shared" si="35"/>
        <v>5050</v>
      </c>
      <c r="I51" s="145">
        <v>1775</v>
      </c>
      <c r="J51" s="145">
        <v>3550</v>
      </c>
      <c r="K51" s="1"/>
      <c r="L51" s="1"/>
      <c r="M51" s="1"/>
      <c r="N51" s="1"/>
      <c r="O51" s="1"/>
      <c r="P51" s="1"/>
      <c r="Q51" s="48"/>
      <c r="R51" s="48"/>
      <c r="S51" s="48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232"/>
      <c r="B52" s="114" t="s">
        <v>83</v>
      </c>
      <c r="C52" s="115" t="s">
        <v>70</v>
      </c>
      <c r="D52" s="63">
        <f t="shared" ref="D52:F52" si="36">D51</f>
        <v>2425</v>
      </c>
      <c r="E52" s="135">
        <f t="shared" si="36"/>
        <v>4850</v>
      </c>
      <c r="F52" s="137">
        <f t="shared" si="36"/>
        <v>4850</v>
      </c>
      <c r="G52" s="63">
        <f t="shared" si="34"/>
        <v>2525</v>
      </c>
      <c r="H52" s="137">
        <f t="shared" si="35"/>
        <v>5050</v>
      </c>
      <c r="I52" s="61">
        <f t="shared" ref="I52:J52" si="37">I51</f>
        <v>1775</v>
      </c>
      <c r="J52" s="61">
        <f t="shared" si="37"/>
        <v>3550</v>
      </c>
      <c r="K52" s="1"/>
      <c r="L52" s="1"/>
      <c r="M52" s="1"/>
      <c r="N52" s="1"/>
      <c r="O52" s="1"/>
      <c r="P52" s="74" t="s">
        <v>84</v>
      </c>
      <c r="Q52" s="1"/>
      <c r="R52" s="48"/>
      <c r="S52" s="48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232"/>
      <c r="B53" s="144" t="s">
        <v>85</v>
      </c>
      <c r="C53" s="146" t="s">
        <v>70</v>
      </c>
      <c r="D53" s="147">
        <f t="shared" ref="D53:D54" si="38">$D$51+L53</f>
        <v>2625</v>
      </c>
      <c r="E53" s="148">
        <f t="shared" ref="E53:E54" si="39">$E$51+M53</f>
        <v>5100</v>
      </c>
      <c r="F53" s="149">
        <f t="shared" ref="F53:F54" si="40">E53</f>
        <v>5100</v>
      </c>
      <c r="G53" s="147">
        <f t="shared" si="34"/>
        <v>2725</v>
      </c>
      <c r="H53" s="149">
        <f t="shared" si="35"/>
        <v>5300</v>
      </c>
      <c r="I53" s="156"/>
      <c r="J53" s="156"/>
      <c r="K53" s="1"/>
      <c r="L53" s="1">
        <v>200</v>
      </c>
      <c r="M53" s="1">
        <v>250</v>
      </c>
      <c r="N53" s="1">
        <v>250</v>
      </c>
      <c r="O53" s="1"/>
      <c r="P53" s="74" t="s">
        <v>84</v>
      </c>
      <c r="Q53" s="1"/>
      <c r="R53" s="48"/>
      <c r="S53" s="48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233"/>
      <c r="B54" s="150" t="s">
        <v>86</v>
      </c>
      <c r="C54" s="146" t="s">
        <v>70</v>
      </c>
      <c r="D54" s="151">
        <f t="shared" si="38"/>
        <v>2625</v>
      </c>
      <c r="E54" s="152">
        <f t="shared" si="39"/>
        <v>5100</v>
      </c>
      <c r="F54" s="153">
        <f t="shared" si="40"/>
        <v>5100</v>
      </c>
      <c r="G54" s="151">
        <f t="shared" si="34"/>
        <v>2725</v>
      </c>
      <c r="H54" s="153">
        <f t="shared" si="35"/>
        <v>5300</v>
      </c>
      <c r="I54" s="160"/>
      <c r="J54" s="160"/>
      <c r="K54" s="1"/>
      <c r="L54" s="1">
        <v>200</v>
      </c>
      <c r="M54" s="1">
        <v>250</v>
      </c>
      <c r="N54" s="1">
        <v>250</v>
      </c>
      <c r="O54" s="1"/>
      <c r="P54" s="74" t="s">
        <v>84</v>
      </c>
      <c r="Q54" s="1"/>
      <c r="R54" s="48"/>
      <c r="S54" s="48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72" t="s">
        <v>87</v>
      </c>
      <c r="B56" s="158" t="s">
        <v>88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72" t="s">
        <v>89</v>
      </c>
      <c r="B57" s="72" t="s">
        <v>90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239" t="s">
        <v>91</v>
      </c>
      <c r="B59" s="240"/>
      <c r="C59" s="240"/>
      <c r="D59" s="240"/>
      <c r="E59" s="240"/>
      <c r="F59" s="240"/>
      <c r="G59" s="240"/>
      <c r="H59" s="240"/>
      <c r="I59" s="240"/>
      <c r="J59" s="2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64"/>
      <c r="B60" s="165"/>
      <c r="C60" s="165"/>
      <c r="D60" s="166" t="s">
        <v>11</v>
      </c>
      <c r="E60" s="166" t="s">
        <v>12</v>
      </c>
      <c r="F60" s="167" t="s">
        <v>13</v>
      </c>
      <c r="G60" s="168" t="s">
        <v>92</v>
      </c>
      <c r="H60" s="166" t="s">
        <v>93</v>
      </c>
      <c r="I60" s="166" t="s">
        <v>16</v>
      </c>
      <c r="J60" s="169" t="s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hidden="1" customHeight="1" x14ac:dyDescent="0.25">
      <c r="A61" s="170" t="s">
        <v>94</v>
      </c>
      <c r="B61" s="242" t="s">
        <v>95</v>
      </c>
      <c r="C61" s="210"/>
      <c r="D61" s="171" t="s">
        <v>96</v>
      </c>
      <c r="E61" s="171" t="s">
        <v>97</v>
      </c>
      <c r="F61" s="171" t="s">
        <v>97</v>
      </c>
      <c r="G61" s="171" t="s">
        <v>98</v>
      </c>
      <c r="H61" s="171" t="s">
        <v>99</v>
      </c>
      <c r="I61" s="171" t="s">
        <v>96</v>
      </c>
      <c r="J61" s="171" t="s">
        <v>97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70" t="s">
        <v>94</v>
      </c>
      <c r="B62" s="242" t="s">
        <v>95</v>
      </c>
      <c r="C62" s="210"/>
      <c r="D62" s="171" t="s">
        <v>100</v>
      </c>
      <c r="E62" s="171" t="s">
        <v>100</v>
      </c>
      <c r="F62" s="171" t="s">
        <v>100</v>
      </c>
      <c r="G62" s="171" t="s">
        <v>100</v>
      </c>
      <c r="H62" s="171" t="s">
        <v>100</v>
      </c>
      <c r="I62" s="171" t="s">
        <v>100</v>
      </c>
      <c r="J62" s="171" t="s">
        <v>100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customHeight="1" x14ac:dyDescent="0.25">
      <c r="A63" s="175" t="s">
        <v>101</v>
      </c>
      <c r="B63" s="243" t="s">
        <v>102</v>
      </c>
      <c r="C63" s="210"/>
      <c r="D63" s="176" t="s">
        <v>103</v>
      </c>
      <c r="E63" s="176" t="s">
        <v>103</v>
      </c>
      <c r="F63" s="176" t="s">
        <v>103</v>
      </c>
      <c r="G63" s="176" t="s">
        <v>103</v>
      </c>
      <c r="H63" s="176" t="s">
        <v>103</v>
      </c>
      <c r="I63" s="176" t="s">
        <v>103</v>
      </c>
      <c r="J63" s="176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customHeight="1" x14ac:dyDescent="0.25">
      <c r="A64" s="175" t="s">
        <v>104</v>
      </c>
      <c r="B64" s="243" t="s">
        <v>102</v>
      </c>
      <c r="C64" s="210"/>
      <c r="D64" s="176" t="s">
        <v>103</v>
      </c>
      <c r="E64" s="176" t="s">
        <v>103</v>
      </c>
      <c r="F64" s="176" t="s">
        <v>103</v>
      </c>
      <c r="G64" s="176" t="s">
        <v>103</v>
      </c>
      <c r="H64" s="176" t="s">
        <v>103</v>
      </c>
      <c r="I64" s="176" t="s">
        <v>103</v>
      </c>
      <c r="J64" s="176" t="s">
        <v>103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5">
      <c r="A65" s="177" t="s">
        <v>105</v>
      </c>
      <c r="B65" s="244" t="s">
        <v>106</v>
      </c>
      <c r="C65" s="210"/>
      <c r="D65" s="176" t="s">
        <v>103</v>
      </c>
      <c r="E65" s="176" t="s">
        <v>103</v>
      </c>
      <c r="F65" s="176" t="s">
        <v>103</v>
      </c>
      <c r="G65" s="176" t="s">
        <v>103</v>
      </c>
      <c r="H65" s="176" t="s">
        <v>103</v>
      </c>
      <c r="I65" s="176" t="s">
        <v>103</v>
      </c>
      <c r="J65" s="176" t="s">
        <v>103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5">
      <c r="A66" s="177" t="s">
        <v>107</v>
      </c>
      <c r="B66" s="244" t="s">
        <v>108</v>
      </c>
      <c r="C66" s="210"/>
      <c r="D66" s="176" t="s">
        <v>103</v>
      </c>
      <c r="E66" s="176" t="s">
        <v>103</v>
      </c>
      <c r="F66" s="176" t="s">
        <v>103</v>
      </c>
      <c r="G66" s="176" t="s">
        <v>103</v>
      </c>
      <c r="H66" s="176" t="s">
        <v>103</v>
      </c>
      <c r="I66" s="176" t="s">
        <v>103</v>
      </c>
      <c r="J66" s="176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5">
      <c r="A67" s="177" t="s">
        <v>109</v>
      </c>
      <c r="B67" s="244" t="s">
        <v>110</v>
      </c>
      <c r="C67" s="210"/>
      <c r="D67" s="176" t="s">
        <v>103</v>
      </c>
      <c r="E67" s="176" t="s">
        <v>103</v>
      </c>
      <c r="F67" s="176" t="s">
        <v>103</v>
      </c>
      <c r="G67" s="176" t="s">
        <v>103</v>
      </c>
      <c r="H67" s="176" t="s">
        <v>103</v>
      </c>
      <c r="I67" s="176" t="s">
        <v>103</v>
      </c>
      <c r="J67" s="176" t="s">
        <v>103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5">
      <c r="A68" s="177" t="s">
        <v>111</v>
      </c>
      <c r="B68" s="244" t="s">
        <v>112</v>
      </c>
      <c r="C68" s="210"/>
      <c r="D68" s="176" t="s">
        <v>103</v>
      </c>
      <c r="E68" s="176" t="s">
        <v>103</v>
      </c>
      <c r="F68" s="176" t="s">
        <v>103</v>
      </c>
      <c r="G68" s="176" t="s">
        <v>103</v>
      </c>
      <c r="H68" s="176" t="s">
        <v>103</v>
      </c>
      <c r="I68" s="176" t="s">
        <v>103</v>
      </c>
      <c r="J68" s="176" t="s">
        <v>103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5">
      <c r="A69" s="177" t="s">
        <v>113</v>
      </c>
      <c r="B69" s="244" t="s">
        <v>114</v>
      </c>
      <c r="C69" s="210"/>
      <c r="D69" s="176" t="s">
        <v>103</v>
      </c>
      <c r="E69" s="176" t="s">
        <v>103</v>
      </c>
      <c r="F69" s="176" t="s">
        <v>103</v>
      </c>
      <c r="G69" s="176" t="s">
        <v>103</v>
      </c>
      <c r="H69" s="176" t="s">
        <v>103</v>
      </c>
      <c r="I69" s="176" t="s">
        <v>103</v>
      </c>
      <c r="J69" s="179" t="s">
        <v>103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5">
      <c r="A70" s="180" t="s">
        <v>115</v>
      </c>
      <c r="B70" s="245" t="s">
        <v>116</v>
      </c>
      <c r="C70" s="246"/>
      <c r="D70" s="181" t="s">
        <v>103</v>
      </c>
      <c r="E70" s="181" t="s">
        <v>103</v>
      </c>
      <c r="F70" s="181" t="s">
        <v>103</v>
      </c>
      <c r="G70" s="181" t="s">
        <v>103</v>
      </c>
      <c r="H70" s="181" t="s">
        <v>103</v>
      </c>
      <c r="I70" s="181" t="s">
        <v>103</v>
      </c>
      <c r="J70" s="182" t="s">
        <v>103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83" t="s">
        <v>117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84" t="s">
        <v>118</v>
      </c>
      <c r="B73" s="185"/>
      <c r="C73" s="185"/>
      <c r="D73" s="185"/>
      <c r="E73" s="185"/>
      <c r="F73" s="183"/>
      <c r="G73" s="183"/>
      <c r="H73" s="183"/>
      <c r="I73" s="183"/>
      <c r="J73" s="18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84" t="s">
        <v>119</v>
      </c>
      <c r="B74" s="185"/>
      <c r="C74" s="185"/>
      <c r="D74" s="185"/>
      <c r="E74" s="185"/>
      <c r="F74" s="183"/>
      <c r="G74" s="183"/>
      <c r="H74" s="183"/>
      <c r="I74" s="183"/>
      <c r="J74" s="18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86" t="s">
        <v>120</v>
      </c>
      <c r="B75" s="186"/>
      <c r="C75" s="186"/>
      <c r="D75" s="186"/>
      <c r="E75" s="186"/>
      <c r="F75" s="183"/>
      <c r="G75" s="183"/>
      <c r="H75" s="183"/>
      <c r="I75" s="183"/>
      <c r="J75" s="18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83" t="s">
        <v>121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83" t="s">
        <v>122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83" t="s">
        <v>123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83" t="s">
        <v>124</v>
      </c>
      <c r="B79" s="183"/>
      <c r="C79" s="183"/>
      <c r="D79" s="183"/>
      <c r="E79" s="183"/>
      <c r="F79" s="183"/>
      <c r="G79" s="183"/>
      <c r="H79" s="183"/>
      <c r="I79" s="183"/>
      <c r="J79" s="18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83" t="s">
        <v>125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87" t="s">
        <v>126</v>
      </c>
      <c r="B83" s="188"/>
      <c r="C83" s="188"/>
      <c r="D83" s="188"/>
      <c r="E83" s="189"/>
      <c r="F83" s="189"/>
      <c r="G83" s="190"/>
      <c r="H83" s="190"/>
      <c r="I83" s="19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91" t="s">
        <v>127</v>
      </c>
      <c r="B84" s="189"/>
      <c r="C84" s="189"/>
      <c r="D84" s="189"/>
      <c r="E84" s="189"/>
      <c r="F84" s="189"/>
      <c r="G84" s="190"/>
      <c r="H84" s="190"/>
      <c r="I84" s="19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91" t="s">
        <v>128</v>
      </c>
      <c r="B85" s="189"/>
      <c r="C85" s="189"/>
      <c r="D85" s="189"/>
      <c r="E85" s="189"/>
      <c r="F85" s="189"/>
      <c r="G85" s="190"/>
      <c r="H85" s="190"/>
      <c r="I85" s="19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92"/>
      <c r="B86" s="192"/>
      <c r="C86" s="192"/>
      <c r="D86" s="192"/>
      <c r="E86" s="192"/>
      <c r="F86" s="192"/>
      <c r="G86" s="190"/>
      <c r="H86" s="190"/>
      <c r="I86" s="19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93" t="s">
        <v>129</v>
      </c>
      <c r="B87" s="194" t="s">
        <v>130</v>
      </c>
      <c r="C87" s="194" t="s">
        <v>131</v>
      </c>
      <c r="D87" s="195" t="s">
        <v>132</v>
      </c>
      <c r="E87" s="195" t="s">
        <v>133</v>
      </c>
      <c r="F87" s="195" t="s">
        <v>134</v>
      </c>
      <c r="G87" s="190"/>
      <c r="H87" s="190"/>
      <c r="I87" s="19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247" t="s">
        <v>135</v>
      </c>
      <c r="B88" s="196" t="s">
        <v>136</v>
      </c>
      <c r="C88" s="250" t="s">
        <v>137</v>
      </c>
      <c r="D88" s="225"/>
      <c r="E88" s="226"/>
      <c r="F88" s="197"/>
      <c r="G88" s="190"/>
      <c r="H88" s="190"/>
      <c r="I88" s="19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248"/>
      <c r="B89" s="196" t="s">
        <v>138</v>
      </c>
      <c r="C89" s="198" t="s">
        <v>139</v>
      </c>
      <c r="D89" s="198" t="s">
        <v>140</v>
      </c>
      <c r="E89" s="198" t="s">
        <v>140</v>
      </c>
      <c r="F89" s="197"/>
      <c r="G89" s="190"/>
      <c r="H89" s="190"/>
      <c r="I89" s="19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248"/>
      <c r="B90" s="196" t="s">
        <v>141</v>
      </c>
      <c r="C90" s="198" t="s">
        <v>142</v>
      </c>
      <c r="D90" s="198" t="s">
        <v>139</v>
      </c>
      <c r="E90" s="198" t="s">
        <v>139</v>
      </c>
      <c r="F90" s="197"/>
      <c r="G90" s="190"/>
      <c r="H90" s="190"/>
      <c r="I90" s="19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248"/>
      <c r="B91" s="196" t="s">
        <v>143</v>
      </c>
      <c r="C91" s="198" t="s">
        <v>142</v>
      </c>
      <c r="D91" s="198" t="s">
        <v>139</v>
      </c>
      <c r="E91" s="198" t="s">
        <v>139</v>
      </c>
      <c r="F91" s="197"/>
      <c r="G91" s="190"/>
      <c r="H91" s="190"/>
      <c r="I91" s="19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248"/>
      <c r="B92" s="196" t="s">
        <v>144</v>
      </c>
      <c r="C92" s="199" t="s">
        <v>139</v>
      </c>
      <c r="D92" s="199" t="s">
        <v>140</v>
      </c>
      <c r="E92" s="199" t="s">
        <v>140</v>
      </c>
      <c r="F92" s="197"/>
      <c r="G92" s="190"/>
      <c r="H92" s="190"/>
      <c r="I92" s="19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248"/>
      <c r="B93" s="196" t="s">
        <v>145</v>
      </c>
      <c r="C93" s="198" t="s">
        <v>142</v>
      </c>
      <c r="D93" s="198" t="s">
        <v>139</v>
      </c>
      <c r="E93" s="198" t="s">
        <v>139</v>
      </c>
      <c r="F93" s="197"/>
      <c r="G93" s="190"/>
      <c r="H93" s="190"/>
      <c r="I93" s="19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248"/>
      <c r="B94" s="196" t="s">
        <v>146</v>
      </c>
      <c r="C94" s="250" t="s">
        <v>137</v>
      </c>
      <c r="D94" s="225"/>
      <c r="E94" s="226"/>
      <c r="F94" s="197"/>
      <c r="G94" s="190"/>
      <c r="H94" s="190"/>
      <c r="I94" s="19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248"/>
      <c r="B95" s="196" t="s">
        <v>147</v>
      </c>
      <c r="C95" s="198" t="s">
        <v>142</v>
      </c>
      <c r="D95" s="198" t="s">
        <v>139</v>
      </c>
      <c r="E95" s="198" t="s">
        <v>139</v>
      </c>
      <c r="F95" s="197"/>
      <c r="G95" s="190"/>
      <c r="H95" s="190"/>
      <c r="I95" s="19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249"/>
      <c r="B96" s="196" t="s">
        <v>148</v>
      </c>
      <c r="C96" s="198" t="s">
        <v>142</v>
      </c>
      <c r="D96" s="198" t="s">
        <v>139</v>
      </c>
      <c r="E96" s="198" t="s">
        <v>139</v>
      </c>
      <c r="F96" s="197"/>
      <c r="G96" s="190"/>
      <c r="H96" s="190"/>
      <c r="I96" s="19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251" t="s">
        <v>149</v>
      </c>
      <c r="B97" s="252"/>
      <c r="C97" s="252"/>
      <c r="D97" s="252"/>
      <c r="E97" s="252"/>
      <c r="F97" s="253"/>
      <c r="G97" s="190"/>
      <c r="H97" s="190"/>
      <c r="I97" s="19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92"/>
      <c r="B98" s="192"/>
      <c r="C98" s="254"/>
      <c r="D98" s="255"/>
      <c r="E98" s="192"/>
      <c r="F98" s="192"/>
      <c r="G98" s="190"/>
      <c r="H98" s="190"/>
      <c r="I98" s="19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93" t="s">
        <v>150</v>
      </c>
      <c r="B99" s="194" t="s">
        <v>151</v>
      </c>
      <c r="C99" s="194" t="s">
        <v>131</v>
      </c>
      <c r="D99" s="195" t="s">
        <v>132</v>
      </c>
      <c r="E99" s="195" t="s">
        <v>133</v>
      </c>
      <c r="F99" s="195" t="s">
        <v>134</v>
      </c>
      <c r="G99" s="190"/>
      <c r="H99" s="190"/>
      <c r="I99" s="19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256" t="s">
        <v>152</v>
      </c>
      <c r="B100" s="196" t="s">
        <v>153</v>
      </c>
      <c r="C100" s="200" t="s">
        <v>154</v>
      </c>
      <c r="D100" s="200" t="s">
        <v>155</v>
      </c>
      <c r="E100" s="200" t="s">
        <v>155</v>
      </c>
      <c r="F100" s="197"/>
      <c r="G100" s="190"/>
      <c r="H100" s="190"/>
      <c r="I100" s="19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248"/>
      <c r="B101" s="196" t="s">
        <v>156</v>
      </c>
      <c r="C101" s="200" t="s">
        <v>157</v>
      </c>
      <c r="D101" s="200" t="s">
        <v>154</v>
      </c>
      <c r="E101" s="200" t="s">
        <v>154</v>
      </c>
      <c r="F101" s="197"/>
      <c r="G101" s="190"/>
      <c r="H101" s="190"/>
      <c r="I101" s="19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248"/>
      <c r="B102" s="196" t="s">
        <v>158</v>
      </c>
      <c r="C102" s="200" t="s">
        <v>159</v>
      </c>
      <c r="D102" s="200" t="s">
        <v>160</v>
      </c>
      <c r="E102" s="200" t="s">
        <v>160</v>
      </c>
      <c r="F102" s="197"/>
      <c r="G102" s="190"/>
      <c r="H102" s="190"/>
      <c r="I102" s="19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249"/>
      <c r="B103" s="196" t="s">
        <v>161</v>
      </c>
      <c r="C103" s="200" t="s">
        <v>162</v>
      </c>
      <c r="D103" s="200" t="s">
        <v>162</v>
      </c>
      <c r="E103" s="200" t="s">
        <v>162</v>
      </c>
      <c r="F103" s="197"/>
      <c r="G103" s="190"/>
      <c r="H103" s="190"/>
      <c r="I103" s="19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251" t="s">
        <v>149</v>
      </c>
      <c r="B104" s="252"/>
      <c r="C104" s="252"/>
      <c r="D104" s="252"/>
      <c r="E104" s="252"/>
      <c r="F104" s="253"/>
      <c r="G104" s="190"/>
      <c r="H104" s="190"/>
      <c r="I104" s="19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90"/>
      <c r="B105" s="190"/>
      <c r="C105" s="190"/>
      <c r="D105" s="190"/>
      <c r="E105" s="190"/>
      <c r="F105" s="190"/>
      <c r="G105" s="190"/>
      <c r="H105" s="190"/>
      <c r="I105" s="19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201" t="s">
        <v>163</v>
      </c>
      <c r="B106" s="185"/>
      <c r="C106" s="190"/>
      <c r="D106" s="190"/>
      <c r="E106" s="190"/>
      <c r="F106" s="190"/>
      <c r="G106" s="190"/>
      <c r="H106" s="190"/>
      <c r="I106" s="19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90"/>
      <c r="B107" s="190"/>
      <c r="C107" s="190"/>
      <c r="D107" s="190"/>
      <c r="E107" s="190"/>
      <c r="F107" s="190"/>
      <c r="G107" s="190"/>
      <c r="H107" s="190"/>
      <c r="I107" s="19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202" t="s">
        <v>164</v>
      </c>
      <c r="B108" s="203"/>
      <c r="C108" s="203"/>
      <c r="D108" s="203"/>
      <c r="E108" s="190"/>
      <c r="F108" s="257"/>
      <c r="G108" s="237"/>
      <c r="H108" s="204"/>
      <c r="I108" s="205" t="s">
        <v>165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90"/>
      <c r="B109" s="190"/>
      <c r="C109" s="190"/>
      <c r="D109" s="190"/>
      <c r="E109" s="190"/>
      <c r="F109" s="257"/>
      <c r="G109" s="237"/>
      <c r="H109" s="257"/>
      <c r="I109" s="2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206" t="s">
        <v>166</v>
      </c>
      <c r="B110" s="207"/>
      <c r="C110" s="258" t="s">
        <v>167</v>
      </c>
      <c r="D110" s="210"/>
      <c r="E110" s="190"/>
      <c r="F110" s="259" t="s">
        <v>168</v>
      </c>
      <c r="G110" s="213"/>
      <c r="H110" s="213"/>
      <c r="I110" s="2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211" t="s">
        <v>169</v>
      </c>
      <c r="B111" s="210"/>
      <c r="C111" s="209" t="s">
        <v>170</v>
      </c>
      <c r="D111" s="210"/>
      <c r="E111" s="190"/>
      <c r="F111" s="211" t="s">
        <v>169</v>
      </c>
      <c r="G111" s="210"/>
      <c r="H111" s="260" t="s">
        <v>171</v>
      </c>
      <c r="I111" s="2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211" t="s">
        <v>172</v>
      </c>
      <c r="B112" s="210"/>
      <c r="C112" s="215" t="s">
        <v>172</v>
      </c>
      <c r="D112" s="210"/>
      <c r="E112" s="190"/>
      <c r="F112" s="211" t="s">
        <v>172</v>
      </c>
      <c r="G112" s="210"/>
      <c r="H112" s="211" t="s">
        <v>172</v>
      </c>
      <c r="I112" s="2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212" t="s">
        <v>173</v>
      </c>
      <c r="B113" s="213"/>
      <c r="C113" s="216">
        <v>600</v>
      </c>
      <c r="D113" s="210"/>
      <c r="E113" s="190"/>
      <c r="F113" s="212" t="s">
        <v>174</v>
      </c>
      <c r="G113" s="213"/>
      <c r="H113" s="213"/>
      <c r="I113" s="2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212" t="s">
        <v>175</v>
      </c>
      <c r="B114" s="210"/>
      <c r="C114" s="217" t="s">
        <v>176</v>
      </c>
      <c r="D114" s="210"/>
      <c r="E114" s="190"/>
      <c r="F114" s="212" t="s">
        <v>177</v>
      </c>
      <c r="G114" s="210"/>
      <c r="H114" s="214">
        <v>10500</v>
      </c>
      <c r="I114" s="2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212" t="s">
        <v>178</v>
      </c>
      <c r="B115" s="210"/>
      <c r="C115" s="217" t="s">
        <v>176</v>
      </c>
      <c r="D115" s="210"/>
      <c r="E115" s="190"/>
      <c r="F115" s="212" t="s">
        <v>179</v>
      </c>
      <c r="G115" s="210"/>
      <c r="H115" s="214">
        <v>9000</v>
      </c>
      <c r="I115" s="2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212" t="s">
        <v>180</v>
      </c>
      <c r="B116" s="210"/>
      <c r="C116" s="217" t="s">
        <v>176</v>
      </c>
      <c r="D116" s="210"/>
      <c r="E116" s="190"/>
      <c r="F116" s="212" t="s">
        <v>181</v>
      </c>
      <c r="G116" s="210"/>
      <c r="H116" s="214">
        <v>7500</v>
      </c>
      <c r="I116" s="2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90"/>
      <c r="B117" s="190"/>
      <c r="C117" s="190"/>
      <c r="D117" s="190"/>
      <c r="E117" s="190"/>
      <c r="F117" s="212" t="s">
        <v>182</v>
      </c>
      <c r="G117" s="210"/>
      <c r="H117" s="214">
        <v>6000</v>
      </c>
      <c r="I117" s="2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90"/>
      <c r="B118" s="190"/>
      <c r="C118" s="190"/>
      <c r="D118" s="190"/>
      <c r="E118" s="190"/>
      <c r="F118" s="212" t="s">
        <v>183</v>
      </c>
      <c r="G118" s="210"/>
      <c r="H118" s="214">
        <v>4600</v>
      </c>
      <c r="I118" s="2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90"/>
      <c r="B119" s="190"/>
      <c r="C119" s="190"/>
      <c r="D119" s="190"/>
      <c r="E119" s="190"/>
      <c r="F119" s="212" t="s">
        <v>184</v>
      </c>
      <c r="G119" s="210"/>
      <c r="H119" s="214">
        <v>3100</v>
      </c>
      <c r="I119" s="2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90"/>
      <c r="B120" s="190"/>
      <c r="C120" s="190"/>
      <c r="D120" s="190"/>
      <c r="E120" s="190"/>
      <c r="F120" s="261" t="s">
        <v>185</v>
      </c>
      <c r="G120" s="210"/>
      <c r="H120" s="262">
        <v>2600</v>
      </c>
      <c r="I120" s="2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90"/>
      <c r="B121" s="190"/>
      <c r="C121" s="190"/>
      <c r="D121" s="190"/>
      <c r="E121" s="190"/>
      <c r="F121" s="261" t="s">
        <v>186</v>
      </c>
      <c r="G121" s="210"/>
      <c r="H121" s="262">
        <v>600</v>
      </c>
      <c r="I121" s="2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90"/>
      <c r="B122" s="190"/>
      <c r="C122" s="190"/>
      <c r="D122" s="190"/>
      <c r="E122" s="190"/>
      <c r="F122" s="190"/>
      <c r="G122" s="190"/>
      <c r="H122" s="204"/>
      <c r="I122" s="208" t="s">
        <v>187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</sheetData>
  <mergeCells count="67"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  <mergeCell ref="F118:G118"/>
    <mergeCell ref="F119:G119"/>
    <mergeCell ref="H119:I119"/>
    <mergeCell ref="F120:G120"/>
    <mergeCell ref="H120:I120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C98:D98"/>
    <mergeCell ref="A100:A103"/>
    <mergeCell ref="A104:F104"/>
    <mergeCell ref="F108:G108"/>
    <mergeCell ref="F109:G109"/>
    <mergeCell ref="B70:C70"/>
    <mergeCell ref="A88:A96"/>
    <mergeCell ref="C88:E88"/>
    <mergeCell ref="C94:E94"/>
    <mergeCell ref="A97:F97"/>
    <mergeCell ref="B65:C65"/>
    <mergeCell ref="B66:C66"/>
    <mergeCell ref="B67:C67"/>
    <mergeCell ref="B68:C68"/>
    <mergeCell ref="B69:C69"/>
    <mergeCell ref="A59:J59"/>
    <mergeCell ref="B61:C61"/>
    <mergeCell ref="B62:C62"/>
    <mergeCell ref="B63:C63"/>
    <mergeCell ref="B64:C64"/>
    <mergeCell ref="A7:A38"/>
    <mergeCell ref="A39:A42"/>
    <mergeCell ref="A43:A49"/>
    <mergeCell ref="L44:N44"/>
    <mergeCell ref="A51:A54"/>
    <mergeCell ref="A1:J2"/>
    <mergeCell ref="D4:F4"/>
    <mergeCell ref="G4:H4"/>
    <mergeCell ref="I4:J4"/>
    <mergeCell ref="B5:B6"/>
    <mergeCell ref="C5:C6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C111:D111"/>
    <mergeCell ref="F111:G111"/>
    <mergeCell ref="F112:G112"/>
    <mergeCell ref="H112:I112"/>
    <mergeCell ref="F113:I113"/>
  </mergeCells>
  <pageMargins left="0.31496062992125984" right="0.31496062992125984" top="0.35433070866141736" bottom="0.3543307086614173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59"/>
  <sheetViews>
    <sheetView workbookViewId="0"/>
  </sheetViews>
  <sheetFormatPr defaultColWidth="14.42578125" defaultRowHeight="15" customHeight="1" outlineLevelRow="1" x14ac:dyDescent="0.25"/>
  <cols>
    <col min="1" max="1" width="22.5703125" customWidth="1"/>
    <col min="2" max="2" width="39.5703125" customWidth="1"/>
    <col min="3" max="3" width="25.85546875" customWidth="1"/>
    <col min="4" max="6" width="15.42578125" customWidth="1"/>
    <col min="7" max="7" width="21.42578125" customWidth="1"/>
    <col min="8" max="8" width="17.5703125" customWidth="1"/>
    <col min="9" max="9" width="21" customWidth="1"/>
    <col min="10" max="10" width="23.140625" customWidth="1"/>
    <col min="11" max="11" width="3.42578125" customWidth="1"/>
    <col min="12" max="14" width="8.85546875" hidden="1" customWidth="1"/>
    <col min="15" max="15" width="2.42578125" hidden="1" customWidth="1"/>
    <col min="16" max="16" width="5.5703125" hidden="1" customWidth="1"/>
    <col min="17" max="17" width="8.85546875" hidden="1" customWidth="1"/>
    <col min="18" max="18" width="8.85546875" customWidth="1"/>
    <col min="19" max="19" width="1.5703125" customWidth="1"/>
    <col min="20" max="26" width="8.85546875" customWidth="1"/>
  </cols>
  <sheetData>
    <row r="1" spans="1:26" ht="23.2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5">
      <c r="A2" s="221"/>
      <c r="B2" s="222"/>
      <c r="C2" s="222"/>
      <c r="D2" s="222"/>
      <c r="E2" s="222"/>
      <c r="F2" s="222"/>
      <c r="G2" s="222"/>
      <c r="H2" s="222"/>
      <c r="I2" s="222"/>
      <c r="J2" s="2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25">
      <c r="A3" s="2"/>
      <c r="B3" s="3"/>
      <c r="C3" s="3"/>
      <c r="D3" s="3"/>
      <c r="E3" s="3"/>
      <c r="F3" s="3"/>
      <c r="G3" s="3"/>
      <c r="H3" s="3"/>
      <c r="I3" s="4" t="s">
        <v>2</v>
      </c>
      <c r="J3" s="6">
        <f>'ex NEA to AUBNE_AUMEL'!J3</f>
        <v>46258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 x14ac:dyDescent="0.4">
      <c r="A4" s="7" t="s">
        <v>3</v>
      </c>
      <c r="B4" s="9" t="str">
        <f>'ex NEA to AUBNE_AUMEL'!B4</f>
        <v>01 Sept to 14 Sept 2026</v>
      </c>
      <c r="C4" s="10"/>
      <c r="D4" s="224" t="s">
        <v>5</v>
      </c>
      <c r="E4" s="225"/>
      <c r="F4" s="226"/>
      <c r="G4" s="224" t="s">
        <v>5</v>
      </c>
      <c r="H4" s="226"/>
      <c r="I4" s="224" t="s">
        <v>5</v>
      </c>
      <c r="J4" s="22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11"/>
      <c r="B5" s="227" t="s">
        <v>8</v>
      </c>
      <c r="C5" s="229" t="s">
        <v>9</v>
      </c>
      <c r="D5" s="12" t="s">
        <v>11</v>
      </c>
      <c r="E5" s="13" t="s">
        <v>12</v>
      </c>
      <c r="F5" s="14" t="s">
        <v>13</v>
      </c>
      <c r="G5" s="15" t="s">
        <v>14</v>
      </c>
      <c r="H5" s="16" t="s">
        <v>15</v>
      </c>
      <c r="I5" s="17" t="s">
        <v>16</v>
      </c>
      <c r="J5" s="19" t="s">
        <v>17</v>
      </c>
      <c r="K5" s="20"/>
      <c r="L5" s="20" t="s">
        <v>18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4.75" customHeight="1" x14ac:dyDescent="0.25">
      <c r="A6" s="21"/>
      <c r="B6" s="228"/>
      <c r="C6" s="230"/>
      <c r="D6" s="23" t="s">
        <v>20</v>
      </c>
      <c r="E6" s="24" t="s">
        <v>20</v>
      </c>
      <c r="F6" s="25" t="s">
        <v>20</v>
      </c>
      <c r="G6" s="23" t="s">
        <v>20</v>
      </c>
      <c r="H6" s="25" t="s">
        <v>20</v>
      </c>
      <c r="I6" s="23" t="s">
        <v>20</v>
      </c>
      <c r="J6" s="25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231" t="s">
        <v>21</v>
      </c>
      <c r="B7" s="30" t="s">
        <v>22</v>
      </c>
      <c r="C7" s="31" t="s">
        <v>23</v>
      </c>
      <c r="D7" s="36">
        <f>'ex NEA to AUBNE_AUMEL'!D7</f>
        <v>2425</v>
      </c>
      <c r="E7" s="39">
        <f>'ex NEA to AUBNE_AUMEL'!E7</f>
        <v>4850</v>
      </c>
      <c r="F7" s="43">
        <f t="shared" ref="F7:F9" si="0">E7</f>
        <v>4850</v>
      </c>
      <c r="G7" s="42">
        <f>D7+150</f>
        <v>2575</v>
      </c>
      <c r="H7" s="42">
        <f t="shared" ref="H7:H10" si="1">E7+300</f>
        <v>5150</v>
      </c>
      <c r="I7" s="51">
        <f>'ex NEA to AUBNE_AUMEL'!I7+50</f>
        <v>1825</v>
      </c>
      <c r="J7" s="57">
        <f>'ex NEA to AUBNE_AUMEL'!J7+100</f>
        <v>3650</v>
      </c>
      <c r="K7" s="1"/>
      <c r="L7" s="1"/>
      <c r="M7" s="1"/>
      <c r="N7" s="1"/>
      <c r="O7" s="1"/>
      <c r="P7" s="1"/>
      <c r="Q7" s="48"/>
      <c r="R7" s="48"/>
      <c r="S7" s="48"/>
      <c r="T7" s="48"/>
      <c r="U7" s="1"/>
      <c r="V7" s="1"/>
      <c r="W7" s="1"/>
      <c r="X7" s="1"/>
      <c r="Y7" s="1"/>
      <c r="Z7" s="1"/>
    </row>
    <row r="8" spans="1:26" ht="14.25" customHeight="1" x14ac:dyDescent="0.25">
      <c r="A8" s="232"/>
      <c r="B8" s="53" t="s">
        <v>26</v>
      </c>
      <c r="C8" s="55" t="s">
        <v>27</v>
      </c>
      <c r="D8" s="40">
        <f>D7</f>
        <v>2425</v>
      </c>
      <c r="E8" s="59">
        <f>'ex NEA to AUBNE_AUMEL'!E8</f>
        <v>4850</v>
      </c>
      <c r="F8" s="42">
        <f t="shared" si="0"/>
        <v>4850</v>
      </c>
      <c r="G8" s="42">
        <f>G7</f>
        <v>2575</v>
      </c>
      <c r="H8" s="42">
        <f t="shared" si="1"/>
        <v>5150</v>
      </c>
      <c r="I8" s="62">
        <f>'ex NEA to AUBNE_AUMEL'!I8+50</f>
        <v>1825</v>
      </c>
      <c r="J8" s="64">
        <f>'ex NEA to AUBNE_AUMEL'!J8+100</f>
        <v>3650</v>
      </c>
      <c r="K8" s="1"/>
      <c r="L8" s="1"/>
      <c r="M8" s="1"/>
      <c r="N8" s="1"/>
      <c r="O8" s="1"/>
      <c r="P8" s="1"/>
      <c r="Q8" s="48"/>
      <c r="R8" s="48"/>
      <c r="S8" s="48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232"/>
      <c r="B9" s="53" t="s">
        <v>28</v>
      </c>
      <c r="C9" s="56" t="s">
        <v>29</v>
      </c>
      <c r="D9" s="40">
        <f>D7</f>
        <v>2425</v>
      </c>
      <c r="E9" s="59">
        <f>'ex NEA to AUBNE_AUMEL'!E9</f>
        <v>4850</v>
      </c>
      <c r="F9" s="42">
        <f t="shared" si="0"/>
        <v>4850</v>
      </c>
      <c r="G9" s="42">
        <f>G7</f>
        <v>2575</v>
      </c>
      <c r="H9" s="42">
        <f t="shared" si="1"/>
        <v>5150</v>
      </c>
      <c r="I9" s="62">
        <f>'ex NEA to AUBNE_AUMEL'!I9+50</f>
        <v>1825</v>
      </c>
      <c r="J9" s="64">
        <f>'ex NEA to AUBNE_AUMEL'!J9+100</f>
        <v>3650</v>
      </c>
      <c r="K9" s="1"/>
      <c r="L9" s="1"/>
      <c r="M9" s="1"/>
      <c r="N9" s="1"/>
      <c r="O9" s="1"/>
      <c r="P9" s="1"/>
      <c r="Q9" s="48"/>
      <c r="R9" s="48"/>
      <c r="S9" s="48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232"/>
      <c r="B10" s="53" t="s">
        <v>30</v>
      </c>
      <c r="C10" s="66" t="s">
        <v>23</v>
      </c>
      <c r="D10" s="67">
        <f t="shared" ref="D10:F10" si="2">D7+L10</f>
        <v>2625</v>
      </c>
      <c r="E10" s="68">
        <f t="shared" si="2"/>
        <v>5150</v>
      </c>
      <c r="F10" s="69">
        <f t="shared" si="2"/>
        <v>5150</v>
      </c>
      <c r="G10" s="42">
        <f>D10+150</f>
        <v>2775</v>
      </c>
      <c r="H10" s="42">
        <f t="shared" si="1"/>
        <v>5450</v>
      </c>
      <c r="I10" s="75">
        <f>'ex NEA to AUBNE_AUMEL'!I10+50</f>
        <v>2025</v>
      </c>
      <c r="J10" s="77">
        <f>'ex NEA to AUBNE_AUMEL'!J10+100</f>
        <v>3950</v>
      </c>
      <c r="K10" s="1"/>
      <c r="L10" s="72">
        <v>200</v>
      </c>
      <c r="M10" s="72">
        <v>300</v>
      </c>
      <c r="N10" s="72">
        <v>300</v>
      </c>
      <c r="O10" s="50"/>
      <c r="P10" s="74" t="s">
        <v>31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232"/>
      <c r="B11" s="53" t="s">
        <v>32</v>
      </c>
      <c r="C11" s="66" t="s">
        <v>23</v>
      </c>
      <c r="D11" s="67">
        <f t="shared" ref="D11:F11" si="3">D7+L11</f>
        <v>2625</v>
      </c>
      <c r="E11" s="68">
        <f t="shared" si="3"/>
        <v>5150</v>
      </c>
      <c r="F11" s="69">
        <f t="shared" si="3"/>
        <v>5150</v>
      </c>
      <c r="G11" s="76"/>
      <c r="H11" s="78"/>
      <c r="I11" s="83"/>
      <c r="J11" s="84"/>
      <c r="K11" s="1"/>
      <c r="L11" s="72">
        <v>200</v>
      </c>
      <c r="M11" s="72">
        <v>300</v>
      </c>
      <c r="N11" s="72">
        <v>300</v>
      </c>
      <c r="O11" s="80"/>
      <c r="P11" s="74" t="s">
        <v>31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outlineLevel="1" x14ac:dyDescent="0.25">
      <c r="A12" s="232"/>
      <c r="B12" s="81" t="s">
        <v>33</v>
      </c>
      <c r="C12" s="82" t="s">
        <v>27</v>
      </c>
      <c r="D12" s="67">
        <f t="shared" ref="D12:D15" si="4">$D$8+L12</f>
        <v>2825</v>
      </c>
      <c r="E12" s="68">
        <f t="shared" ref="E12:E15" si="5">$E$8+M12</f>
        <v>5550</v>
      </c>
      <c r="F12" s="69">
        <f t="shared" ref="F12:F21" si="6">E12</f>
        <v>5550</v>
      </c>
      <c r="G12" s="76"/>
      <c r="H12" s="78"/>
      <c r="I12" s="83"/>
      <c r="J12" s="84"/>
      <c r="K12" s="1"/>
      <c r="L12" s="80">
        <v>400</v>
      </c>
      <c r="M12" s="80">
        <v>700</v>
      </c>
      <c r="N12" s="80">
        <v>700</v>
      </c>
      <c r="O12" s="87"/>
      <c r="P12" s="74" t="s">
        <v>34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outlineLevel="1" x14ac:dyDescent="0.25">
      <c r="A13" s="232"/>
      <c r="B13" s="81" t="s">
        <v>35</v>
      </c>
      <c r="C13" s="82" t="s">
        <v>27</v>
      </c>
      <c r="D13" s="67">
        <f t="shared" si="4"/>
        <v>2625</v>
      </c>
      <c r="E13" s="68">
        <f t="shared" si="5"/>
        <v>5150</v>
      </c>
      <c r="F13" s="69">
        <f t="shared" si="6"/>
        <v>5150</v>
      </c>
      <c r="G13" s="76"/>
      <c r="H13" s="78"/>
      <c r="I13" s="83"/>
      <c r="J13" s="84"/>
      <c r="K13" s="1"/>
      <c r="L13" s="72">
        <v>200</v>
      </c>
      <c r="M13" s="72">
        <v>300</v>
      </c>
      <c r="N13" s="72">
        <v>300</v>
      </c>
      <c r="O13" s="87"/>
      <c r="P13" s="74" t="s">
        <v>34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outlineLevel="1" x14ac:dyDescent="0.25">
      <c r="A14" s="232"/>
      <c r="B14" s="81" t="s">
        <v>36</v>
      </c>
      <c r="C14" s="82" t="s">
        <v>27</v>
      </c>
      <c r="D14" s="67">
        <f t="shared" si="4"/>
        <v>2675</v>
      </c>
      <c r="E14" s="68">
        <f t="shared" si="5"/>
        <v>5250</v>
      </c>
      <c r="F14" s="69">
        <f t="shared" si="6"/>
        <v>5250</v>
      </c>
      <c r="G14" s="76"/>
      <c r="H14" s="78"/>
      <c r="I14" s="83"/>
      <c r="J14" s="84"/>
      <c r="K14" s="1"/>
      <c r="L14" s="80">
        <v>250</v>
      </c>
      <c r="M14" s="80">
        <v>400</v>
      </c>
      <c r="N14" s="80">
        <v>400</v>
      </c>
      <c r="O14" s="87"/>
      <c r="P14" s="74" t="s">
        <v>34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outlineLevel="1" x14ac:dyDescent="0.25">
      <c r="A15" s="232"/>
      <c r="B15" s="81" t="s">
        <v>37</v>
      </c>
      <c r="C15" s="82" t="s">
        <v>27</v>
      </c>
      <c r="D15" s="67">
        <f t="shared" si="4"/>
        <v>3625</v>
      </c>
      <c r="E15" s="68">
        <f t="shared" si="5"/>
        <v>6750</v>
      </c>
      <c r="F15" s="69">
        <f t="shared" si="6"/>
        <v>6750</v>
      </c>
      <c r="G15" s="76"/>
      <c r="H15" s="78"/>
      <c r="I15" s="83"/>
      <c r="J15" s="84"/>
      <c r="K15" s="1"/>
      <c r="L15" s="80">
        <v>1200</v>
      </c>
      <c r="M15" s="80">
        <v>1900</v>
      </c>
      <c r="N15" s="80">
        <v>1900</v>
      </c>
      <c r="O15" s="80"/>
      <c r="P15" s="74" t="s">
        <v>34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outlineLevel="1" x14ac:dyDescent="0.25">
      <c r="A16" s="232"/>
      <c r="B16" s="88" t="s">
        <v>38</v>
      </c>
      <c r="C16" s="66" t="s">
        <v>23</v>
      </c>
      <c r="D16" s="89"/>
      <c r="E16" s="90">
        <f>E44+M16</f>
        <v>5900</v>
      </c>
      <c r="F16" s="91">
        <f t="shared" si="6"/>
        <v>5900</v>
      </c>
      <c r="G16" s="76"/>
      <c r="H16" s="78"/>
      <c r="I16" s="83"/>
      <c r="J16" s="84"/>
      <c r="K16" s="1"/>
      <c r="L16" s="80"/>
      <c r="M16" s="80">
        <v>1050</v>
      </c>
      <c r="N16" s="80">
        <v>1050</v>
      </c>
      <c r="O16" s="80"/>
      <c r="P16" s="7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outlineLevel="1" x14ac:dyDescent="0.25">
      <c r="A17" s="232"/>
      <c r="B17" s="81" t="s">
        <v>40</v>
      </c>
      <c r="C17" s="82" t="s">
        <v>27</v>
      </c>
      <c r="D17" s="67">
        <f>$D$8+L17</f>
        <v>2775</v>
      </c>
      <c r="E17" s="68">
        <f>$E$8+M17</f>
        <v>5750</v>
      </c>
      <c r="F17" s="69">
        <f t="shared" si="6"/>
        <v>5750</v>
      </c>
      <c r="G17" s="76"/>
      <c r="H17" s="78"/>
      <c r="I17" s="83"/>
      <c r="J17" s="84"/>
      <c r="K17" s="1"/>
      <c r="L17" s="80">
        <v>350</v>
      </c>
      <c r="M17" s="80">
        <v>900</v>
      </c>
      <c r="N17" s="80">
        <v>900</v>
      </c>
      <c r="O17" s="87"/>
      <c r="P17" s="74" t="s">
        <v>34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outlineLevel="1" x14ac:dyDescent="0.25">
      <c r="A18" s="232"/>
      <c r="B18" s="88" t="s">
        <v>41</v>
      </c>
      <c r="C18" s="66" t="s">
        <v>23</v>
      </c>
      <c r="D18" s="67">
        <f>D44+1000</f>
        <v>3425</v>
      </c>
      <c r="E18" s="68">
        <f>E44+950</f>
        <v>5800</v>
      </c>
      <c r="F18" s="69">
        <f t="shared" si="6"/>
        <v>5800</v>
      </c>
      <c r="G18" s="76"/>
      <c r="H18" s="78"/>
      <c r="I18" s="83"/>
      <c r="J18" s="84"/>
      <c r="K18" s="1"/>
      <c r="L18" s="80"/>
      <c r="M18" s="80"/>
      <c r="N18" s="80"/>
      <c r="O18" s="87"/>
      <c r="P18" s="7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outlineLevel="1" x14ac:dyDescent="0.25">
      <c r="A19" s="232"/>
      <c r="B19" s="88" t="s">
        <v>42</v>
      </c>
      <c r="C19" s="66" t="s">
        <v>23</v>
      </c>
      <c r="D19" s="67">
        <f>D44+900</f>
        <v>3325</v>
      </c>
      <c r="E19" s="68">
        <f>E44+1000</f>
        <v>5850</v>
      </c>
      <c r="F19" s="69">
        <f t="shared" si="6"/>
        <v>5850</v>
      </c>
      <c r="G19" s="76"/>
      <c r="H19" s="78"/>
      <c r="I19" s="83"/>
      <c r="J19" s="84"/>
      <c r="K19" s="1"/>
      <c r="L19" s="80"/>
      <c r="M19" s="80"/>
      <c r="N19" s="80"/>
      <c r="O19" s="87"/>
      <c r="P19" s="7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outlineLevel="1" x14ac:dyDescent="0.25">
      <c r="A20" s="232"/>
      <c r="B20" s="81" t="s">
        <v>43</v>
      </c>
      <c r="C20" s="82" t="s">
        <v>27</v>
      </c>
      <c r="D20" s="67">
        <f t="shared" ref="D20:D21" si="7">$D$8+L20</f>
        <v>2625</v>
      </c>
      <c r="E20" s="68">
        <f t="shared" ref="E20:E21" si="8">$E$8+M20</f>
        <v>5150</v>
      </c>
      <c r="F20" s="69">
        <f t="shared" si="6"/>
        <v>5150</v>
      </c>
      <c r="G20" s="76"/>
      <c r="H20" s="78"/>
      <c r="I20" s="83"/>
      <c r="J20" s="84"/>
      <c r="K20" s="1"/>
      <c r="L20" s="72">
        <v>200</v>
      </c>
      <c r="M20" s="72">
        <v>300</v>
      </c>
      <c r="N20" s="72">
        <v>300</v>
      </c>
      <c r="O20" s="87"/>
      <c r="P20" s="74" t="s">
        <v>34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outlineLevel="1" x14ac:dyDescent="0.25">
      <c r="A21" s="232"/>
      <c r="B21" s="81" t="s">
        <v>44</v>
      </c>
      <c r="C21" s="82" t="s">
        <v>27</v>
      </c>
      <c r="D21" s="67">
        <f t="shared" si="7"/>
        <v>2775</v>
      </c>
      <c r="E21" s="68">
        <f t="shared" si="8"/>
        <v>5400</v>
      </c>
      <c r="F21" s="69">
        <f t="shared" si="6"/>
        <v>5400</v>
      </c>
      <c r="G21" s="76"/>
      <c r="H21" s="78"/>
      <c r="I21" s="83"/>
      <c r="J21" s="84"/>
      <c r="K21" s="1"/>
      <c r="L21" s="92">
        <v>350</v>
      </c>
      <c r="M21" s="80">
        <v>550</v>
      </c>
      <c r="N21" s="80">
        <v>550</v>
      </c>
      <c r="O21" s="80"/>
      <c r="P21" s="74" t="s">
        <v>34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outlineLevel="1" x14ac:dyDescent="0.25">
      <c r="A22" s="232"/>
      <c r="B22" s="88" t="s">
        <v>45</v>
      </c>
      <c r="C22" s="82" t="s">
        <v>27</v>
      </c>
      <c r="D22" s="67">
        <f>D7+100</f>
        <v>2525</v>
      </c>
      <c r="E22" s="68">
        <f t="shared" ref="E22:F22" si="9">E7+150</f>
        <v>5000</v>
      </c>
      <c r="F22" s="69">
        <f t="shared" si="9"/>
        <v>5000</v>
      </c>
      <c r="G22" s="76"/>
      <c r="H22" s="78"/>
      <c r="I22" s="83"/>
      <c r="J22" s="84"/>
      <c r="K22" s="1"/>
      <c r="L22" s="80">
        <v>200</v>
      </c>
      <c r="M22" s="80">
        <v>350</v>
      </c>
      <c r="N22" s="80">
        <v>350</v>
      </c>
      <c r="O22" s="87"/>
      <c r="P22" s="74" t="s">
        <v>31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outlineLevel="1" x14ac:dyDescent="0.25">
      <c r="A23" s="232"/>
      <c r="B23" s="81" t="s">
        <v>46</v>
      </c>
      <c r="C23" s="82" t="s">
        <v>27</v>
      </c>
      <c r="D23" s="67">
        <f>$D$8+L23</f>
        <v>2810</v>
      </c>
      <c r="E23" s="68">
        <f>$E$8+M23</f>
        <v>5500</v>
      </c>
      <c r="F23" s="69">
        <f>E23</f>
        <v>5500</v>
      </c>
      <c r="G23" s="76"/>
      <c r="H23" s="78"/>
      <c r="I23" s="83"/>
      <c r="J23" s="84"/>
      <c r="K23" s="1"/>
      <c r="L23" s="80">
        <v>385</v>
      </c>
      <c r="M23" s="80">
        <v>650</v>
      </c>
      <c r="N23" s="80">
        <v>650</v>
      </c>
      <c r="O23" s="87"/>
      <c r="P23" s="74" t="s">
        <v>34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outlineLevel="1" x14ac:dyDescent="0.25">
      <c r="A24" s="232"/>
      <c r="B24" s="88" t="s">
        <v>47</v>
      </c>
      <c r="C24" s="66" t="s">
        <v>23</v>
      </c>
      <c r="D24" s="68">
        <f>D44+645</f>
        <v>3070</v>
      </c>
      <c r="E24" s="68">
        <f t="shared" ref="E24:F24" si="10">E44+825</f>
        <v>5675</v>
      </c>
      <c r="F24" s="68">
        <f t="shared" si="10"/>
        <v>5675</v>
      </c>
      <c r="G24" s="76"/>
      <c r="H24" s="78"/>
      <c r="I24" s="83"/>
      <c r="J24" s="84"/>
      <c r="K24" s="1"/>
      <c r="L24" s="80"/>
      <c r="M24" s="80"/>
      <c r="N24" s="80"/>
      <c r="O24" s="87"/>
      <c r="P24" s="7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outlineLevel="1" x14ac:dyDescent="0.25">
      <c r="A25" s="232"/>
      <c r="B25" s="88" t="s">
        <v>48</v>
      </c>
      <c r="C25" s="82" t="s">
        <v>27</v>
      </c>
      <c r="D25" s="67">
        <f t="shared" ref="D25:F25" si="11">D7+L25</f>
        <v>2675</v>
      </c>
      <c r="E25" s="68">
        <f t="shared" si="11"/>
        <v>5250</v>
      </c>
      <c r="F25" s="69">
        <f t="shared" si="11"/>
        <v>5250</v>
      </c>
      <c r="G25" s="76"/>
      <c r="H25" s="78"/>
      <c r="I25" s="83"/>
      <c r="J25" s="84"/>
      <c r="K25" s="1"/>
      <c r="L25" s="80">
        <v>250</v>
      </c>
      <c r="M25" s="80">
        <v>400</v>
      </c>
      <c r="N25" s="80">
        <v>400</v>
      </c>
      <c r="O25" s="80"/>
      <c r="P25" s="74" t="s">
        <v>34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outlineLevel="1" x14ac:dyDescent="0.25">
      <c r="A26" s="232"/>
      <c r="B26" s="81" t="s">
        <v>49</v>
      </c>
      <c r="C26" s="82" t="s">
        <v>27</v>
      </c>
      <c r="D26" s="67">
        <f>$D$8+L26</f>
        <v>2675</v>
      </c>
      <c r="E26" s="68">
        <f>$E$8+M26</f>
        <v>5250</v>
      </c>
      <c r="F26" s="69">
        <f t="shared" ref="F26:F44" si="12">E26</f>
        <v>5250</v>
      </c>
      <c r="G26" s="76"/>
      <c r="H26" s="78"/>
      <c r="I26" s="83"/>
      <c r="J26" s="84"/>
      <c r="K26" s="1"/>
      <c r="L26" s="80">
        <v>250</v>
      </c>
      <c r="M26" s="80">
        <v>400</v>
      </c>
      <c r="N26" s="80">
        <v>400</v>
      </c>
      <c r="O26" s="87"/>
      <c r="P26" s="74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outlineLevel="1" x14ac:dyDescent="0.25">
      <c r="A27" s="232"/>
      <c r="B27" s="81" t="s">
        <v>50</v>
      </c>
      <c r="C27" s="66" t="s">
        <v>23</v>
      </c>
      <c r="D27" s="85">
        <f>$D$7+L27</f>
        <v>2625</v>
      </c>
      <c r="E27" s="86">
        <f>$E$7+M27</f>
        <v>5150</v>
      </c>
      <c r="F27" s="69">
        <f t="shared" si="12"/>
        <v>5150</v>
      </c>
      <c r="G27" s="76"/>
      <c r="H27" s="78"/>
      <c r="I27" s="83"/>
      <c r="J27" s="84"/>
      <c r="K27" s="1"/>
      <c r="L27" s="72">
        <v>200</v>
      </c>
      <c r="M27" s="72">
        <v>300</v>
      </c>
      <c r="N27" s="72">
        <v>300</v>
      </c>
      <c r="O27" s="80"/>
      <c r="P27" s="74" t="s">
        <v>31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outlineLevel="1" x14ac:dyDescent="0.25">
      <c r="A28" s="232"/>
      <c r="B28" s="81" t="s">
        <v>51</v>
      </c>
      <c r="C28" s="82" t="s">
        <v>27</v>
      </c>
      <c r="D28" s="85">
        <f t="shared" ref="D28:D29" si="13">$D$8+L28</f>
        <v>2625</v>
      </c>
      <c r="E28" s="86">
        <f t="shared" ref="E28:E29" si="14">$E$8+M28</f>
        <v>5150</v>
      </c>
      <c r="F28" s="69">
        <f t="shared" si="12"/>
        <v>5150</v>
      </c>
      <c r="G28" s="76"/>
      <c r="H28" s="78"/>
      <c r="I28" s="83"/>
      <c r="J28" s="84"/>
      <c r="K28" s="1"/>
      <c r="L28" s="72">
        <v>200</v>
      </c>
      <c r="M28" s="72">
        <v>300</v>
      </c>
      <c r="N28" s="72">
        <v>300</v>
      </c>
      <c r="O28" s="80"/>
      <c r="P28" s="74" t="s">
        <v>34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outlineLevel="1" x14ac:dyDescent="0.25">
      <c r="A29" s="232"/>
      <c r="B29" s="81" t="s">
        <v>52</v>
      </c>
      <c r="C29" s="82" t="s">
        <v>27</v>
      </c>
      <c r="D29" s="85">
        <f t="shared" si="13"/>
        <v>2675</v>
      </c>
      <c r="E29" s="86">
        <f t="shared" si="14"/>
        <v>5250</v>
      </c>
      <c r="F29" s="69">
        <f t="shared" si="12"/>
        <v>5250</v>
      </c>
      <c r="G29" s="76"/>
      <c r="H29" s="78"/>
      <c r="I29" s="83"/>
      <c r="J29" s="84"/>
      <c r="K29" s="1"/>
      <c r="L29" s="80">
        <v>250</v>
      </c>
      <c r="M29" s="80">
        <v>400</v>
      </c>
      <c r="N29" s="80">
        <v>400</v>
      </c>
      <c r="O29" s="80"/>
      <c r="P29" s="74" t="s">
        <v>34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outlineLevel="1" x14ac:dyDescent="0.25">
      <c r="A30" s="232"/>
      <c r="B30" s="81" t="s">
        <v>53</v>
      </c>
      <c r="C30" s="66" t="s">
        <v>23</v>
      </c>
      <c r="D30" s="85">
        <f>$D$9+L30</f>
        <v>2625</v>
      </c>
      <c r="E30" s="86">
        <f>$E$9+M30</f>
        <v>5150</v>
      </c>
      <c r="F30" s="69">
        <f t="shared" si="12"/>
        <v>5150</v>
      </c>
      <c r="G30" s="76"/>
      <c r="H30" s="78"/>
      <c r="I30" s="83"/>
      <c r="J30" s="84"/>
      <c r="K30" s="1"/>
      <c r="L30" s="72">
        <v>200</v>
      </c>
      <c r="M30" s="72">
        <v>300</v>
      </c>
      <c r="N30" s="72">
        <v>300</v>
      </c>
      <c r="O30" s="80"/>
      <c r="P30" s="74" t="s">
        <v>54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outlineLevel="1" x14ac:dyDescent="0.25">
      <c r="A31" s="232"/>
      <c r="B31" s="81" t="s">
        <v>55</v>
      </c>
      <c r="C31" s="82" t="s">
        <v>27</v>
      </c>
      <c r="D31" s="85">
        <f t="shared" ref="D31:D33" si="15">$D$8+L31</f>
        <v>2725</v>
      </c>
      <c r="E31" s="86">
        <f t="shared" ref="E31:E33" si="16">$E$8+M31</f>
        <v>5425</v>
      </c>
      <c r="F31" s="69">
        <f t="shared" si="12"/>
        <v>5425</v>
      </c>
      <c r="G31" s="76"/>
      <c r="H31" s="78"/>
      <c r="I31" s="83"/>
      <c r="J31" s="84"/>
      <c r="K31" s="1"/>
      <c r="L31" s="80">
        <v>300</v>
      </c>
      <c r="M31" s="80">
        <v>575</v>
      </c>
      <c r="N31" s="80">
        <v>575</v>
      </c>
      <c r="O31" s="87"/>
      <c r="P31" s="74" t="s">
        <v>34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outlineLevel="1" x14ac:dyDescent="0.25">
      <c r="A32" s="232"/>
      <c r="B32" s="81" t="s">
        <v>56</v>
      </c>
      <c r="C32" s="82" t="s">
        <v>27</v>
      </c>
      <c r="D32" s="85">
        <f t="shared" si="15"/>
        <v>2725</v>
      </c>
      <c r="E32" s="86">
        <f t="shared" si="16"/>
        <v>5225</v>
      </c>
      <c r="F32" s="69">
        <f t="shared" si="12"/>
        <v>5225</v>
      </c>
      <c r="G32" s="76"/>
      <c r="H32" s="78"/>
      <c r="I32" s="83"/>
      <c r="J32" s="84"/>
      <c r="K32" s="1"/>
      <c r="L32" s="80">
        <v>300</v>
      </c>
      <c r="M32" s="80">
        <v>375</v>
      </c>
      <c r="N32" s="80">
        <v>375</v>
      </c>
      <c r="O32" s="80"/>
      <c r="P32" s="74" t="s">
        <v>34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outlineLevel="1" x14ac:dyDescent="0.25">
      <c r="A33" s="232"/>
      <c r="B33" s="81" t="s">
        <v>57</v>
      </c>
      <c r="C33" s="82" t="s">
        <v>27</v>
      </c>
      <c r="D33" s="85">
        <f t="shared" si="15"/>
        <v>2700</v>
      </c>
      <c r="E33" s="86">
        <f t="shared" si="16"/>
        <v>5225</v>
      </c>
      <c r="F33" s="69">
        <f t="shared" si="12"/>
        <v>5225</v>
      </c>
      <c r="G33" s="76"/>
      <c r="H33" s="78"/>
      <c r="I33" s="83"/>
      <c r="J33" s="84"/>
      <c r="K33" s="1"/>
      <c r="L33" s="80">
        <v>275</v>
      </c>
      <c r="M33" s="80">
        <v>375</v>
      </c>
      <c r="N33" s="80">
        <v>375</v>
      </c>
      <c r="O33" s="80"/>
      <c r="P33" s="74" t="s">
        <v>34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outlineLevel="1" x14ac:dyDescent="0.25">
      <c r="A34" s="232"/>
      <c r="B34" s="81" t="s">
        <v>58</v>
      </c>
      <c r="C34" s="66" t="s">
        <v>23</v>
      </c>
      <c r="D34" s="85">
        <f>$D$7+L34</f>
        <v>2625</v>
      </c>
      <c r="E34" s="86">
        <f>$E$7+M34</f>
        <v>5150</v>
      </c>
      <c r="F34" s="69">
        <f t="shared" si="12"/>
        <v>5150</v>
      </c>
      <c r="G34" s="76"/>
      <c r="H34" s="78"/>
      <c r="I34" s="83"/>
      <c r="J34" s="84"/>
      <c r="K34" s="1"/>
      <c r="L34" s="72">
        <v>200</v>
      </c>
      <c r="M34" s="72">
        <v>300</v>
      </c>
      <c r="N34" s="72">
        <v>300</v>
      </c>
      <c r="O34" s="87"/>
      <c r="P34" s="74" t="s">
        <v>31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1" x14ac:dyDescent="0.25">
      <c r="A35" s="232"/>
      <c r="B35" s="81" t="s">
        <v>59</v>
      </c>
      <c r="C35" s="82" t="s">
        <v>27</v>
      </c>
      <c r="D35" s="85">
        <f t="shared" ref="D35:D37" si="17">$D$8+L35</f>
        <v>2700</v>
      </c>
      <c r="E35" s="86">
        <f t="shared" ref="E35:E37" si="18">$E$8+M35</f>
        <v>5525</v>
      </c>
      <c r="F35" s="69">
        <f t="shared" si="12"/>
        <v>5525</v>
      </c>
      <c r="G35" s="76"/>
      <c r="H35" s="78"/>
      <c r="I35" s="83"/>
      <c r="J35" s="84"/>
      <c r="K35" s="1"/>
      <c r="L35" s="80">
        <v>275</v>
      </c>
      <c r="M35" s="80">
        <v>675</v>
      </c>
      <c r="N35" s="80">
        <v>675</v>
      </c>
      <c r="O35" s="87"/>
      <c r="P35" s="74" t="s">
        <v>34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outlineLevel="1" x14ac:dyDescent="0.25">
      <c r="A36" s="232"/>
      <c r="B36" s="81" t="s">
        <v>60</v>
      </c>
      <c r="C36" s="82" t="s">
        <v>27</v>
      </c>
      <c r="D36" s="85">
        <f t="shared" si="17"/>
        <v>2700</v>
      </c>
      <c r="E36" s="86">
        <f t="shared" si="18"/>
        <v>5225</v>
      </c>
      <c r="F36" s="69">
        <f t="shared" si="12"/>
        <v>5225</v>
      </c>
      <c r="G36" s="76"/>
      <c r="H36" s="78"/>
      <c r="I36" s="83"/>
      <c r="J36" s="84"/>
      <c r="K36" s="1"/>
      <c r="L36" s="80">
        <v>275</v>
      </c>
      <c r="M36" s="80">
        <v>375</v>
      </c>
      <c r="N36" s="80">
        <v>375</v>
      </c>
      <c r="O36" s="80"/>
      <c r="P36" s="74" t="s">
        <v>34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outlineLevel="1" x14ac:dyDescent="0.25">
      <c r="A37" s="232"/>
      <c r="B37" s="81" t="s">
        <v>61</v>
      </c>
      <c r="C37" s="82" t="s">
        <v>27</v>
      </c>
      <c r="D37" s="85">
        <f t="shared" si="17"/>
        <v>2675</v>
      </c>
      <c r="E37" s="86">
        <f t="shared" si="18"/>
        <v>5200</v>
      </c>
      <c r="F37" s="69">
        <f t="shared" si="12"/>
        <v>5200</v>
      </c>
      <c r="G37" s="76"/>
      <c r="H37" s="78"/>
      <c r="I37" s="83"/>
      <c r="J37" s="84"/>
      <c r="K37" s="1"/>
      <c r="L37" s="80">
        <v>250</v>
      </c>
      <c r="M37" s="80">
        <v>350</v>
      </c>
      <c r="N37" s="80">
        <v>350</v>
      </c>
      <c r="O37" s="87"/>
      <c r="P37" s="74" t="s">
        <v>34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outlineLevel="1" x14ac:dyDescent="0.25">
      <c r="A38" s="233"/>
      <c r="B38" s="96" t="s">
        <v>62</v>
      </c>
      <c r="C38" s="97" t="s">
        <v>23</v>
      </c>
      <c r="D38" s="98">
        <f>$D$9+L38</f>
        <v>2500</v>
      </c>
      <c r="E38" s="99">
        <f>$E$9+M38</f>
        <v>4975</v>
      </c>
      <c r="F38" s="100">
        <f t="shared" si="12"/>
        <v>4975</v>
      </c>
      <c r="G38" s="101"/>
      <c r="H38" s="102"/>
      <c r="I38" s="83"/>
      <c r="J38" s="84"/>
      <c r="K38" s="1"/>
      <c r="L38" s="80">
        <v>75</v>
      </c>
      <c r="M38" s="80">
        <v>125</v>
      </c>
      <c r="N38" s="80">
        <v>125</v>
      </c>
      <c r="O38" s="80"/>
      <c r="P38" s="74" t="s">
        <v>54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234" t="s">
        <v>63</v>
      </c>
      <c r="B39" s="30" t="s">
        <v>64</v>
      </c>
      <c r="C39" s="104" t="s">
        <v>23</v>
      </c>
      <c r="D39" s="40">
        <f>'ex NEA to AUBNE_AUMEL'!D39</f>
        <v>2575</v>
      </c>
      <c r="E39" s="59">
        <f>'ex NEA to AUBNE_AUMEL'!E39</f>
        <v>5050</v>
      </c>
      <c r="F39" s="43">
        <f t="shared" si="12"/>
        <v>5050</v>
      </c>
      <c r="G39" s="75">
        <f>D39+150</f>
        <v>2725</v>
      </c>
      <c r="H39" s="42">
        <f>E39+300</f>
        <v>5350</v>
      </c>
      <c r="I39" s="63">
        <f>'ex NEA to AUBNE_AUMEL'!I39+50</f>
        <v>1975</v>
      </c>
      <c r="J39" s="64">
        <f>'ex NEA to AUBNE_AUMEL'!J39+100</f>
        <v>3850</v>
      </c>
      <c r="K39" s="1"/>
      <c r="L39" s="1">
        <v>150</v>
      </c>
      <c r="M39" s="1">
        <v>200</v>
      </c>
      <c r="N39" s="1">
        <v>200</v>
      </c>
      <c r="O39" s="1"/>
      <c r="P39" s="1"/>
      <c r="Q39" s="48"/>
      <c r="R39" s="48"/>
      <c r="S39" s="48"/>
      <c r="T39" s="1"/>
      <c r="U39" s="1"/>
      <c r="V39" s="1"/>
      <c r="W39" s="1"/>
      <c r="X39" s="1"/>
      <c r="Y39" s="1"/>
      <c r="Z39" s="1"/>
    </row>
    <row r="40" spans="1:26" ht="14.25" customHeight="1" outlineLevel="1" x14ac:dyDescent="0.25">
      <c r="A40" s="232"/>
      <c r="B40" s="81" t="s">
        <v>65</v>
      </c>
      <c r="C40" s="105" t="s">
        <v>23</v>
      </c>
      <c r="D40" s="106">
        <f t="shared" ref="D40:D42" si="19">$D$39+L40</f>
        <v>2675</v>
      </c>
      <c r="E40" s="107">
        <f t="shared" ref="E40:E42" si="20">$E$39+M40</f>
        <v>5250</v>
      </c>
      <c r="F40" s="108">
        <f t="shared" si="12"/>
        <v>5250</v>
      </c>
      <c r="G40" s="110"/>
      <c r="H40" s="111"/>
      <c r="I40" s="83"/>
      <c r="J40" s="84"/>
      <c r="K40" s="1"/>
      <c r="L40" s="80">
        <v>100</v>
      </c>
      <c r="M40" s="80">
        <v>200</v>
      </c>
      <c r="N40" s="80">
        <v>200</v>
      </c>
      <c r="O40" s="80"/>
      <c r="P40" s="7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outlineLevel="1" x14ac:dyDescent="0.25">
      <c r="A41" s="232"/>
      <c r="B41" s="81" t="s">
        <v>66</v>
      </c>
      <c r="C41" s="105" t="s">
        <v>23</v>
      </c>
      <c r="D41" s="106">
        <f t="shared" si="19"/>
        <v>2825</v>
      </c>
      <c r="E41" s="107">
        <f t="shared" si="20"/>
        <v>5550</v>
      </c>
      <c r="F41" s="108">
        <f t="shared" si="12"/>
        <v>5550</v>
      </c>
      <c r="G41" s="110"/>
      <c r="H41" s="111"/>
      <c r="I41" s="83"/>
      <c r="J41" s="84"/>
      <c r="K41" s="1"/>
      <c r="L41" s="80">
        <v>250</v>
      </c>
      <c r="M41" s="80">
        <v>500</v>
      </c>
      <c r="N41" s="80">
        <v>500</v>
      </c>
      <c r="O41" s="80"/>
      <c r="P41" s="7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outlineLevel="1" x14ac:dyDescent="0.25">
      <c r="A42" s="233"/>
      <c r="B42" s="96" t="s">
        <v>67</v>
      </c>
      <c r="C42" s="97" t="s">
        <v>23</v>
      </c>
      <c r="D42" s="98">
        <f t="shared" si="19"/>
        <v>2825</v>
      </c>
      <c r="E42" s="99">
        <f t="shared" si="20"/>
        <v>5550</v>
      </c>
      <c r="F42" s="100">
        <f t="shared" si="12"/>
        <v>5550</v>
      </c>
      <c r="G42" s="101"/>
      <c r="H42" s="102"/>
      <c r="I42" s="83"/>
      <c r="J42" s="84"/>
      <c r="K42" s="1"/>
      <c r="L42" s="80">
        <v>250</v>
      </c>
      <c r="M42" s="80">
        <v>500</v>
      </c>
      <c r="N42" s="80">
        <v>500</v>
      </c>
      <c r="O42" s="80"/>
      <c r="P42" s="74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234" t="s">
        <v>68</v>
      </c>
      <c r="B43" s="54" t="s">
        <v>69</v>
      </c>
      <c r="C43" s="56" t="s">
        <v>70</v>
      </c>
      <c r="D43" s="40">
        <f>'ex NEA to AUBNE_AUMEL'!D43</f>
        <v>2425</v>
      </c>
      <c r="E43" s="59">
        <f>'ex NEA to AUBNE_AUMEL'!E43</f>
        <v>4850</v>
      </c>
      <c r="F43" s="42">
        <f t="shared" si="12"/>
        <v>4850</v>
      </c>
      <c r="G43" s="42">
        <f t="shared" ref="G43:G44" si="21">D43+150</f>
        <v>2575</v>
      </c>
      <c r="H43" s="42">
        <f t="shared" ref="H43:H44" si="22">E43+300</f>
        <v>5150</v>
      </c>
      <c r="I43" s="62">
        <f>'ex NEA to AUBNE_AUMEL'!I43+50</f>
        <v>1825</v>
      </c>
      <c r="J43" s="64">
        <f>'ex NEA to AUBNE_AUMEL'!J43+100</f>
        <v>3650</v>
      </c>
      <c r="K43" s="1"/>
      <c r="L43" s="1"/>
      <c r="M43" s="1"/>
      <c r="N43" s="1"/>
      <c r="O43" s="1"/>
      <c r="P43" s="1"/>
      <c r="Q43" s="48"/>
      <c r="R43" s="48"/>
      <c r="S43" s="48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232"/>
      <c r="B44" s="53" t="s">
        <v>71</v>
      </c>
      <c r="C44" s="56" t="s">
        <v>23</v>
      </c>
      <c r="D44" s="40">
        <f>'ex NEA to AUBNE_AUMEL'!D44</f>
        <v>2425</v>
      </c>
      <c r="E44" s="59">
        <f>'ex NEA to AUBNE_AUMEL'!E44</f>
        <v>4850</v>
      </c>
      <c r="F44" s="42">
        <f t="shared" si="12"/>
        <v>4850</v>
      </c>
      <c r="G44" s="42">
        <f t="shared" si="21"/>
        <v>2575</v>
      </c>
      <c r="H44" s="42">
        <f t="shared" si="22"/>
        <v>5150</v>
      </c>
      <c r="I44" s="62">
        <f>'ex NEA to AUBNE_AUMEL'!I44+50</f>
        <v>1825</v>
      </c>
      <c r="J44" s="64">
        <f>'ex NEA to AUBNE_AUMEL'!J44+100</f>
        <v>3650</v>
      </c>
      <c r="K44" s="1"/>
      <c r="L44" s="236"/>
      <c r="M44" s="237"/>
      <c r="N44" s="237"/>
      <c r="O44" s="1"/>
      <c r="P44" s="1"/>
      <c r="Q44" s="48"/>
      <c r="R44" s="48"/>
      <c r="S44" s="48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232"/>
      <c r="B45" s="53" t="s">
        <v>72</v>
      </c>
      <c r="C45" s="117" t="s">
        <v>70</v>
      </c>
      <c r="D45" s="67">
        <f>D44+460</f>
        <v>2885</v>
      </c>
      <c r="E45" s="68">
        <f t="shared" ref="E45:F45" si="23">E44+600</f>
        <v>5450</v>
      </c>
      <c r="F45" s="68">
        <f t="shared" si="23"/>
        <v>5450</v>
      </c>
      <c r="G45" s="85"/>
      <c r="H45" s="118"/>
      <c r="I45" s="119"/>
      <c r="J45" s="120"/>
      <c r="K45" s="1"/>
      <c r="L45" s="116"/>
      <c r="M45" s="116"/>
      <c r="N45" s="116"/>
      <c r="O45" s="1"/>
      <c r="P45" s="1"/>
      <c r="Q45" s="48"/>
      <c r="R45" s="48"/>
      <c r="S45" s="48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232"/>
      <c r="B46" s="53" t="s">
        <v>73</v>
      </c>
      <c r="C46" s="117" t="s">
        <v>70</v>
      </c>
      <c r="D46" s="67">
        <f>D44+500</f>
        <v>2925</v>
      </c>
      <c r="E46" s="68">
        <f t="shared" ref="E46:F46" si="24">E44+650</f>
        <v>5500</v>
      </c>
      <c r="F46" s="121">
        <f t="shared" si="24"/>
        <v>5500</v>
      </c>
      <c r="G46" s="85"/>
      <c r="H46" s="111"/>
      <c r="I46" s="119"/>
      <c r="J46" s="120"/>
      <c r="K46" s="1"/>
      <c r="L46" s="116"/>
      <c r="M46" s="116"/>
      <c r="N46" s="116"/>
      <c r="O46" s="1"/>
      <c r="P46" s="1"/>
      <c r="Q46" s="48"/>
      <c r="R46" s="48"/>
      <c r="S46" s="48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232"/>
      <c r="B47" s="53" t="s">
        <v>74</v>
      </c>
      <c r="C47" s="66" t="s">
        <v>75</v>
      </c>
      <c r="D47" s="67">
        <f t="shared" ref="D47:F47" si="25">D43+L47</f>
        <v>2525</v>
      </c>
      <c r="E47" s="68">
        <f t="shared" si="25"/>
        <v>5050</v>
      </c>
      <c r="F47" s="69">
        <f t="shared" si="25"/>
        <v>5050</v>
      </c>
      <c r="G47" s="85"/>
      <c r="H47" s="111"/>
      <c r="I47" s="122"/>
      <c r="J47" s="123"/>
      <c r="K47" s="1"/>
      <c r="L47" s="72">
        <v>100</v>
      </c>
      <c r="M47" s="72">
        <v>200</v>
      </c>
      <c r="N47" s="72">
        <v>200</v>
      </c>
      <c r="O47" s="1"/>
      <c r="P47" s="74" t="s">
        <v>76</v>
      </c>
      <c r="Q47" s="48"/>
      <c r="R47" s="48"/>
      <c r="S47" s="48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232"/>
      <c r="B48" s="88" t="s">
        <v>77</v>
      </c>
      <c r="C48" s="105" t="s">
        <v>75</v>
      </c>
      <c r="D48" s="67">
        <f t="shared" ref="D48:F48" si="26">D43+L48</f>
        <v>2625</v>
      </c>
      <c r="E48" s="68">
        <f t="shared" si="26"/>
        <v>5150</v>
      </c>
      <c r="F48" s="69">
        <f t="shared" si="26"/>
        <v>5150</v>
      </c>
      <c r="G48" s="110"/>
      <c r="H48" s="111"/>
      <c r="I48" s="124"/>
      <c r="J48" s="125"/>
      <c r="K48" s="1"/>
      <c r="L48" s="72">
        <v>200</v>
      </c>
      <c r="M48" s="72">
        <v>300</v>
      </c>
      <c r="N48" s="72">
        <v>300</v>
      </c>
      <c r="O48" s="1"/>
      <c r="P48" s="74" t="s">
        <v>76</v>
      </c>
      <c r="Q48" s="48"/>
      <c r="R48" s="48"/>
      <c r="S48" s="48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235"/>
      <c r="B49" s="81" t="s">
        <v>78</v>
      </c>
      <c r="C49" s="105" t="s">
        <v>70</v>
      </c>
      <c r="D49" s="106">
        <f>$D$43+L49</f>
        <v>2725</v>
      </c>
      <c r="E49" s="107">
        <f>$E$43+M49</f>
        <v>5350</v>
      </c>
      <c r="F49" s="108">
        <f t="shared" ref="F49:F54" si="27">E49</f>
        <v>5350</v>
      </c>
      <c r="G49" s="110"/>
      <c r="H49" s="111"/>
      <c r="I49" s="124"/>
      <c r="J49" s="125"/>
      <c r="K49" s="1"/>
      <c r="L49" s="72">
        <v>300</v>
      </c>
      <c r="M49" s="72">
        <v>500</v>
      </c>
      <c r="N49" s="72">
        <v>500</v>
      </c>
      <c r="O49" s="1"/>
      <c r="P49" s="74" t="s">
        <v>76</v>
      </c>
      <c r="Q49" s="48"/>
      <c r="R49" s="48"/>
      <c r="S49" s="48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26" t="s">
        <v>79</v>
      </c>
      <c r="B50" s="127" t="s">
        <v>80</v>
      </c>
      <c r="C50" s="128" t="s">
        <v>23</v>
      </c>
      <c r="D50" s="129">
        <f>'ex NEA to AUBNE_AUMEL'!D50</f>
        <v>2325</v>
      </c>
      <c r="E50" s="130">
        <f>'ex NEA to AUBNE_AUMEL'!E50</f>
        <v>4650</v>
      </c>
      <c r="F50" s="131">
        <f t="shared" si="27"/>
        <v>4650</v>
      </c>
      <c r="G50" s="132">
        <f t="shared" ref="G50:G54" si="28">D50+150</f>
        <v>2475</v>
      </c>
      <c r="H50" s="131">
        <f t="shared" ref="H50:H54" si="29">E50+300</f>
        <v>4950</v>
      </c>
      <c r="I50" s="129">
        <f>'ex NEA to AUBNE_AUMEL'!I50+50</f>
        <v>1725</v>
      </c>
      <c r="J50" s="133">
        <f>'ex NEA to AUBNE_AUMEL'!J50+100</f>
        <v>3450</v>
      </c>
      <c r="K50" s="1"/>
      <c r="L50" s="1"/>
      <c r="M50" s="1"/>
      <c r="N50" s="1"/>
      <c r="O50" s="1"/>
      <c r="P50" s="1"/>
      <c r="Q50" s="48"/>
      <c r="R50" s="48"/>
      <c r="S50" s="48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238" t="s">
        <v>81</v>
      </c>
      <c r="B51" s="114" t="s">
        <v>82</v>
      </c>
      <c r="C51" s="115" t="str">
        <f>'ex NEA to AUBNE_AUMEL'!C51</f>
        <v>AUN</v>
      </c>
      <c r="D51" s="63">
        <f>'ex NEA to AUBNE_AUMEL'!D51</f>
        <v>2425</v>
      </c>
      <c r="E51" s="135">
        <f>'ex NEA to AUBNE_AUMEL'!E51</f>
        <v>4850</v>
      </c>
      <c r="F51" s="137">
        <f t="shared" si="27"/>
        <v>4850</v>
      </c>
      <c r="G51" s="42">
        <f t="shared" si="28"/>
        <v>2575</v>
      </c>
      <c r="H51" s="137">
        <f t="shared" si="29"/>
        <v>5150</v>
      </c>
      <c r="I51" s="63">
        <f>'ex NEA to AUBNE_AUMEL'!I51+50</f>
        <v>1825</v>
      </c>
      <c r="J51" s="64">
        <f>'ex NEA to AUBNE_AUMEL'!J51+100</f>
        <v>3650</v>
      </c>
      <c r="K51" s="1"/>
      <c r="L51" s="1"/>
      <c r="M51" s="1"/>
      <c r="N51" s="1"/>
      <c r="O51" s="1"/>
      <c r="P51" s="1"/>
      <c r="Q51" s="48"/>
      <c r="R51" s="48"/>
      <c r="S51" s="48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232"/>
      <c r="B52" s="114" t="s">
        <v>83</v>
      </c>
      <c r="C52" s="115" t="str">
        <f>'ex NEA to AUBNE_AUMEL'!C52</f>
        <v>AUN</v>
      </c>
      <c r="D52" s="63">
        <f>'ex NEA to AUBNE_AUMEL'!D52</f>
        <v>2425</v>
      </c>
      <c r="E52" s="135">
        <f t="shared" ref="E52:E54" si="30">$E$51+M52</f>
        <v>4850</v>
      </c>
      <c r="F52" s="137">
        <f t="shared" si="27"/>
        <v>4850</v>
      </c>
      <c r="G52" s="42">
        <f t="shared" si="28"/>
        <v>2575</v>
      </c>
      <c r="H52" s="137">
        <f t="shared" si="29"/>
        <v>5150</v>
      </c>
      <c r="I52" s="63">
        <f>'ex NEA to AUBNE_AUMEL'!I52+50</f>
        <v>1825</v>
      </c>
      <c r="J52" s="64">
        <f>'ex NEA to AUBNE_AUMEL'!J52+100</f>
        <v>3650</v>
      </c>
      <c r="K52" s="1"/>
      <c r="L52" s="1"/>
      <c r="M52" s="1"/>
      <c r="N52" s="1"/>
      <c r="O52" s="1"/>
      <c r="P52" s="74" t="s">
        <v>84</v>
      </c>
      <c r="Q52" s="1"/>
      <c r="R52" s="48"/>
      <c r="S52" s="48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232"/>
      <c r="B53" s="144" t="s">
        <v>85</v>
      </c>
      <c r="C53" s="146" t="str">
        <f>'ex NEA to AUBNE_AUMEL'!C53</f>
        <v>AUN</v>
      </c>
      <c r="D53" s="147">
        <f t="shared" ref="D53:D54" si="31">$D$51+L53</f>
        <v>2625</v>
      </c>
      <c r="E53" s="148">
        <f t="shared" si="30"/>
        <v>5100</v>
      </c>
      <c r="F53" s="149">
        <f t="shared" si="27"/>
        <v>5100</v>
      </c>
      <c r="G53" s="147">
        <f t="shared" si="28"/>
        <v>2775</v>
      </c>
      <c r="H53" s="149">
        <f t="shared" si="29"/>
        <v>5400</v>
      </c>
      <c r="I53" s="40"/>
      <c r="J53" s="42"/>
      <c r="K53" s="1"/>
      <c r="L53" s="1">
        <v>200</v>
      </c>
      <c r="M53" s="1">
        <v>250</v>
      </c>
      <c r="N53" s="1">
        <v>250</v>
      </c>
      <c r="O53" s="1"/>
      <c r="P53" s="74" t="s">
        <v>84</v>
      </c>
      <c r="Q53" s="1"/>
      <c r="R53" s="48"/>
      <c r="S53" s="48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233"/>
      <c r="B54" s="150" t="s">
        <v>86</v>
      </c>
      <c r="C54" s="146" t="str">
        <f>'ex NEA to AUBNE_AUMEL'!C54</f>
        <v>AUN</v>
      </c>
      <c r="D54" s="151">
        <f t="shared" si="31"/>
        <v>2625</v>
      </c>
      <c r="E54" s="152">
        <f t="shared" si="30"/>
        <v>5100</v>
      </c>
      <c r="F54" s="153">
        <f t="shared" si="27"/>
        <v>5100</v>
      </c>
      <c r="G54" s="151">
        <f t="shared" si="28"/>
        <v>2775</v>
      </c>
      <c r="H54" s="153">
        <f t="shared" si="29"/>
        <v>5400</v>
      </c>
      <c r="I54" s="154"/>
      <c r="J54" s="155"/>
      <c r="K54" s="1"/>
      <c r="L54" s="1">
        <v>200</v>
      </c>
      <c r="M54" s="1">
        <v>250</v>
      </c>
      <c r="N54" s="1">
        <v>250</v>
      </c>
      <c r="O54" s="1"/>
      <c r="P54" s="74" t="s">
        <v>84</v>
      </c>
      <c r="Q54" s="1"/>
      <c r="R54" s="48"/>
      <c r="S54" s="48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72" t="s">
        <v>87</v>
      </c>
      <c r="B56" s="158" t="s">
        <v>88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72" t="s">
        <v>89</v>
      </c>
      <c r="B57" s="72" t="s">
        <v>90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239" t="s">
        <v>91</v>
      </c>
      <c r="B59" s="240"/>
      <c r="C59" s="240"/>
      <c r="D59" s="240"/>
      <c r="E59" s="240"/>
      <c r="F59" s="240"/>
      <c r="G59" s="240"/>
      <c r="H59" s="240"/>
      <c r="I59" s="240"/>
      <c r="J59" s="2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64"/>
      <c r="B60" s="165"/>
      <c r="C60" s="165"/>
      <c r="D60" s="166" t="s">
        <v>11</v>
      </c>
      <c r="E60" s="166" t="s">
        <v>12</v>
      </c>
      <c r="F60" s="167" t="s">
        <v>13</v>
      </c>
      <c r="G60" s="168" t="s">
        <v>92</v>
      </c>
      <c r="H60" s="166" t="s">
        <v>93</v>
      </c>
      <c r="I60" s="166" t="s">
        <v>16</v>
      </c>
      <c r="J60" s="169" t="s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hidden="1" customHeight="1" x14ac:dyDescent="0.25">
      <c r="A61" s="170" t="s">
        <v>94</v>
      </c>
      <c r="B61" s="242" t="s">
        <v>95</v>
      </c>
      <c r="C61" s="210"/>
      <c r="D61" s="171" t="str">
        <f>'ex NEA to AUBNE_AUMEL'!D61</f>
        <v>USD301</v>
      </c>
      <c r="E61" s="171" t="str">
        <f>'ex NEA to AUBNE_AUMEL'!E61</f>
        <v>USD602</v>
      </c>
      <c r="F61" s="171" t="str">
        <f>'ex NEA to AUBNE_AUMEL'!F61</f>
        <v>USD602</v>
      </c>
      <c r="G61" s="171" t="str">
        <f>'ex NEA to AUBNE_AUMEL'!G61</f>
        <v>USD403</v>
      </c>
      <c r="H61" s="171" t="str">
        <f>'ex NEA to AUBNE_AUMEL'!H61</f>
        <v>USD806</v>
      </c>
      <c r="I61" s="171" t="str">
        <f>'ex NEA to AUBNE_AUMEL'!I61</f>
        <v>USD301</v>
      </c>
      <c r="J61" s="171" t="str">
        <f>'ex NEA to AUBNE_AUMEL'!J61</f>
        <v>USD602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70" t="s">
        <v>94</v>
      </c>
      <c r="B62" s="242" t="s">
        <v>95</v>
      </c>
      <c r="C62" s="210"/>
      <c r="D62" s="171" t="str">
        <f>'ex NEA to AUBNE_AUMEL'!D62</f>
        <v>included</v>
      </c>
      <c r="E62" s="171" t="str">
        <f>'ex NEA to AUBNE_AUMEL'!E62</f>
        <v>included</v>
      </c>
      <c r="F62" s="171" t="str">
        <f>'ex NEA to AUBNE_AUMEL'!F62</f>
        <v>included</v>
      </c>
      <c r="G62" s="171" t="str">
        <f>'ex NEA to AUBNE_AUMEL'!G62</f>
        <v>included</v>
      </c>
      <c r="H62" s="171" t="str">
        <f>'ex NEA to AUBNE_AUMEL'!H62</f>
        <v>included</v>
      </c>
      <c r="I62" s="171" t="str">
        <f>'ex NEA to AUBNE_AUMEL'!I62</f>
        <v>included</v>
      </c>
      <c r="J62" s="171" t="str">
        <f>'ex NEA to AUBNE_AUMEL'!J62</f>
        <v>included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customHeight="1" x14ac:dyDescent="0.25">
      <c r="A63" s="175" t="s">
        <v>101</v>
      </c>
      <c r="B63" s="243" t="s">
        <v>102</v>
      </c>
      <c r="C63" s="210"/>
      <c r="D63" s="176" t="s">
        <v>103</v>
      </c>
      <c r="E63" s="176" t="s">
        <v>103</v>
      </c>
      <c r="F63" s="176" t="s">
        <v>103</v>
      </c>
      <c r="G63" s="176" t="s">
        <v>103</v>
      </c>
      <c r="H63" s="176" t="s">
        <v>103</v>
      </c>
      <c r="I63" s="176" t="s">
        <v>103</v>
      </c>
      <c r="J63" s="176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customHeight="1" x14ac:dyDescent="0.25">
      <c r="A64" s="175" t="s">
        <v>104</v>
      </c>
      <c r="B64" s="243" t="s">
        <v>102</v>
      </c>
      <c r="C64" s="210"/>
      <c r="D64" s="176" t="s">
        <v>103</v>
      </c>
      <c r="E64" s="176" t="s">
        <v>103</v>
      </c>
      <c r="F64" s="176" t="s">
        <v>103</v>
      </c>
      <c r="G64" s="176" t="s">
        <v>103</v>
      </c>
      <c r="H64" s="176" t="s">
        <v>103</v>
      </c>
      <c r="I64" s="176" t="s">
        <v>103</v>
      </c>
      <c r="J64" s="176" t="s">
        <v>103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5">
      <c r="A65" s="177" t="s">
        <v>105</v>
      </c>
      <c r="B65" s="244" t="s">
        <v>106</v>
      </c>
      <c r="C65" s="210"/>
      <c r="D65" s="176" t="s">
        <v>103</v>
      </c>
      <c r="E65" s="176" t="s">
        <v>103</v>
      </c>
      <c r="F65" s="176" t="s">
        <v>103</v>
      </c>
      <c r="G65" s="176" t="s">
        <v>103</v>
      </c>
      <c r="H65" s="176" t="s">
        <v>103</v>
      </c>
      <c r="I65" s="176" t="s">
        <v>103</v>
      </c>
      <c r="J65" s="176" t="s">
        <v>103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5">
      <c r="A66" s="177" t="s">
        <v>107</v>
      </c>
      <c r="B66" s="244" t="s">
        <v>108</v>
      </c>
      <c r="C66" s="210"/>
      <c r="D66" s="176" t="s">
        <v>103</v>
      </c>
      <c r="E66" s="176" t="s">
        <v>103</v>
      </c>
      <c r="F66" s="176" t="s">
        <v>103</v>
      </c>
      <c r="G66" s="176" t="s">
        <v>103</v>
      </c>
      <c r="H66" s="176" t="s">
        <v>103</v>
      </c>
      <c r="I66" s="176" t="s">
        <v>103</v>
      </c>
      <c r="J66" s="176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5">
      <c r="A67" s="177" t="s">
        <v>109</v>
      </c>
      <c r="B67" s="244" t="s">
        <v>110</v>
      </c>
      <c r="C67" s="210"/>
      <c r="D67" s="176" t="s">
        <v>103</v>
      </c>
      <c r="E67" s="176" t="s">
        <v>103</v>
      </c>
      <c r="F67" s="176" t="s">
        <v>103</v>
      </c>
      <c r="G67" s="176" t="s">
        <v>103</v>
      </c>
      <c r="H67" s="176" t="s">
        <v>103</v>
      </c>
      <c r="I67" s="176" t="s">
        <v>103</v>
      </c>
      <c r="J67" s="176" t="s">
        <v>103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5">
      <c r="A68" s="177" t="s">
        <v>111</v>
      </c>
      <c r="B68" s="244" t="s">
        <v>112</v>
      </c>
      <c r="C68" s="210"/>
      <c r="D68" s="176" t="s">
        <v>103</v>
      </c>
      <c r="E68" s="176" t="s">
        <v>103</v>
      </c>
      <c r="F68" s="176" t="s">
        <v>103</v>
      </c>
      <c r="G68" s="176" t="s">
        <v>103</v>
      </c>
      <c r="H68" s="176" t="s">
        <v>103</v>
      </c>
      <c r="I68" s="176" t="s">
        <v>103</v>
      </c>
      <c r="J68" s="176" t="s">
        <v>103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5">
      <c r="A69" s="177" t="s">
        <v>113</v>
      </c>
      <c r="B69" s="244" t="s">
        <v>114</v>
      </c>
      <c r="C69" s="210"/>
      <c r="D69" s="176" t="s">
        <v>103</v>
      </c>
      <c r="E69" s="176" t="s">
        <v>103</v>
      </c>
      <c r="F69" s="176" t="s">
        <v>103</v>
      </c>
      <c r="G69" s="176" t="s">
        <v>103</v>
      </c>
      <c r="H69" s="176" t="s">
        <v>103</v>
      </c>
      <c r="I69" s="176" t="s">
        <v>103</v>
      </c>
      <c r="J69" s="179" t="s">
        <v>103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5">
      <c r="A70" s="180" t="s">
        <v>115</v>
      </c>
      <c r="B70" s="245" t="s">
        <v>116</v>
      </c>
      <c r="C70" s="246"/>
      <c r="D70" s="181" t="s">
        <v>103</v>
      </c>
      <c r="E70" s="181" t="s">
        <v>103</v>
      </c>
      <c r="F70" s="181" t="s">
        <v>103</v>
      </c>
      <c r="G70" s="181" t="s">
        <v>103</v>
      </c>
      <c r="H70" s="181" t="s">
        <v>103</v>
      </c>
      <c r="I70" s="181" t="s">
        <v>103</v>
      </c>
      <c r="J70" s="182" t="s">
        <v>103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83" t="s">
        <v>117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84" t="s">
        <v>118</v>
      </c>
      <c r="B73" s="185"/>
      <c r="C73" s="185"/>
      <c r="D73" s="185"/>
      <c r="E73" s="185"/>
      <c r="F73" s="183"/>
      <c r="G73" s="183"/>
      <c r="H73" s="183"/>
      <c r="I73" s="183"/>
      <c r="J73" s="18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84" t="s">
        <v>119</v>
      </c>
      <c r="B74" s="185"/>
      <c r="C74" s="185"/>
      <c r="D74" s="185"/>
      <c r="E74" s="185"/>
      <c r="F74" s="183"/>
      <c r="G74" s="183"/>
      <c r="H74" s="183"/>
      <c r="I74" s="183"/>
      <c r="J74" s="18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86" t="s">
        <v>120</v>
      </c>
      <c r="B75" s="186"/>
      <c r="C75" s="186"/>
      <c r="D75" s="186"/>
      <c r="E75" s="186"/>
      <c r="F75" s="183"/>
      <c r="G75" s="183"/>
      <c r="H75" s="183"/>
      <c r="I75" s="183"/>
      <c r="J75" s="18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83" t="s">
        <v>121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83" t="s">
        <v>122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83" t="s">
        <v>123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83" t="s">
        <v>124</v>
      </c>
      <c r="B79" s="183"/>
      <c r="C79" s="183"/>
      <c r="D79" s="183"/>
      <c r="E79" s="183"/>
      <c r="F79" s="183"/>
      <c r="G79" s="183"/>
      <c r="H79" s="183"/>
      <c r="I79" s="183"/>
      <c r="J79" s="18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83" t="s">
        <v>125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87" t="s">
        <v>126</v>
      </c>
      <c r="B83" s="188"/>
      <c r="C83" s="188"/>
      <c r="D83" s="188"/>
      <c r="E83" s="189"/>
      <c r="F83" s="189"/>
      <c r="G83" s="190"/>
      <c r="H83" s="190"/>
      <c r="I83" s="19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91" t="s">
        <v>127</v>
      </c>
      <c r="B84" s="189"/>
      <c r="C84" s="189"/>
      <c r="D84" s="189"/>
      <c r="E84" s="189"/>
      <c r="F84" s="189"/>
      <c r="G84" s="190"/>
      <c r="H84" s="190"/>
      <c r="I84" s="19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91" t="s">
        <v>128</v>
      </c>
      <c r="B85" s="189"/>
      <c r="C85" s="189"/>
      <c r="D85" s="189"/>
      <c r="E85" s="189"/>
      <c r="F85" s="189"/>
      <c r="G85" s="190"/>
      <c r="H85" s="190"/>
      <c r="I85" s="19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92"/>
      <c r="B86" s="192"/>
      <c r="C86" s="192"/>
      <c r="D86" s="192"/>
      <c r="E86" s="192"/>
      <c r="F86" s="192"/>
      <c r="G86" s="190"/>
      <c r="H86" s="190"/>
      <c r="I86" s="19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93" t="s">
        <v>129</v>
      </c>
      <c r="B87" s="194" t="s">
        <v>130</v>
      </c>
      <c r="C87" s="194" t="s">
        <v>131</v>
      </c>
      <c r="D87" s="195" t="s">
        <v>132</v>
      </c>
      <c r="E87" s="195" t="s">
        <v>133</v>
      </c>
      <c r="F87" s="195" t="s">
        <v>134</v>
      </c>
      <c r="G87" s="190"/>
      <c r="H87" s="190"/>
      <c r="I87" s="19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247" t="s">
        <v>135</v>
      </c>
      <c r="B88" s="196" t="s">
        <v>136</v>
      </c>
      <c r="C88" s="250" t="s">
        <v>137</v>
      </c>
      <c r="D88" s="225"/>
      <c r="E88" s="226"/>
      <c r="F88" s="197"/>
      <c r="G88" s="190"/>
      <c r="H88" s="190"/>
      <c r="I88" s="19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248"/>
      <c r="B89" s="196" t="s">
        <v>138</v>
      </c>
      <c r="C89" s="198" t="s">
        <v>139</v>
      </c>
      <c r="D89" s="198" t="s">
        <v>140</v>
      </c>
      <c r="E89" s="198" t="s">
        <v>140</v>
      </c>
      <c r="F89" s="197"/>
      <c r="G89" s="190"/>
      <c r="H89" s="190"/>
      <c r="I89" s="19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248"/>
      <c r="B90" s="196" t="s">
        <v>141</v>
      </c>
      <c r="C90" s="198" t="s">
        <v>142</v>
      </c>
      <c r="D90" s="198" t="s">
        <v>139</v>
      </c>
      <c r="E90" s="198" t="s">
        <v>139</v>
      </c>
      <c r="F90" s="197"/>
      <c r="G90" s="190"/>
      <c r="H90" s="190"/>
      <c r="I90" s="19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248"/>
      <c r="B91" s="196" t="s">
        <v>143</v>
      </c>
      <c r="C91" s="198" t="s">
        <v>142</v>
      </c>
      <c r="D91" s="198" t="s">
        <v>139</v>
      </c>
      <c r="E91" s="198" t="s">
        <v>139</v>
      </c>
      <c r="F91" s="197"/>
      <c r="G91" s="190"/>
      <c r="H91" s="190"/>
      <c r="I91" s="19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248"/>
      <c r="B92" s="196" t="s">
        <v>144</v>
      </c>
      <c r="C92" s="199" t="s">
        <v>139</v>
      </c>
      <c r="D92" s="199" t="s">
        <v>140</v>
      </c>
      <c r="E92" s="199" t="s">
        <v>140</v>
      </c>
      <c r="F92" s="197"/>
      <c r="G92" s="190"/>
      <c r="H92" s="190"/>
      <c r="I92" s="19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248"/>
      <c r="B93" s="196" t="s">
        <v>145</v>
      </c>
      <c r="C93" s="198" t="s">
        <v>142</v>
      </c>
      <c r="D93" s="198" t="s">
        <v>139</v>
      </c>
      <c r="E93" s="198" t="s">
        <v>139</v>
      </c>
      <c r="F93" s="197"/>
      <c r="G93" s="190"/>
      <c r="H93" s="190"/>
      <c r="I93" s="19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248"/>
      <c r="B94" s="196" t="s">
        <v>146</v>
      </c>
      <c r="C94" s="250" t="s">
        <v>137</v>
      </c>
      <c r="D94" s="225"/>
      <c r="E94" s="226"/>
      <c r="F94" s="197"/>
      <c r="G94" s="190"/>
      <c r="H94" s="190"/>
      <c r="I94" s="19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248"/>
      <c r="B95" s="196" t="s">
        <v>147</v>
      </c>
      <c r="C95" s="198" t="s">
        <v>142</v>
      </c>
      <c r="D95" s="198" t="s">
        <v>139</v>
      </c>
      <c r="E95" s="198" t="s">
        <v>139</v>
      </c>
      <c r="F95" s="197"/>
      <c r="G95" s="190"/>
      <c r="H95" s="190"/>
      <c r="I95" s="19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249"/>
      <c r="B96" s="196" t="s">
        <v>148</v>
      </c>
      <c r="C96" s="198" t="s">
        <v>142</v>
      </c>
      <c r="D96" s="198" t="s">
        <v>139</v>
      </c>
      <c r="E96" s="198" t="s">
        <v>139</v>
      </c>
      <c r="F96" s="197"/>
      <c r="G96" s="190"/>
      <c r="H96" s="190"/>
      <c r="I96" s="19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251" t="s">
        <v>149</v>
      </c>
      <c r="B97" s="252"/>
      <c r="C97" s="252"/>
      <c r="D97" s="252"/>
      <c r="E97" s="252"/>
      <c r="F97" s="253"/>
      <c r="G97" s="190"/>
      <c r="H97" s="190"/>
      <c r="I97" s="19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92"/>
      <c r="B98" s="192"/>
      <c r="C98" s="254"/>
      <c r="D98" s="255"/>
      <c r="E98" s="192"/>
      <c r="F98" s="192"/>
      <c r="G98" s="190"/>
      <c r="H98" s="190"/>
      <c r="I98" s="19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93" t="s">
        <v>150</v>
      </c>
      <c r="B99" s="194" t="s">
        <v>151</v>
      </c>
      <c r="C99" s="194" t="s">
        <v>131</v>
      </c>
      <c r="D99" s="195" t="s">
        <v>132</v>
      </c>
      <c r="E99" s="195" t="s">
        <v>133</v>
      </c>
      <c r="F99" s="195" t="s">
        <v>134</v>
      </c>
      <c r="G99" s="190"/>
      <c r="H99" s="190"/>
      <c r="I99" s="19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256" t="s">
        <v>152</v>
      </c>
      <c r="B100" s="196" t="s">
        <v>153</v>
      </c>
      <c r="C100" s="200" t="s">
        <v>154</v>
      </c>
      <c r="D100" s="200" t="s">
        <v>155</v>
      </c>
      <c r="E100" s="200" t="s">
        <v>155</v>
      </c>
      <c r="F100" s="197"/>
      <c r="G100" s="190"/>
      <c r="H100" s="190"/>
      <c r="I100" s="19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248"/>
      <c r="B101" s="196" t="s">
        <v>156</v>
      </c>
      <c r="C101" s="200" t="s">
        <v>157</v>
      </c>
      <c r="D101" s="200" t="s">
        <v>154</v>
      </c>
      <c r="E101" s="200" t="s">
        <v>154</v>
      </c>
      <c r="F101" s="197"/>
      <c r="G101" s="190"/>
      <c r="H101" s="190"/>
      <c r="I101" s="19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248"/>
      <c r="B102" s="196" t="s">
        <v>158</v>
      </c>
      <c r="C102" s="200" t="s">
        <v>159</v>
      </c>
      <c r="D102" s="200" t="s">
        <v>160</v>
      </c>
      <c r="E102" s="200" t="s">
        <v>160</v>
      </c>
      <c r="F102" s="197"/>
      <c r="G102" s="190"/>
      <c r="H102" s="190"/>
      <c r="I102" s="19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249"/>
      <c r="B103" s="196" t="s">
        <v>161</v>
      </c>
      <c r="C103" s="200" t="s">
        <v>162</v>
      </c>
      <c r="D103" s="200" t="s">
        <v>162</v>
      </c>
      <c r="E103" s="200" t="s">
        <v>162</v>
      </c>
      <c r="F103" s="197"/>
      <c r="G103" s="190"/>
      <c r="H103" s="190"/>
      <c r="I103" s="19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251" t="s">
        <v>149</v>
      </c>
      <c r="B104" s="252"/>
      <c r="C104" s="252"/>
      <c r="D104" s="252"/>
      <c r="E104" s="252"/>
      <c r="F104" s="253"/>
      <c r="G104" s="190"/>
      <c r="H104" s="190"/>
      <c r="I104" s="19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90"/>
      <c r="B105" s="190"/>
      <c r="C105" s="190"/>
      <c r="D105" s="190"/>
      <c r="E105" s="190"/>
      <c r="F105" s="190"/>
      <c r="G105" s="190"/>
      <c r="H105" s="190"/>
      <c r="I105" s="19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201" t="s">
        <v>163</v>
      </c>
      <c r="B106" s="185"/>
      <c r="C106" s="190"/>
      <c r="D106" s="190"/>
      <c r="E106" s="190"/>
      <c r="F106" s="190"/>
      <c r="G106" s="190"/>
      <c r="H106" s="190"/>
      <c r="I106" s="19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90"/>
      <c r="B107" s="190"/>
      <c r="C107" s="190"/>
      <c r="D107" s="190"/>
      <c r="E107" s="190"/>
      <c r="F107" s="190"/>
      <c r="G107" s="190"/>
      <c r="H107" s="190"/>
      <c r="I107" s="19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202" t="s">
        <v>164</v>
      </c>
      <c r="B108" s="203"/>
      <c r="C108" s="203"/>
      <c r="D108" s="203"/>
      <c r="E108" s="190"/>
      <c r="F108" s="257"/>
      <c r="G108" s="237"/>
      <c r="H108" s="204"/>
      <c r="I108" s="205" t="s">
        <v>165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90"/>
      <c r="B109" s="190"/>
      <c r="C109" s="190"/>
      <c r="D109" s="190"/>
      <c r="E109" s="190"/>
      <c r="F109" s="257"/>
      <c r="G109" s="237"/>
      <c r="H109" s="257"/>
      <c r="I109" s="2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206" t="s">
        <v>166</v>
      </c>
      <c r="B110" s="207"/>
      <c r="C110" s="258" t="s">
        <v>167</v>
      </c>
      <c r="D110" s="210"/>
      <c r="E110" s="190"/>
      <c r="F110" s="259" t="s">
        <v>168</v>
      </c>
      <c r="G110" s="213"/>
      <c r="H110" s="213"/>
      <c r="I110" s="2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211" t="s">
        <v>169</v>
      </c>
      <c r="B111" s="210"/>
      <c r="C111" s="209" t="s">
        <v>170</v>
      </c>
      <c r="D111" s="210"/>
      <c r="E111" s="190"/>
      <c r="F111" s="211" t="s">
        <v>169</v>
      </c>
      <c r="G111" s="210"/>
      <c r="H111" s="260" t="s">
        <v>171</v>
      </c>
      <c r="I111" s="2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211" t="s">
        <v>172</v>
      </c>
      <c r="B112" s="210"/>
      <c r="C112" s="215" t="s">
        <v>172</v>
      </c>
      <c r="D112" s="210"/>
      <c r="E112" s="190"/>
      <c r="F112" s="211" t="s">
        <v>172</v>
      </c>
      <c r="G112" s="210"/>
      <c r="H112" s="211" t="s">
        <v>172</v>
      </c>
      <c r="I112" s="2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212" t="s">
        <v>173</v>
      </c>
      <c r="B113" s="213"/>
      <c r="C113" s="216">
        <v>600</v>
      </c>
      <c r="D113" s="210"/>
      <c r="E113" s="190"/>
      <c r="F113" s="212" t="s">
        <v>174</v>
      </c>
      <c r="G113" s="213"/>
      <c r="H113" s="213"/>
      <c r="I113" s="2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212" t="s">
        <v>175</v>
      </c>
      <c r="B114" s="210"/>
      <c r="C114" s="217" t="s">
        <v>176</v>
      </c>
      <c r="D114" s="210"/>
      <c r="E114" s="190"/>
      <c r="F114" s="212" t="s">
        <v>177</v>
      </c>
      <c r="G114" s="210"/>
      <c r="H114" s="214">
        <v>10500</v>
      </c>
      <c r="I114" s="2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212" t="s">
        <v>178</v>
      </c>
      <c r="B115" s="210"/>
      <c r="C115" s="217" t="s">
        <v>176</v>
      </c>
      <c r="D115" s="210"/>
      <c r="E115" s="190"/>
      <c r="F115" s="212" t="s">
        <v>179</v>
      </c>
      <c r="G115" s="210"/>
      <c r="H115" s="214">
        <v>9000</v>
      </c>
      <c r="I115" s="2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212" t="s">
        <v>180</v>
      </c>
      <c r="B116" s="210"/>
      <c r="C116" s="217" t="s">
        <v>176</v>
      </c>
      <c r="D116" s="210"/>
      <c r="E116" s="190"/>
      <c r="F116" s="212" t="s">
        <v>181</v>
      </c>
      <c r="G116" s="210"/>
      <c r="H116" s="214">
        <v>7500</v>
      </c>
      <c r="I116" s="2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90"/>
      <c r="B117" s="190"/>
      <c r="C117" s="190"/>
      <c r="D117" s="190"/>
      <c r="E117" s="190"/>
      <c r="F117" s="212" t="s">
        <v>182</v>
      </c>
      <c r="G117" s="210"/>
      <c r="H117" s="214">
        <v>6000</v>
      </c>
      <c r="I117" s="2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90"/>
      <c r="B118" s="190"/>
      <c r="C118" s="190"/>
      <c r="D118" s="190"/>
      <c r="E118" s="190"/>
      <c r="F118" s="212" t="s">
        <v>183</v>
      </c>
      <c r="G118" s="210"/>
      <c r="H118" s="214">
        <v>4600</v>
      </c>
      <c r="I118" s="2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90"/>
      <c r="B119" s="190"/>
      <c r="C119" s="190"/>
      <c r="D119" s="190"/>
      <c r="E119" s="190"/>
      <c r="F119" s="212" t="s">
        <v>184</v>
      </c>
      <c r="G119" s="210"/>
      <c r="H119" s="214">
        <v>3100</v>
      </c>
      <c r="I119" s="2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90"/>
      <c r="B120" s="190"/>
      <c r="C120" s="190"/>
      <c r="D120" s="190"/>
      <c r="E120" s="190"/>
      <c r="F120" s="261" t="s">
        <v>185</v>
      </c>
      <c r="G120" s="210"/>
      <c r="H120" s="262">
        <v>2600</v>
      </c>
      <c r="I120" s="2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90"/>
      <c r="B121" s="190"/>
      <c r="C121" s="190"/>
      <c r="D121" s="190"/>
      <c r="E121" s="190"/>
      <c r="F121" s="261" t="s">
        <v>186</v>
      </c>
      <c r="G121" s="210"/>
      <c r="H121" s="262">
        <v>600</v>
      </c>
      <c r="I121" s="2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90"/>
      <c r="B122" s="190"/>
      <c r="C122" s="190"/>
      <c r="D122" s="190"/>
      <c r="E122" s="190"/>
      <c r="F122" s="190"/>
      <c r="G122" s="190"/>
      <c r="H122" s="204"/>
      <c r="I122" s="208" t="s">
        <v>187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</sheetData>
  <mergeCells count="67"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  <mergeCell ref="F118:G118"/>
    <mergeCell ref="F119:G119"/>
    <mergeCell ref="H119:I119"/>
    <mergeCell ref="F120:G120"/>
    <mergeCell ref="H120:I120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C98:D98"/>
    <mergeCell ref="A100:A103"/>
    <mergeCell ref="A104:F104"/>
    <mergeCell ref="F108:G108"/>
    <mergeCell ref="F109:G109"/>
    <mergeCell ref="B70:C70"/>
    <mergeCell ref="A88:A96"/>
    <mergeCell ref="C88:E88"/>
    <mergeCell ref="C94:E94"/>
    <mergeCell ref="A97:F97"/>
    <mergeCell ref="B65:C65"/>
    <mergeCell ref="B66:C66"/>
    <mergeCell ref="B67:C67"/>
    <mergeCell ref="B68:C68"/>
    <mergeCell ref="B69:C69"/>
    <mergeCell ref="A59:J59"/>
    <mergeCell ref="B61:C61"/>
    <mergeCell ref="B62:C62"/>
    <mergeCell ref="B63:C63"/>
    <mergeCell ref="B64:C64"/>
    <mergeCell ref="A7:A38"/>
    <mergeCell ref="A39:A42"/>
    <mergeCell ref="A43:A49"/>
    <mergeCell ref="L44:N44"/>
    <mergeCell ref="A51:A54"/>
    <mergeCell ref="A1:J2"/>
    <mergeCell ref="D4:F4"/>
    <mergeCell ref="G4:H4"/>
    <mergeCell ref="I4:J4"/>
    <mergeCell ref="B5:B6"/>
    <mergeCell ref="C5:C6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C111:D111"/>
    <mergeCell ref="F111:G111"/>
    <mergeCell ref="F112:G112"/>
    <mergeCell ref="H112:I112"/>
    <mergeCell ref="F113:I113"/>
  </mergeCells>
  <pageMargins left="0.31496062992125984" right="0.31496062992125984" top="0.35433070866141736" bottom="0.35433070866141736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59"/>
  <sheetViews>
    <sheetView workbookViewId="0"/>
  </sheetViews>
  <sheetFormatPr defaultColWidth="14.42578125" defaultRowHeight="15" customHeight="1" outlineLevelRow="1" x14ac:dyDescent="0.25"/>
  <cols>
    <col min="1" max="1" width="27.5703125" customWidth="1"/>
    <col min="2" max="2" width="44.5703125" customWidth="1"/>
    <col min="3" max="3" width="17.5703125" customWidth="1"/>
    <col min="4" max="8" width="14.5703125" customWidth="1"/>
    <col min="9" max="9" width="21.5703125" customWidth="1"/>
    <col min="10" max="10" width="21.140625" customWidth="1"/>
    <col min="11" max="11" width="2.85546875" customWidth="1"/>
    <col min="12" max="12" width="3.42578125" customWidth="1"/>
    <col min="13" max="13" width="2.85546875" customWidth="1"/>
    <col min="14" max="15" width="8.85546875" hidden="1" customWidth="1"/>
    <col min="16" max="16" width="12.42578125" hidden="1" customWidth="1"/>
    <col min="17" max="17" width="18.5703125" hidden="1" customWidth="1"/>
    <col min="18" max="26" width="8.85546875" customWidth="1"/>
  </cols>
  <sheetData>
    <row r="1" spans="1:26" ht="23.25" customHeight="1" x14ac:dyDescent="0.25">
      <c r="A1" s="263" t="s">
        <v>1</v>
      </c>
      <c r="B1" s="264"/>
      <c r="C1" s="264"/>
      <c r="D1" s="264"/>
      <c r="E1" s="264"/>
      <c r="F1" s="264"/>
      <c r="G1" s="264"/>
      <c r="H1" s="264"/>
      <c r="I1" s="264"/>
      <c r="J1" s="26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5">
      <c r="A2" s="221"/>
      <c r="B2" s="222"/>
      <c r="C2" s="222"/>
      <c r="D2" s="222"/>
      <c r="E2" s="222"/>
      <c r="F2" s="222"/>
      <c r="G2" s="222"/>
      <c r="H2" s="222"/>
      <c r="I2" s="222"/>
      <c r="J2" s="2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5">
      <c r="A3" s="2"/>
      <c r="B3" s="3"/>
      <c r="C3" s="3"/>
      <c r="D3" s="3"/>
      <c r="E3" s="3"/>
      <c r="F3" s="3"/>
      <c r="G3" s="3"/>
      <c r="H3" s="3"/>
      <c r="I3" s="4" t="s">
        <v>2</v>
      </c>
      <c r="J3" s="6">
        <f>'ex NEA to AUBNE_AUMEL'!J3</f>
        <v>46258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 customHeight="1" x14ac:dyDescent="0.4">
      <c r="A4" s="7" t="s">
        <v>3</v>
      </c>
      <c r="B4" s="9" t="str">
        <f>'ex NEA to AUBNE_AUMEL'!B4</f>
        <v>01 Sept to 14 Sept 2026</v>
      </c>
      <c r="C4" s="10"/>
      <c r="D4" s="266" t="s">
        <v>6</v>
      </c>
      <c r="E4" s="225"/>
      <c r="F4" s="226"/>
      <c r="G4" s="266" t="s">
        <v>6</v>
      </c>
      <c r="H4" s="226"/>
      <c r="I4" s="266" t="s">
        <v>6</v>
      </c>
      <c r="J4" s="22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 x14ac:dyDescent="0.25">
      <c r="A5" s="11"/>
      <c r="B5" s="227" t="s">
        <v>8</v>
      </c>
      <c r="C5" s="229" t="s">
        <v>10</v>
      </c>
      <c r="D5" s="12" t="s">
        <v>11</v>
      </c>
      <c r="E5" s="13" t="s">
        <v>12</v>
      </c>
      <c r="F5" s="14" t="s">
        <v>13</v>
      </c>
      <c r="G5" s="15" t="s">
        <v>14</v>
      </c>
      <c r="H5" s="16" t="s">
        <v>15</v>
      </c>
      <c r="I5" s="17" t="s">
        <v>16</v>
      </c>
      <c r="J5" s="19" t="s">
        <v>17</v>
      </c>
      <c r="K5" s="20"/>
      <c r="L5" s="20"/>
      <c r="M5" s="20"/>
      <c r="N5" s="20" t="s">
        <v>19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.25" customHeight="1" x14ac:dyDescent="0.25">
      <c r="A6" s="22"/>
      <c r="B6" s="267"/>
      <c r="C6" s="268"/>
      <c r="D6" s="26" t="s">
        <v>20</v>
      </c>
      <c r="E6" s="28" t="s">
        <v>20</v>
      </c>
      <c r="F6" s="29" t="s">
        <v>20</v>
      </c>
      <c r="G6" s="26" t="s">
        <v>20</v>
      </c>
      <c r="H6" s="29" t="s">
        <v>20</v>
      </c>
      <c r="I6" s="26" t="s">
        <v>20</v>
      </c>
      <c r="J6" s="29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33" t="s">
        <v>24</v>
      </c>
      <c r="B7" s="35" t="s">
        <v>22</v>
      </c>
      <c r="C7" s="37" t="s">
        <v>25</v>
      </c>
      <c r="D7" s="41">
        <f t="shared" ref="D7:F7" si="0">D8+N7</f>
        <v>2525</v>
      </c>
      <c r="E7" s="44">
        <f t="shared" si="0"/>
        <v>5050</v>
      </c>
      <c r="F7" s="46">
        <f t="shared" si="0"/>
        <v>5050</v>
      </c>
      <c r="G7" s="47"/>
      <c r="H7" s="49"/>
      <c r="I7" s="47"/>
      <c r="J7" s="47"/>
      <c r="K7" s="1"/>
      <c r="L7" s="1"/>
      <c r="M7" s="1"/>
      <c r="N7" s="50">
        <v>100</v>
      </c>
      <c r="O7" s="50">
        <v>200</v>
      </c>
      <c r="P7" s="50">
        <v>200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52"/>
      <c r="B8" s="54" t="s">
        <v>26</v>
      </c>
      <c r="C8" s="56" t="s">
        <v>25</v>
      </c>
      <c r="D8" s="40">
        <f>'ex NEA to AUBNE_AUMEL'!D8</f>
        <v>2425</v>
      </c>
      <c r="E8" s="59">
        <f>'ex NEA to AUBNE_AUMEL'!E8</f>
        <v>4850</v>
      </c>
      <c r="F8" s="42">
        <f>E8</f>
        <v>4850</v>
      </c>
      <c r="G8" s="40">
        <f>'ex NEA to AUBNE_AUMEL'!G8</f>
        <v>2525</v>
      </c>
      <c r="H8" s="42">
        <f>'ex NEA to AUBNE_AUMEL'!H8</f>
        <v>5050</v>
      </c>
      <c r="I8" s="61">
        <f>'ex NEA to AUBNE_AUMEL'!I8</f>
        <v>1775</v>
      </c>
      <c r="J8" s="63">
        <f>'ex NEA to AUBNE_AUMEL'!J8</f>
        <v>3550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48"/>
      <c r="W8" s="1"/>
      <c r="X8" s="1"/>
      <c r="Y8" s="1"/>
      <c r="Z8" s="1"/>
    </row>
    <row r="9" spans="1:26" ht="14.25" customHeight="1" x14ac:dyDescent="0.25">
      <c r="A9" s="52"/>
      <c r="B9" s="65" t="s">
        <v>28</v>
      </c>
      <c r="C9" s="66" t="s">
        <v>25</v>
      </c>
      <c r="D9" s="67">
        <f t="shared" ref="D9:F9" si="1">D8+N9</f>
        <v>2525</v>
      </c>
      <c r="E9" s="68">
        <f t="shared" si="1"/>
        <v>5050</v>
      </c>
      <c r="F9" s="69">
        <f t="shared" si="1"/>
        <v>5050</v>
      </c>
      <c r="G9" s="70"/>
      <c r="H9" s="71"/>
      <c r="I9" s="73"/>
      <c r="J9" s="73"/>
      <c r="K9" s="1"/>
      <c r="L9" s="1"/>
      <c r="M9" s="1"/>
      <c r="N9" s="50">
        <v>100</v>
      </c>
      <c r="O9" s="50">
        <v>200</v>
      </c>
      <c r="P9" s="50">
        <v>200</v>
      </c>
      <c r="Q9" s="1"/>
      <c r="R9" s="1"/>
      <c r="S9" s="1"/>
      <c r="T9" s="1"/>
      <c r="U9" s="1"/>
      <c r="V9" s="48"/>
      <c r="W9" s="1"/>
      <c r="X9" s="1"/>
      <c r="Y9" s="1"/>
      <c r="Z9" s="1"/>
    </row>
    <row r="10" spans="1:26" ht="14.25" customHeight="1" x14ac:dyDescent="0.25">
      <c r="A10" s="52"/>
      <c r="B10" s="65" t="s">
        <v>30</v>
      </c>
      <c r="C10" s="66" t="s">
        <v>25</v>
      </c>
      <c r="D10" s="67">
        <f t="shared" ref="D10:F10" si="2">D7+N10</f>
        <v>2725</v>
      </c>
      <c r="E10" s="68">
        <f t="shared" si="2"/>
        <v>5350</v>
      </c>
      <c r="F10" s="69">
        <f t="shared" si="2"/>
        <v>5350</v>
      </c>
      <c r="G10" s="76"/>
      <c r="H10" s="78"/>
      <c r="I10" s="76"/>
      <c r="J10" s="76"/>
      <c r="K10" s="1"/>
      <c r="L10" s="1"/>
      <c r="M10" s="1"/>
      <c r="N10" s="72">
        <v>200</v>
      </c>
      <c r="O10" s="72">
        <v>300</v>
      </c>
      <c r="P10" s="72">
        <v>300</v>
      </c>
      <c r="Q10" s="74" t="s">
        <v>31</v>
      </c>
      <c r="R10" s="1"/>
      <c r="S10" s="1"/>
      <c r="T10" s="1"/>
      <c r="U10" s="1"/>
      <c r="V10" s="48"/>
      <c r="W10" s="1"/>
      <c r="X10" s="1"/>
      <c r="Y10" s="1"/>
      <c r="Z10" s="1"/>
    </row>
    <row r="11" spans="1:26" ht="14.25" customHeight="1" x14ac:dyDescent="0.25">
      <c r="A11" s="52"/>
      <c r="B11" s="65" t="s">
        <v>32</v>
      </c>
      <c r="C11" s="66" t="s">
        <v>25</v>
      </c>
      <c r="D11" s="67">
        <f t="shared" ref="D11:F11" si="3">D7+N11</f>
        <v>2725</v>
      </c>
      <c r="E11" s="68">
        <f t="shared" si="3"/>
        <v>5350</v>
      </c>
      <c r="F11" s="69">
        <f t="shared" si="3"/>
        <v>5350</v>
      </c>
      <c r="G11" s="76"/>
      <c r="H11" s="78"/>
      <c r="I11" s="76"/>
      <c r="J11" s="76"/>
      <c r="K11" s="1"/>
      <c r="L11" s="1"/>
      <c r="M11" s="1"/>
      <c r="N11" s="72">
        <v>200</v>
      </c>
      <c r="O11" s="72">
        <v>300</v>
      </c>
      <c r="P11" s="72">
        <v>300</v>
      </c>
      <c r="Q11" s="74" t="s">
        <v>31</v>
      </c>
      <c r="R11" s="1"/>
      <c r="S11" s="1"/>
      <c r="T11" s="1"/>
      <c r="U11" s="1"/>
      <c r="V11" s="48"/>
      <c r="W11" s="1"/>
      <c r="X11" s="1"/>
      <c r="Y11" s="1"/>
      <c r="Z11" s="1"/>
    </row>
    <row r="12" spans="1:26" ht="14.25" customHeight="1" outlineLevel="1" x14ac:dyDescent="0.25">
      <c r="A12" s="52"/>
      <c r="B12" s="81" t="s">
        <v>33</v>
      </c>
      <c r="C12" s="66" t="s">
        <v>25</v>
      </c>
      <c r="D12" s="85">
        <f t="shared" ref="D12:D15" si="4">$D$8+N12</f>
        <v>2825</v>
      </c>
      <c r="E12" s="86">
        <f t="shared" ref="E12:E15" si="5">$E$8+O12</f>
        <v>5550</v>
      </c>
      <c r="F12" s="69">
        <f t="shared" ref="F12:F21" si="6">E12</f>
        <v>5550</v>
      </c>
      <c r="G12" s="76"/>
      <c r="H12" s="78"/>
      <c r="I12" s="76"/>
      <c r="J12" s="76"/>
      <c r="K12" s="1"/>
      <c r="L12" s="1"/>
      <c r="M12" s="1"/>
      <c r="N12" s="80">
        <v>400</v>
      </c>
      <c r="O12" s="80">
        <v>700</v>
      </c>
      <c r="P12" s="80">
        <v>700</v>
      </c>
      <c r="Q12" s="74" t="s">
        <v>34</v>
      </c>
      <c r="R12" s="1"/>
      <c r="S12" s="1"/>
      <c r="T12" s="1"/>
      <c r="U12" s="1"/>
      <c r="V12" s="48"/>
      <c r="W12" s="1"/>
      <c r="X12" s="1"/>
      <c r="Y12" s="1"/>
      <c r="Z12" s="1"/>
    </row>
    <row r="13" spans="1:26" ht="14.25" customHeight="1" outlineLevel="1" x14ac:dyDescent="0.25">
      <c r="A13" s="52"/>
      <c r="B13" s="81" t="s">
        <v>35</v>
      </c>
      <c r="C13" s="66" t="s">
        <v>25</v>
      </c>
      <c r="D13" s="85">
        <f t="shared" si="4"/>
        <v>2625</v>
      </c>
      <c r="E13" s="86">
        <f t="shared" si="5"/>
        <v>5150</v>
      </c>
      <c r="F13" s="69">
        <f t="shared" si="6"/>
        <v>5150</v>
      </c>
      <c r="G13" s="76"/>
      <c r="H13" s="78"/>
      <c r="I13" s="76"/>
      <c r="J13" s="76"/>
      <c r="K13" s="1"/>
      <c r="L13" s="1"/>
      <c r="M13" s="1"/>
      <c r="N13" s="72">
        <v>200</v>
      </c>
      <c r="O13" s="72">
        <v>300</v>
      </c>
      <c r="P13" s="72">
        <v>300</v>
      </c>
      <c r="Q13" s="74" t="s">
        <v>34</v>
      </c>
      <c r="R13" s="1"/>
      <c r="S13" s="1"/>
      <c r="T13" s="1"/>
      <c r="U13" s="1"/>
      <c r="V13" s="48"/>
      <c r="W13" s="1"/>
      <c r="X13" s="1"/>
      <c r="Y13" s="1"/>
      <c r="Z13" s="1"/>
    </row>
    <row r="14" spans="1:26" ht="14.25" customHeight="1" outlineLevel="1" x14ac:dyDescent="0.25">
      <c r="A14" s="52"/>
      <c r="B14" s="81" t="s">
        <v>36</v>
      </c>
      <c r="C14" s="66" t="s">
        <v>25</v>
      </c>
      <c r="D14" s="85">
        <f t="shared" si="4"/>
        <v>2675</v>
      </c>
      <c r="E14" s="86">
        <f t="shared" si="5"/>
        <v>5250</v>
      </c>
      <c r="F14" s="69">
        <f t="shared" si="6"/>
        <v>5250</v>
      </c>
      <c r="G14" s="76"/>
      <c r="H14" s="78"/>
      <c r="I14" s="76"/>
      <c r="J14" s="76"/>
      <c r="K14" s="1"/>
      <c r="L14" s="1"/>
      <c r="M14" s="1"/>
      <c r="N14" s="80">
        <v>250</v>
      </c>
      <c r="O14" s="80">
        <v>400</v>
      </c>
      <c r="P14" s="80">
        <v>400</v>
      </c>
      <c r="Q14" s="74" t="s">
        <v>34</v>
      </c>
      <c r="R14" s="1"/>
      <c r="S14" s="1"/>
      <c r="T14" s="1"/>
      <c r="U14" s="1"/>
      <c r="V14" s="48"/>
      <c r="W14" s="1"/>
      <c r="X14" s="1"/>
      <c r="Y14" s="1"/>
      <c r="Z14" s="1"/>
    </row>
    <row r="15" spans="1:26" ht="14.25" customHeight="1" outlineLevel="1" x14ac:dyDescent="0.25">
      <c r="A15" s="52"/>
      <c r="B15" s="81" t="s">
        <v>37</v>
      </c>
      <c r="C15" s="66" t="s">
        <v>25</v>
      </c>
      <c r="D15" s="85">
        <f t="shared" si="4"/>
        <v>3625</v>
      </c>
      <c r="E15" s="86">
        <f t="shared" si="5"/>
        <v>6750</v>
      </c>
      <c r="F15" s="69">
        <f t="shared" si="6"/>
        <v>6750</v>
      </c>
      <c r="G15" s="76"/>
      <c r="H15" s="78"/>
      <c r="I15" s="76"/>
      <c r="J15" s="76"/>
      <c r="K15" s="1"/>
      <c r="L15" s="1"/>
      <c r="M15" s="1"/>
      <c r="N15" s="80">
        <v>1200</v>
      </c>
      <c r="O15" s="80">
        <v>1900</v>
      </c>
      <c r="P15" s="80">
        <v>1900</v>
      </c>
      <c r="Q15" s="74" t="s">
        <v>34</v>
      </c>
      <c r="R15" s="1"/>
      <c r="S15" s="1"/>
      <c r="T15" s="1"/>
      <c r="U15" s="1"/>
      <c r="V15" s="48"/>
      <c r="W15" s="1"/>
      <c r="X15" s="1"/>
      <c r="Y15" s="1"/>
      <c r="Z15" s="1"/>
    </row>
    <row r="16" spans="1:26" ht="14.25" customHeight="1" outlineLevel="1" x14ac:dyDescent="0.25">
      <c r="A16" s="52"/>
      <c r="B16" s="88" t="s">
        <v>38</v>
      </c>
      <c r="C16" s="66" t="s">
        <v>25</v>
      </c>
      <c r="D16" s="85"/>
      <c r="E16" s="90">
        <f>$E$44+O16</f>
        <v>5900</v>
      </c>
      <c r="F16" s="91">
        <f t="shared" si="6"/>
        <v>5900</v>
      </c>
      <c r="G16" s="76"/>
      <c r="H16" s="78"/>
      <c r="I16" s="76"/>
      <c r="J16" s="76"/>
      <c r="K16" s="1"/>
      <c r="L16" s="1"/>
      <c r="M16" s="1"/>
      <c r="N16" s="80"/>
      <c r="O16" s="80">
        <v>1050</v>
      </c>
      <c r="P16" s="80">
        <v>1050</v>
      </c>
      <c r="Q16" s="74"/>
      <c r="R16" s="1"/>
      <c r="S16" s="1"/>
      <c r="T16" s="1"/>
      <c r="U16" s="1"/>
      <c r="V16" s="48"/>
      <c r="W16" s="1"/>
      <c r="X16" s="1"/>
      <c r="Y16" s="1"/>
      <c r="Z16" s="1"/>
    </row>
    <row r="17" spans="1:26" ht="14.25" customHeight="1" outlineLevel="1" x14ac:dyDescent="0.25">
      <c r="A17" s="52"/>
      <c r="B17" s="81" t="s">
        <v>40</v>
      </c>
      <c r="C17" s="66" t="s">
        <v>25</v>
      </c>
      <c r="D17" s="85">
        <f>$D$8+N17</f>
        <v>2775</v>
      </c>
      <c r="E17" s="86">
        <f>$E$8+O17</f>
        <v>5750</v>
      </c>
      <c r="F17" s="69">
        <f t="shared" si="6"/>
        <v>5750</v>
      </c>
      <c r="G17" s="76"/>
      <c r="H17" s="78"/>
      <c r="I17" s="76"/>
      <c r="J17" s="76"/>
      <c r="K17" s="1"/>
      <c r="L17" s="1"/>
      <c r="M17" s="1"/>
      <c r="N17" s="80">
        <v>350</v>
      </c>
      <c r="O17" s="80">
        <v>900</v>
      </c>
      <c r="P17" s="80">
        <v>900</v>
      </c>
      <c r="Q17" s="74" t="s">
        <v>34</v>
      </c>
      <c r="R17" s="1"/>
      <c r="S17" s="1"/>
      <c r="T17" s="1"/>
      <c r="U17" s="1"/>
      <c r="V17" s="48"/>
      <c r="W17" s="1"/>
      <c r="X17" s="1"/>
      <c r="Y17" s="1"/>
      <c r="Z17" s="1"/>
    </row>
    <row r="18" spans="1:26" ht="14.25" customHeight="1" outlineLevel="1" x14ac:dyDescent="0.25">
      <c r="A18" s="52"/>
      <c r="B18" s="88" t="s">
        <v>41</v>
      </c>
      <c r="C18" s="66" t="s">
        <v>25</v>
      </c>
      <c r="D18" s="67">
        <f>D44+1000</f>
        <v>3425</v>
      </c>
      <c r="E18" s="68">
        <f>E44+950</f>
        <v>5800</v>
      </c>
      <c r="F18" s="69">
        <f t="shared" si="6"/>
        <v>5800</v>
      </c>
      <c r="G18" s="76"/>
      <c r="H18" s="78"/>
      <c r="I18" s="76"/>
      <c r="J18" s="76"/>
      <c r="K18" s="1"/>
      <c r="L18" s="1"/>
      <c r="M18" s="1"/>
      <c r="N18" s="80"/>
      <c r="O18" s="80"/>
      <c r="P18" s="80"/>
      <c r="Q18" s="74"/>
      <c r="R18" s="1"/>
      <c r="S18" s="1"/>
      <c r="T18" s="1"/>
      <c r="U18" s="1"/>
      <c r="V18" s="48"/>
      <c r="W18" s="1"/>
      <c r="X18" s="1"/>
      <c r="Y18" s="1"/>
      <c r="Z18" s="1"/>
    </row>
    <row r="19" spans="1:26" ht="14.25" customHeight="1" outlineLevel="1" x14ac:dyDescent="0.25">
      <c r="A19" s="52"/>
      <c r="B19" s="88" t="s">
        <v>42</v>
      </c>
      <c r="C19" s="66" t="s">
        <v>25</v>
      </c>
      <c r="D19" s="67">
        <f>D44+900</f>
        <v>3325</v>
      </c>
      <c r="E19" s="68">
        <f>E44+1000</f>
        <v>5850</v>
      </c>
      <c r="F19" s="69">
        <f t="shared" si="6"/>
        <v>5850</v>
      </c>
      <c r="G19" s="76"/>
      <c r="H19" s="78"/>
      <c r="I19" s="76"/>
      <c r="J19" s="76"/>
      <c r="K19" s="1"/>
      <c r="L19" s="1"/>
      <c r="M19" s="1"/>
      <c r="N19" s="80"/>
      <c r="O19" s="80"/>
      <c r="P19" s="80"/>
      <c r="Q19" s="74"/>
      <c r="R19" s="1"/>
      <c r="S19" s="1"/>
      <c r="T19" s="1"/>
      <c r="U19" s="1"/>
      <c r="V19" s="48"/>
      <c r="W19" s="1"/>
      <c r="X19" s="1"/>
      <c r="Y19" s="1"/>
      <c r="Z19" s="1"/>
    </row>
    <row r="20" spans="1:26" ht="14.25" customHeight="1" outlineLevel="1" x14ac:dyDescent="0.25">
      <c r="A20" s="52"/>
      <c r="B20" s="81" t="s">
        <v>43</v>
      </c>
      <c r="C20" s="66" t="s">
        <v>25</v>
      </c>
      <c r="D20" s="85">
        <f t="shared" ref="D20:D21" si="7">$D$8+N20</f>
        <v>2625</v>
      </c>
      <c r="E20" s="86">
        <f t="shared" ref="E20:E21" si="8">$E$8+O20</f>
        <v>5150</v>
      </c>
      <c r="F20" s="69">
        <f t="shared" si="6"/>
        <v>5150</v>
      </c>
      <c r="G20" s="76"/>
      <c r="H20" s="78"/>
      <c r="I20" s="76"/>
      <c r="J20" s="76"/>
      <c r="K20" s="1"/>
      <c r="L20" s="1"/>
      <c r="M20" s="1"/>
      <c r="N20" s="72">
        <v>200</v>
      </c>
      <c r="O20" s="72">
        <v>300</v>
      </c>
      <c r="P20" s="72">
        <v>300</v>
      </c>
      <c r="Q20" s="74" t="s">
        <v>34</v>
      </c>
      <c r="R20" s="1"/>
      <c r="S20" s="1"/>
      <c r="T20" s="1"/>
      <c r="U20" s="1"/>
      <c r="V20" s="48"/>
      <c r="W20" s="1"/>
      <c r="X20" s="1"/>
      <c r="Y20" s="1"/>
      <c r="Z20" s="1"/>
    </row>
    <row r="21" spans="1:26" ht="14.25" customHeight="1" outlineLevel="1" x14ac:dyDescent="0.25">
      <c r="A21" s="52"/>
      <c r="B21" s="81" t="s">
        <v>44</v>
      </c>
      <c r="C21" s="66" t="s">
        <v>25</v>
      </c>
      <c r="D21" s="85">
        <f t="shared" si="7"/>
        <v>2775</v>
      </c>
      <c r="E21" s="86">
        <f t="shared" si="8"/>
        <v>5400</v>
      </c>
      <c r="F21" s="69">
        <f t="shared" si="6"/>
        <v>5400</v>
      </c>
      <c r="G21" s="76"/>
      <c r="H21" s="78"/>
      <c r="I21" s="76"/>
      <c r="J21" s="76"/>
      <c r="K21" s="1"/>
      <c r="L21" s="1"/>
      <c r="M21" s="1"/>
      <c r="N21" s="92">
        <v>350</v>
      </c>
      <c r="O21" s="80">
        <v>550</v>
      </c>
      <c r="P21" s="80">
        <v>550</v>
      </c>
      <c r="Q21" s="74" t="s">
        <v>34</v>
      </c>
      <c r="R21" s="1"/>
      <c r="S21" s="1"/>
      <c r="T21" s="1"/>
      <c r="U21" s="1"/>
      <c r="V21" s="48"/>
      <c r="W21" s="1"/>
      <c r="X21" s="1"/>
      <c r="Y21" s="1"/>
      <c r="Z21" s="1"/>
    </row>
    <row r="22" spans="1:26" ht="14.25" customHeight="1" outlineLevel="1" x14ac:dyDescent="0.25">
      <c r="A22" s="52"/>
      <c r="B22" s="88" t="s">
        <v>45</v>
      </c>
      <c r="C22" s="66" t="s">
        <v>25</v>
      </c>
      <c r="D22" s="67">
        <f>D7+100</f>
        <v>2625</v>
      </c>
      <c r="E22" s="68">
        <f t="shared" ref="E22:F22" si="9">E7+150</f>
        <v>5200</v>
      </c>
      <c r="F22" s="69">
        <f t="shared" si="9"/>
        <v>5200</v>
      </c>
      <c r="G22" s="76"/>
      <c r="H22" s="78"/>
      <c r="I22" s="76"/>
      <c r="J22" s="76"/>
      <c r="K22" s="1"/>
      <c r="L22" s="1"/>
      <c r="M22" s="1"/>
      <c r="N22" s="80">
        <v>200</v>
      </c>
      <c r="O22" s="80">
        <v>350</v>
      </c>
      <c r="P22" s="80">
        <v>350</v>
      </c>
      <c r="Q22" s="74" t="s">
        <v>31</v>
      </c>
      <c r="R22" s="1"/>
      <c r="S22" s="1"/>
      <c r="T22" s="1"/>
      <c r="U22" s="1"/>
      <c r="V22" s="48"/>
      <c r="W22" s="1"/>
      <c r="X22" s="1"/>
      <c r="Y22" s="1"/>
      <c r="Z22" s="1"/>
    </row>
    <row r="23" spans="1:26" ht="14.25" customHeight="1" outlineLevel="1" x14ac:dyDescent="0.25">
      <c r="A23" s="52"/>
      <c r="B23" s="81" t="s">
        <v>46</v>
      </c>
      <c r="C23" s="66" t="s">
        <v>25</v>
      </c>
      <c r="D23" s="85">
        <f>$D$8+N23</f>
        <v>2810</v>
      </c>
      <c r="E23" s="86">
        <f>$E$8+O23</f>
        <v>5500</v>
      </c>
      <c r="F23" s="69">
        <f>E23</f>
        <v>5500</v>
      </c>
      <c r="G23" s="76"/>
      <c r="H23" s="78"/>
      <c r="I23" s="76"/>
      <c r="J23" s="76"/>
      <c r="K23" s="1"/>
      <c r="L23" s="1"/>
      <c r="M23" s="1"/>
      <c r="N23" s="80">
        <v>385</v>
      </c>
      <c r="O23" s="80">
        <v>650</v>
      </c>
      <c r="P23" s="80">
        <v>650</v>
      </c>
      <c r="Q23" s="74" t="s">
        <v>34</v>
      </c>
      <c r="R23" s="1"/>
      <c r="S23" s="1"/>
      <c r="T23" s="1"/>
      <c r="U23" s="1"/>
      <c r="V23" s="48"/>
      <c r="W23" s="1"/>
      <c r="X23" s="1"/>
      <c r="Y23" s="1"/>
      <c r="Z23" s="1"/>
    </row>
    <row r="24" spans="1:26" ht="14.25" customHeight="1" outlineLevel="1" x14ac:dyDescent="0.25">
      <c r="A24" s="52"/>
      <c r="B24" s="88" t="s">
        <v>47</v>
      </c>
      <c r="C24" s="66" t="s">
        <v>25</v>
      </c>
      <c r="D24" s="86">
        <f>D44+645</f>
        <v>3070</v>
      </c>
      <c r="E24" s="86">
        <f t="shared" ref="E24:F24" si="10">E44+825</f>
        <v>5675</v>
      </c>
      <c r="F24" s="86">
        <f t="shared" si="10"/>
        <v>5675</v>
      </c>
      <c r="G24" s="76"/>
      <c r="H24" s="78"/>
      <c r="I24" s="76"/>
      <c r="J24" s="76"/>
      <c r="K24" s="1"/>
      <c r="L24" s="1"/>
      <c r="M24" s="1"/>
      <c r="N24" s="80"/>
      <c r="O24" s="80"/>
      <c r="P24" s="80"/>
      <c r="Q24" s="74"/>
      <c r="R24" s="1"/>
      <c r="S24" s="1"/>
      <c r="T24" s="1"/>
      <c r="U24" s="1"/>
      <c r="V24" s="48"/>
      <c r="W24" s="1"/>
      <c r="X24" s="1"/>
      <c r="Y24" s="1"/>
      <c r="Z24" s="1"/>
    </row>
    <row r="25" spans="1:26" ht="14.25" customHeight="1" outlineLevel="1" x14ac:dyDescent="0.25">
      <c r="A25" s="52"/>
      <c r="B25" s="93" t="s">
        <v>48</v>
      </c>
      <c r="C25" s="66" t="s">
        <v>25</v>
      </c>
      <c r="D25" s="67">
        <f t="shared" ref="D25:F25" si="11">D8+N25</f>
        <v>2675</v>
      </c>
      <c r="E25" s="68">
        <f t="shared" si="11"/>
        <v>5250</v>
      </c>
      <c r="F25" s="69">
        <f t="shared" si="11"/>
        <v>5250</v>
      </c>
      <c r="G25" s="76"/>
      <c r="H25" s="78"/>
      <c r="I25" s="76"/>
      <c r="J25" s="76"/>
      <c r="K25" s="1"/>
      <c r="L25" s="1"/>
      <c r="M25" s="1"/>
      <c r="N25" s="80">
        <v>250</v>
      </c>
      <c r="O25" s="80">
        <v>400</v>
      </c>
      <c r="P25" s="80">
        <v>400</v>
      </c>
      <c r="Q25" s="74" t="s">
        <v>34</v>
      </c>
      <c r="R25" s="1"/>
      <c r="S25" s="1"/>
      <c r="T25" s="1"/>
      <c r="U25" s="1"/>
      <c r="V25" s="48"/>
      <c r="W25" s="1"/>
      <c r="X25" s="1"/>
      <c r="Y25" s="1"/>
      <c r="Z25" s="1"/>
    </row>
    <row r="26" spans="1:26" ht="14.25" customHeight="1" outlineLevel="1" x14ac:dyDescent="0.25">
      <c r="A26" s="52"/>
      <c r="B26" s="81" t="s">
        <v>49</v>
      </c>
      <c r="C26" s="66" t="s">
        <v>25</v>
      </c>
      <c r="D26" s="85">
        <f>$D$8+N26</f>
        <v>2675</v>
      </c>
      <c r="E26" s="86">
        <f>$E$8+O26</f>
        <v>5250</v>
      </c>
      <c r="F26" s="69">
        <f>E26</f>
        <v>5250</v>
      </c>
      <c r="G26" s="76"/>
      <c r="H26" s="78"/>
      <c r="I26" s="76"/>
      <c r="J26" s="76"/>
      <c r="K26" s="1"/>
      <c r="L26" s="1"/>
      <c r="M26" s="1"/>
      <c r="N26" s="80">
        <v>250</v>
      </c>
      <c r="O26" s="80">
        <v>400</v>
      </c>
      <c r="P26" s="80">
        <v>400</v>
      </c>
      <c r="Q26" s="74" t="s">
        <v>34</v>
      </c>
      <c r="R26" s="1"/>
      <c r="S26" s="1"/>
      <c r="T26" s="1"/>
      <c r="U26" s="1"/>
      <c r="V26" s="48"/>
      <c r="W26" s="1"/>
      <c r="X26" s="1"/>
      <c r="Y26" s="1"/>
      <c r="Z26" s="1"/>
    </row>
    <row r="27" spans="1:26" ht="14.25" customHeight="1" outlineLevel="1" x14ac:dyDescent="0.25">
      <c r="A27" s="52"/>
      <c r="B27" s="81" t="s">
        <v>50</v>
      </c>
      <c r="C27" s="66" t="s">
        <v>25</v>
      </c>
      <c r="D27" s="94">
        <f t="shared" ref="D27:F27" si="12">D7+N27</f>
        <v>2725</v>
      </c>
      <c r="E27" s="86">
        <f t="shared" si="12"/>
        <v>5350</v>
      </c>
      <c r="F27" s="95">
        <f t="shared" si="12"/>
        <v>5350</v>
      </c>
      <c r="G27" s="76"/>
      <c r="H27" s="78"/>
      <c r="I27" s="76"/>
      <c r="J27" s="76"/>
      <c r="K27" s="1"/>
      <c r="L27" s="1"/>
      <c r="M27" s="1"/>
      <c r="N27" s="72">
        <v>200</v>
      </c>
      <c r="O27" s="72">
        <v>300</v>
      </c>
      <c r="P27" s="72">
        <v>300</v>
      </c>
      <c r="Q27" s="74" t="s">
        <v>31</v>
      </c>
      <c r="R27" s="1"/>
      <c r="S27" s="1"/>
      <c r="T27" s="1"/>
      <c r="U27" s="1"/>
      <c r="V27" s="48"/>
      <c r="W27" s="1"/>
      <c r="X27" s="1"/>
      <c r="Y27" s="1"/>
      <c r="Z27" s="1"/>
    </row>
    <row r="28" spans="1:26" ht="14.25" customHeight="1" outlineLevel="1" x14ac:dyDescent="0.25">
      <c r="A28" s="52"/>
      <c r="B28" s="81" t="s">
        <v>51</v>
      </c>
      <c r="C28" s="66" t="s">
        <v>25</v>
      </c>
      <c r="D28" s="85">
        <f t="shared" ref="D28:D29" si="13">$D$8+N28</f>
        <v>2625</v>
      </c>
      <c r="E28" s="86">
        <f t="shared" ref="E28:E29" si="14">$E$8+O28</f>
        <v>5150</v>
      </c>
      <c r="F28" s="69">
        <f t="shared" ref="F28:F29" si="15">E28</f>
        <v>5150</v>
      </c>
      <c r="G28" s="76"/>
      <c r="H28" s="78"/>
      <c r="I28" s="76"/>
      <c r="J28" s="76"/>
      <c r="K28" s="1"/>
      <c r="L28" s="1"/>
      <c r="M28" s="1"/>
      <c r="N28" s="72">
        <v>200</v>
      </c>
      <c r="O28" s="72">
        <v>300</v>
      </c>
      <c r="P28" s="72">
        <v>300</v>
      </c>
      <c r="Q28" s="74" t="s">
        <v>34</v>
      </c>
      <c r="R28" s="1"/>
      <c r="S28" s="1"/>
      <c r="T28" s="1"/>
      <c r="U28" s="1"/>
      <c r="V28" s="48"/>
      <c r="W28" s="1"/>
      <c r="X28" s="1"/>
      <c r="Y28" s="1"/>
      <c r="Z28" s="1"/>
    </row>
    <row r="29" spans="1:26" ht="14.25" customHeight="1" outlineLevel="1" x14ac:dyDescent="0.25">
      <c r="A29" s="52"/>
      <c r="B29" s="81" t="s">
        <v>52</v>
      </c>
      <c r="C29" s="66" t="s">
        <v>25</v>
      </c>
      <c r="D29" s="85">
        <f t="shared" si="13"/>
        <v>2675</v>
      </c>
      <c r="E29" s="86">
        <f t="shared" si="14"/>
        <v>5250</v>
      </c>
      <c r="F29" s="69">
        <f t="shared" si="15"/>
        <v>5250</v>
      </c>
      <c r="G29" s="76"/>
      <c r="H29" s="78"/>
      <c r="I29" s="76"/>
      <c r="J29" s="76"/>
      <c r="K29" s="1"/>
      <c r="L29" s="1"/>
      <c r="M29" s="1"/>
      <c r="N29" s="80">
        <v>250</v>
      </c>
      <c r="O29" s="80">
        <v>400</v>
      </c>
      <c r="P29" s="80">
        <v>400</v>
      </c>
      <c r="Q29" s="74" t="s">
        <v>34</v>
      </c>
      <c r="R29" s="1"/>
      <c r="S29" s="1"/>
      <c r="T29" s="1"/>
      <c r="U29" s="1"/>
      <c r="V29" s="48"/>
      <c r="W29" s="1"/>
      <c r="X29" s="1"/>
      <c r="Y29" s="1"/>
      <c r="Z29" s="1"/>
    </row>
    <row r="30" spans="1:26" ht="14.25" customHeight="1" outlineLevel="1" x14ac:dyDescent="0.25">
      <c r="A30" s="52"/>
      <c r="B30" s="81" t="s">
        <v>53</v>
      </c>
      <c r="C30" s="66" t="s">
        <v>25</v>
      </c>
      <c r="D30" s="85">
        <f t="shared" ref="D30:F30" si="16">D9+N30</f>
        <v>2725</v>
      </c>
      <c r="E30" s="86">
        <f t="shared" si="16"/>
        <v>5350</v>
      </c>
      <c r="F30" s="69">
        <f t="shared" si="16"/>
        <v>5350</v>
      </c>
      <c r="G30" s="76"/>
      <c r="H30" s="78"/>
      <c r="I30" s="76"/>
      <c r="J30" s="76"/>
      <c r="K30" s="1"/>
      <c r="L30" s="1"/>
      <c r="M30" s="1"/>
      <c r="N30" s="72">
        <v>200</v>
      </c>
      <c r="O30" s="72">
        <v>300</v>
      </c>
      <c r="P30" s="72">
        <v>300</v>
      </c>
      <c r="Q30" s="74" t="s">
        <v>54</v>
      </c>
      <c r="R30" s="1"/>
      <c r="S30" s="1"/>
      <c r="T30" s="1"/>
      <c r="U30" s="1"/>
      <c r="V30" s="48"/>
      <c r="W30" s="1"/>
      <c r="X30" s="1"/>
      <c r="Y30" s="1"/>
      <c r="Z30" s="1"/>
    </row>
    <row r="31" spans="1:26" ht="14.25" customHeight="1" outlineLevel="1" x14ac:dyDescent="0.25">
      <c r="A31" s="52"/>
      <c r="B31" s="81" t="s">
        <v>55</v>
      </c>
      <c r="C31" s="66" t="s">
        <v>25</v>
      </c>
      <c r="D31" s="85">
        <f t="shared" ref="D31:D33" si="17">$D$8+N31</f>
        <v>2725</v>
      </c>
      <c r="E31" s="86">
        <f t="shared" ref="E31:E33" si="18">$E$8+O31</f>
        <v>5425</v>
      </c>
      <c r="F31" s="69">
        <f t="shared" ref="F31:F33" si="19">E31</f>
        <v>5425</v>
      </c>
      <c r="G31" s="76"/>
      <c r="H31" s="78"/>
      <c r="I31" s="76"/>
      <c r="J31" s="76"/>
      <c r="K31" s="1"/>
      <c r="L31" s="1"/>
      <c r="M31" s="1"/>
      <c r="N31" s="80">
        <v>300</v>
      </c>
      <c r="O31" s="80">
        <v>575</v>
      </c>
      <c r="P31" s="80">
        <v>575</v>
      </c>
      <c r="Q31" s="74" t="s">
        <v>34</v>
      </c>
      <c r="R31" s="1"/>
      <c r="S31" s="1"/>
      <c r="T31" s="1"/>
      <c r="U31" s="1"/>
      <c r="V31" s="48"/>
      <c r="W31" s="1"/>
      <c r="X31" s="1"/>
      <c r="Y31" s="1"/>
      <c r="Z31" s="1"/>
    </row>
    <row r="32" spans="1:26" ht="14.25" customHeight="1" outlineLevel="1" x14ac:dyDescent="0.25">
      <c r="A32" s="52"/>
      <c r="B32" s="81" t="s">
        <v>56</v>
      </c>
      <c r="C32" s="66" t="s">
        <v>25</v>
      </c>
      <c r="D32" s="85">
        <f t="shared" si="17"/>
        <v>2725</v>
      </c>
      <c r="E32" s="86">
        <f t="shared" si="18"/>
        <v>5225</v>
      </c>
      <c r="F32" s="69">
        <f t="shared" si="19"/>
        <v>5225</v>
      </c>
      <c r="G32" s="76"/>
      <c r="H32" s="78"/>
      <c r="I32" s="76"/>
      <c r="J32" s="76"/>
      <c r="K32" s="1"/>
      <c r="L32" s="1"/>
      <c r="M32" s="1"/>
      <c r="N32" s="80">
        <v>300</v>
      </c>
      <c r="O32" s="80">
        <v>375</v>
      </c>
      <c r="P32" s="80">
        <v>375</v>
      </c>
      <c r="Q32" s="74" t="s">
        <v>34</v>
      </c>
      <c r="R32" s="1"/>
      <c r="S32" s="1"/>
      <c r="T32" s="1"/>
      <c r="U32" s="1"/>
      <c r="V32" s="48"/>
      <c r="W32" s="1"/>
      <c r="X32" s="1"/>
      <c r="Y32" s="1"/>
      <c r="Z32" s="1"/>
    </row>
    <row r="33" spans="1:26" ht="14.25" customHeight="1" outlineLevel="1" x14ac:dyDescent="0.25">
      <c r="A33" s="52"/>
      <c r="B33" s="81" t="s">
        <v>57</v>
      </c>
      <c r="C33" s="66" t="s">
        <v>25</v>
      </c>
      <c r="D33" s="85">
        <f t="shared" si="17"/>
        <v>2700</v>
      </c>
      <c r="E33" s="86">
        <f t="shared" si="18"/>
        <v>5225</v>
      </c>
      <c r="F33" s="69">
        <f t="shared" si="19"/>
        <v>5225</v>
      </c>
      <c r="G33" s="76"/>
      <c r="H33" s="78"/>
      <c r="I33" s="76"/>
      <c r="J33" s="76"/>
      <c r="K33" s="1"/>
      <c r="L33" s="1"/>
      <c r="M33" s="1"/>
      <c r="N33" s="80">
        <v>275</v>
      </c>
      <c r="O33" s="80">
        <v>375</v>
      </c>
      <c r="P33" s="80">
        <v>375</v>
      </c>
      <c r="Q33" s="74" t="s">
        <v>34</v>
      </c>
      <c r="R33" s="1"/>
      <c r="S33" s="1"/>
      <c r="T33" s="1"/>
      <c r="U33" s="1"/>
      <c r="V33" s="48"/>
      <c r="W33" s="1"/>
      <c r="X33" s="1"/>
      <c r="Y33" s="1"/>
      <c r="Z33" s="1"/>
    </row>
    <row r="34" spans="1:26" ht="14.25" customHeight="1" outlineLevel="1" x14ac:dyDescent="0.25">
      <c r="A34" s="52"/>
      <c r="B34" s="81" t="s">
        <v>58</v>
      </c>
      <c r="C34" s="66" t="s">
        <v>25</v>
      </c>
      <c r="D34" s="85">
        <f t="shared" ref="D34:F34" si="20">D7+N34</f>
        <v>2725</v>
      </c>
      <c r="E34" s="86">
        <f t="shared" si="20"/>
        <v>5350</v>
      </c>
      <c r="F34" s="95">
        <f t="shared" si="20"/>
        <v>5350</v>
      </c>
      <c r="G34" s="76"/>
      <c r="H34" s="78"/>
      <c r="I34" s="76"/>
      <c r="J34" s="76"/>
      <c r="K34" s="1"/>
      <c r="L34" s="1"/>
      <c r="M34" s="1"/>
      <c r="N34" s="72">
        <v>200</v>
      </c>
      <c r="O34" s="72">
        <v>300</v>
      </c>
      <c r="P34" s="72">
        <v>300</v>
      </c>
      <c r="Q34" s="74" t="s">
        <v>31</v>
      </c>
      <c r="R34" s="1"/>
      <c r="S34" s="1"/>
      <c r="T34" s="1"/>
      <c r="U34" s="1"/>
      <c r="V34" s="48"/>
      <c r="W34" s="1"/>
      <c r="X34" s="1"/>
      <c r="Y34" s="1"/>
      <c r="Z34" s="1"/>
    </row>
    <row r="35" spans="1:26" ht="14.25" customHeight="1" outlineLevel="1" x14ac:dyDescent="0.25">
      <c r="A35" s="52"/>
      <c r="B35" s="81" t="s">
        <v>59</v>
      </c>
      <c r="C35" s="66" t="s">
        <v>25</v>
      </c>
      <c r="D35" s="85">
        <f t="shared" ref="D35:D37" si="21">$D$8+N35</f>
        <v>2700</v>
      </c>
      <c r="E35" s="86">
        <f t="shared" ref="E35:E37" si="22">$E$8+O35</f>
        <v>5525</v>
      </c>
      <c r="F35" s="69">
        <f t="shared" ref="F35:F44" si="23">E35</f>
        <v>5525</v>
      </c>
      <c r="G35" s="76"/>
      <c r="H35" s="78"/>
      <c r="I35" s="76"/>
      <c r="J35" s="76"/>
      <c r="K35" s="1"/>
      <c r="L35" s="1"/>
      <c r="M35" s="1"/>
      <c r="N35" s="80">
        <v>275</v>
      </c>
      <c r="O35" s="80">
        <v>675</v>
      </c>
      <c r="P35" s="80">
        <v>675</v>
      </c>
      <c r="Q35" s="74" t="s">
        <v>34</v>
      </c>
      <c r="R35" s="1"/>
      <c r="S35" s="1"/>
      <c r="T35" s="1"/>
      <c r="U35" s="1"/>
      <c r="V35" s="48"/>
      <c r="W35" s="1"/>
      <c r="X35" s="1"/>
      <c r="Y35" s="1"/>
      <c r="Z35" s="1"/>
    </row>
    <row r="36" spans="1:26" ht="14.25" customHeight="1" outlineLevel="1" x14ac:dyDescent="0.25">
      <c r="A36" s="52"/>
      <c r="B36" s="81" t="s">
        <v>60</v>
      </c>
      <c r="C36" s="66" t="s">
        <v>25</v>
      </c>
      <c r="D36" s="85">
        <f t="shared" si="21"/>
        <v>2700</v>
      </c>
      <c r="E36" s="86">
        <f t="shared" si="22"/>
        <v>5225</v>
      </c>
      <c r="F36" s="69">
        <f t="shared" si="23"/>
        <v>5225</v>
      </c>
      <c r="G36" s="76"/>
      <c r="H36" s="78"/>
      <c r="I36" s="76"/>
      <c r="J36" s="76"/>
      <c r="K36" s="1"/>
      <c r="L36" s="1"/>
      <c r="M36" s="1"/>
      <c r="N36" s="80">
        <v>275</v>
      </c>
      <c r="O36" s="80">
        <v>375</v>
      </c>
      <c r="P36" s="80">
        <v>375</v>
      </c>
      <c r="Q36" s="74" t="s">
        <v>34</v>
      </c>
      <c r="R36" s="1"/>
      <c r="S36" s="1"/>
      <c r="T36" s="1"/>
      <c r="U36" s="1"/>
      <c r="V36" s="48"/>
      <c r="W36" s="1"/>
      <c r="X36" s="1"/>
      <c r="Y36" s="1"/>
      <c r="Z36" s="1"/>
    </row>
    <row r="37" spans="1:26" ht="14.25" customHeight="1" outlineLevel="1" x14ac:dyDescent="0.25">
      <c r="A37" s="52"/>
      <c r="B37" s="81" t="s">
        <v>61</v>
      </c>
      <c r="C37" s="66" t="s">
        <v>25</v>
      </c>
      <c r="D37" s="85">
        <f t="shared" si="21"/>
        <v>2675</v>
      </c>
      <c r="E37" s="86">
        <f t="shared" si="22"/>
        <v>5200</v>
      </c>
      <c r="F37" s="69">
        <f t="shared" si="23"/>
        <v>5200</v>
      </c>
      <c r="G37" s="76"/>
      <c r="H37" s="78"/>
      <c r="I37" s="76"/>
      <c r="J37" s="76"/>
      <c r="K37" s="1"/>
      <c r="L37" s="1"/>
      <c r="M37" s="1"/>
      <c r="N37" s="80">
        <v>250</v>
      </c>
      <c r="O37" s="80">
        <v>350</v>
      </c>
      <c r="P37" s="80">
        <v>350</v>
      </c>
      <c r="Q37" s="74" t="s">
        <v>34</v>
      </c>
      <c r="R37" s="1"/>
      <c r="S37" s="1"/>
      <c r="T37" s="1"/>
      <c r="U37" s="1"/>
      <c r="V37" s="48"/>
      <c r="W37" s="1"/>
      <c r="X37" s="1"/>
      <c r="Y37" s="1"/>
      <c r="Z37" s="1"/>
    </row>
    <row r="38" spans="1:26" ht="14.25" customHeight="1" outlineLevel="1" x14ac:dyDescent="0.25">
      <c r="A38" s="52"/>
      <c r="B38" s="103" t="s">
        <v>62</v>
      </c>
      <c r="C38" s="105" t="s">
        <v>25</v>
      </c>
      <c r="D38" s="106">
        <f t="shared" ref="D38:E38" si="24">D9+N38</f>
        <v>2600</v>
      </c>
      <c r="E38" s="107">
        <f t="shared" si="24"/>
        <v>5175</v>
      </c>
      <c r="F38" s="108">
        <f t="shared" si="23"/>
        <v>5175</v>
      </c>
      <c r="G38" s="110"/>
      <c r="H38" s="111"/>
      <c r="I38" s="110"/>
      <c r="J38" s="110"/>
      <c r="K38" s="1"/>
      <c r="L38" s="1"/>
      <c r="M38" s="1"/>
      <c r="N38" s="80">
        <v>75</v>
      </c>
      <c r="O38" s="80">
        <v>125</v>
      </c>
      <c r="P38" s="80">
        <v>125</v>
      </c>
      <c r="Q38" s="74" t="s">
        <v>54</v>
      </c>
      <c r="R38" s="1"/>
      <c r="S38" s="1"/>
      <c r="T38" s="1"/>
      <c r="U38" s="1"/>
      <c r="V38" s="48"/>
      <c r="W38" s="1"/>
      <c r="X38" s="1"/>
      <c r="Y38" s="1"/>
      <c r="Z38" s="1"/>
    </row>
    <row r="39" spans="1:26" ht="14.25" customHeight="1" x14ac:dyDescent="0.25">
      <c r="A39" s="234" t="s">
        <v>63</v>
      </c>
      <c r="B39" s="30" t="s">
        <v>64</v>
      </c>
      <c r="C39" s="104" t="s">
        <v>25</v>
      </c>
      <c r="D39" s="40">
        <f>'ex NEA to AUBNE_AUMEL'!D39</f>
        <v>2575</v>
      </c>
      <c r="E39" s="59">
        <f>'ex NEA to AUBNE_AUMEL'!E39</f>
        <v>5050</v>
      </c>
      <c r="F39" s="42">
        <f t="shared" si="23"/>
        <v>5050</v>
      </c>
      <c r="G39" s="40">
        <f>'ex NEA to AUBNE_AUMEL'!G39</f>
        <v>2675</v>
      </c>
      <c r="H39" s="42">
        <f>'ex NEA to AUBNE_AUMEL'!H39</f>
        <v>5250</v>
      </c>
      <c r="I39" s="112">
        <f>'ex NEA to AUBNE_AUMEL'!I39</f>
        <v>1925</v>
      </c>
      <c r="J39" s="112">
        <f>'ex NEA to AUBNE_AUMEL'!J39</f>
        <v>3750</v>
      </c>
      <c r="K39" s="1"/>
      <c r="L39" s="1"/>
      <c r="M39" s="1"/>
      <c r="N39" s="1">
        <v>150</v>
      </c>
      <c r="O39" s="1">
        <v>200</v>
      </c>
      <c r="P39" s="1">
        <v>200</v>
      </c>
      <c r="Q39" s="1"/>
      <c r="R39" s="1"/>
      <c r="S39" s="1"/>
      <c r="T39" s="1"/>
      <c r="U39" s="1"/>
      <c r="V39" s="48"/>
      <c r="W39" s="1"/>
      <c r="X39" s="1"/>
      <c r="Y39" s="1"/>
      <c r="Z39" s="1"/>
    </row>
    <row r="40" spans="1:26" ht="14.25" customHeight="1" x14ac:dyDescent="0.25">
      <c r="A40" s="232"/>
      <c r="B40" s="81" t="s">
        <v>65</v>
      </c>
      <c r="C40" s="105" t="s">
        <v>25</v>
      </c>
      <c r="D40" s="106">
        <f t="shared" ref="D40:D42" si="25">$D$39+N40</f>
        <v>2675</v>
      </c>
      <c r="E40" s="107">
        <f t="shared" ref="E40:E42" si="26">$E$39+O40</f>
        <v>5250</v>
      </c>
      <c r="F40" s="108">
        <f t="shared" si="23"/>
        <v>5250</v>
      </c>
      <c r="G40" s="76"/>
      <c r="H40" s="78"/>
      <c r="I40" s="113"/>
      <c r="J40" s="113"/>
      <c r="K40" s="1"/>
      <c r="L40" s="1"/>
      <c r="M40" s="1"/>
      <c r="N40" s="80">
        <v>100</v>
      </c>
      <c r="O40" s="80">
        <v>200</v>
      </c>
      <c r="P40" s="80">
        <v>200</v>
      </c>
      <c r="Q40" s="80"/>
      <c r="R40" s="1"/>
      <c r="S40" s="1"/>
      <c r="T40" s="1"/>
      <c r="U40" s="1"/>
      <c r="V40" s="48"/>
      <c r="W40" s="1"/>
      <c r="X40" s="1"/>
      <c r="Y40" s="1"/>
      <c r="Z40" s="1"/>
    </row>
    <row r="41" spans="1:26" ht="14.25" customHeight="1" x14ac:dyDescent="0.25">
      <c r="A41" s="232"/>
      <c r="B41" s="81" t="s">
        <v>66</v>
      </c>
      <c r="C41" s="105" t="s">
        <v>25</v>
      </c>
      <c r="D41" s="106">
        <f t="shared" si="25"/>
        <v>2825</v>
      </c>
      <c r="E41" s="107">
        <f t="shared" si="26"/>
        <v>5550</v>
      </c>
      <c r="F41" s="108">
        <f t="shared" si="23"/>
        <v>5550</v>
      </c>
      <c r="G41" s="76"/>
      <c r="H41" s="78"/>
      <c r="I41" s="113"/>
      <c r="J41" s="113"/>
      <c r="K41" s="1"/>
      <c r="L41" s="1"/>
      <c r="M41" s="1"/>
      <c r="N41" s="80">
        <v>250</v>
      </c>
      <c r="O41" s="80">
        <v>500</v>
      </c>
      <c r="P41" s="80">
        <v>500</v>
      </c>
      <c r="Q41" s="80"/>
      <c r="R41" s="1"/>
      <c r="S41" s="1"/>
      <c r="T41" s="1"/>
      <c r="U41" s="1"/>
      <c r="V41" s="48"/>
      <c r="W41" s="1"/>
      <c r="X41" s="1"/>
      <c r="Y41" s="1"/>
      <c r="Z41" s="1"/>
    </row>
    <row r="42" spans="1:26" ht="14.25" customHeight="1" outlineLevel="1" x14ac:dyDescent="0.25">
      <c r="A42" s="233"/>
      <c r="B42" s="96" t="s">
        <v>67</v>
      </c>
      <c r="C42" s="97" t="s">
        <v>25</v>
      </c>
      <c r="D42" s="98">
        <f t="shared" si="25"/>
        <v>2825</v>
      </c>
      <c r="E42" s="99">
        <f t="shared" si="26"/>
        <v>5550</v>
      </c>
      <c r="F42" s="100">
        <f t="shared" si="23"/>
        <v>5550</v>
      </c>
      <c r="G42" s="101"/>
      <c r="H42" s="102"/>
      <c r="I42" s="109"/>
      <c r="J42" s="109"/>
      <c r="K42" s="1"/>
      <c r="L42" s="1"/>
      <c r="M42" s="1"/>
      <c r="N42" s="80">
        <v>250</v>
      </c>
      <c r="O42" s="80">
        <v>500</v>
      </c>
      <c r="P42" s="80">
        <v>500</v>
      </c>
      <c r="Q42" s="80"/>
      <c r="R42" s="1"/>
      <c r="S42" s="1"/>
      <c r="T42" s="1"/>
      <c r="U42" s="1"/>
      <c r="V42" s="48"/>
      <c r="W42" s="1"/>
      <c r="X42" s="1"/>
      <c r="Y42" s="1"/>
      <c r="Z42" s="1"/>
    </row>
    <row r="43" spans="1:26" ht="14.25" customHeight="1" outlineLevel="1" x14ac:dyDescent="0.25">
      <c r="A43" s="269" t="s">
        <v>68</v>
      </c>
      <c r="B43" s="114" t="s">
        <v>69</v>
      </c>
      <c r="C43" s="115" t="s">
        <v>25</v>
      </c>
      <c r="D43" s="40">
        <f>'ex NEA to AUBNE_AUMEL'!D43</f>
        <v>2425</v>
      </c>
      <c r="E43" s="59">
        <f>'ex NEA to AUBNE_AUMEL'!E43</f>
        <v>4850</v>
      </c>
      <c r="F43" s="42">
        <f t="shared" si="23"/>
        <v>4850</v>
      </c>
      <c r="G43" s="40">
        <f>'ex NEA to AUBNE_AUMEL'!G43</f>
        <v>2525</v>
      </c>
      <c r="H43" s="42">
        <f>'ex NEA to AUBNE_AUMEL'!H43</f>
        <v>5050</v>
      </c>
      <c r="I43" s="61">
        <f>'ex NEA to AUBNE_AUMEL'!I43</f>
        <v>1775</v>
      </c>
      <c r="J43" s="61">
        <f>'ex NEA to AUBNE_AUMEL'!J43</f>
        <v>3550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48"/>
      <c r="W43" s="1"/>
      <c r="X43" s="1"/>
      <c r="Y43" s="1"/>
      <c r="Z43" s="1"/>
    </row>
    <row r="44" spans="1:26" ht="14.25" customHeight="1" outlineLevel="1" x14ac:dyDescent="0.25">
      <c r="A44" s="232"/>
      <c r="B44" s="53" t="s">
        <v>71</v>
      </c>
      <c r="C44" s="56" t="s">
        <v>25</v>
      </c>
      <c r="D44" s="40">
        <f>'ex NEA to AUBNE_AUMEL'!D44</f>
        <v>2425</v>
      </c>
      <c r="E44" s="59">
        <f>'ex NEA to AUBNE_AUMEL'!E44</f>
        <v>4850</v>
      </c>
      <c r="F44" s="42">
        <f t="shared" si="23"/>
        <v>4850</v>
      </c>
      <c r="G44" s="40">
        <f>'ex NEA to AUBNE_AUMEL'!G44</f>
        <v>2525</v>
      </c>
      <c r="H44" s="42">
        <f>'ex NEA to AUBNE_AUMEL'!H44</f>
        <v>5050</v>
      </c>
      <c r="I44" s="61">
        <f>'ex NEA to AUBNE_AUMEL'!I44</f>
        <v>1775</v>
      </c>
      <c r="J44" s="61">
        <f>'ex NEA to AUBNE_AUMEL'!J44</f>
        <v>3550</v>
      </c>
      <c r="K44" s="1"/>
      <c r="L44" s="1"/>
      <c r="M44" s="1"/>
      <c r="N44" s="236"/>
      <c r="O44" s="237"/>
      <c r="P44" s="237"/>
      <c r="Q44" s="1"/>
      <c r="R44" s="1"/>
      <c r="S44" s="1"/>
      <c r="T44" s="1"/>
      <c r="U44" s="1"/>
      <c r="V44" s="48"/>
      <c r="W44" s="1"/>
      <c r="X44" s="1"/>
      <c r="Y44" s="1"/>
      <c r="Z44" s="1"/>
    </row>
    <row r="45" spans="1:26" ht="14.25" customHeight="1" outlineLevel="1" x14ac:dyDescent="0.25">
      <c r="A45" s="232"/>
      <c r="B45" s="53" t="s">
        <v>72</v>
      </c>
      <c r="C45" s="66" t="s">
        <v>25</v>
      </c>
      <c r="D45" s="67">
        <f>D44+460</f>
        <v>2885</v>
      </c>
      <c r="E45" s="68">
        <f t="shared" ref="E45:F45" si="27">E44+600</f>
        <v>5450</v>
      </c>
      <c r="F45" s="68">
        <f t="shared" si="27"/>
        <v>5450</v>
      </c>
      <c r="G45" s="110"/>
      <c r="H45" s="111"/>
      <c r="I45" s="86"/>
      <c r="J45" s="86"/>
      <c r="K45" s="1"/>
      <c r="L45" s="1"/>
      <c r="M45" s="1"/>
      <c r="N45" s="116"/>
      <c r="O45" s="116"/>
      <c r="P45" s="116"/>
      <c r="Q45" s="1"/>
      <c r="R45" s="1"/>
      <c r="S45" s="1"/>
      <c r="T45" s="1"/>
      <c r="U45" s="1"/>
      <c r="V45" s="48"/>
      <c r="W45" s="1"/>
      <c r="X45" s="1"/>
      <c r="Y45" s="1"/>
      <c r="Z45" s="1"/>
    </row>
    <row r="46" spans="1:26" ht="14.25" customHeight="1" outlineLevel="1" x14ac:dyDescent="0.25">
      <c r="A46" s="232"/>
      <c r="B46" s="53" t="s">
        <v>73</v>
      </c>
      <c r="C46" s="66" t="s">
        <v>25</v>
      </c>
      <c r="D46" s="67">
        <f>D44+500</f>
        <v>2925</v>
      </c>
      <c r="E46" s="68">
        <f t="shared" ref="E46:F46" si="28">E44+650</f>
        <v>5500</v>
      </c>
      <c r="F46" s="121">
        <f t="shared" si="28"/>
        <v>5500</v>
      </c>
      <c r="G46" s="110"/>
      <c r="H46" s="111"/>
      <c r="I46" s="86"/>
      <c r="J46" s="86"/>
      <c r="K46" s="1"/>
      <c r="L46" s="1"/>
      <c r="M46" s="1"/>
      <c r="N46" s="116"/>
      <c r="O46" s="116"/>
      <c r="P46" s="116"/>
      <c r="Q46" s="1"/>
      <c r="R46" s="1"/>
      <c r="S46" s="1"/>
      <c r="T46" s="1"/>
      <c r="U46" s="1"/>
      <c r="V46" s="48"/>
      <c r="W46" s="1"/>
      <c r="X46" s="1"/>
      <c r="Y46" s="1"/>
      <c r="Z46" s="1"/>
    </row>
    <row r="47" spans="1:26" ht="14.25" customHeight="1" outlineLevel="1" x14ac:dyDescent="0.25">
      <c r="A47" s="232"/>
      <c r="B47" s="53" t="s">
        <v>74</v>
      </c>
      <c r="C47" s="66" t="s">
        <v>25</v>
      </c>
      <c r="D47" s="67">
        <f t="shared" ref="D47:F47" si="29">D43+N47</f>
        <v>2525</v>
      </c>
      <c r="E47" s="68">
        <f t="shared" si="29"/>
        <v>5050</v>
      </c>
      <c r="F47" s="69">
        <f t="shared" si="29"/>
        <v>5050</v>
      </c>
      <c r="G47" s="110"/>
      <c r="H47" s="111"/>
      <c r="I47" s="86"/>
      <c r="J47" s="86"/>
      <c r="K47" s="1"/>
      <c r="L47" s="1"/>
      <c r="M47" s="1"/>
      <c r="N47" s="72">
        <v>100</v>
      </c>
      <c r="O47" s="72">
        <v>200</v>
      </c>
      <c r="P47" s="72">
        <v>200</v>
      </c>
      <c r="Q47" s="74" t="s">
        <v>76</v>
      </c>
      <c r="R47" s="1"/>
      <c r="S47" s="1"/>
      <c r="T47" s="1"/>
      <c r="U47" s="1"/>
      <c r="V47" s="48"/>
      <c r="W47" s="1"/>
      <c r="X47" s="1"/>
      <c r="Y47" s="1"/>
      <c r="Z47" s="1"/>
    </row>
    <row r="48" spans="1:26" ht="14.25" customHeight="1" outlineLevel="1" x14ac:dyDescent="0.25">
      <c r="A48" s="232"/>
      <c r="B48" s="88" t="s">
        <v>77</v>
      </c>
      <c r="C48" s="105" t="s">
        <v>25</v>
      </c>
      <c r="D48" s="67">
        <f t="shared" ref="D48:F48" si="30">D43+N48</f>
        <v>2625</v>
      </c>
      <c r="E48" s="68">
        <f t="shared" si="30"/>
        <v>5150</v>
      </c>
      <c r="F48" s="69">
        <f t="shared" si="30"/>
        <v>5150</v>
      </c>
      <c r="G48" s="110"/>
      <c r="H48" s="111"/>
      <c r="I48" s="113"/>
      <c r="J48" s="113"/>
      <c r="K48" s="1"/>
      <c r="L48" s="1"/>
      <c r="M48" s="1"/>
      <c r="N48" s="72">
        <v>200</v>
      </c>
      <c r="O48" s="72">
        <v>300</v>
      </c>
      <c r="P48" s="72">
        <v>300</v>
      </c>
      <c r="Q48" s="74" t="s">
        <v>76</v>
      </c>
      <c r="R48" s="1"/>
      <c r="S48" s="1"/>
      <c r="T48" s="1"/>
      <c r="U48" s="1"/>
      <c r="V48" s="48"/>
      <c r="W48" s="1"/>
      <c r="X48" s="1"/>
      <c r="Y48" s="1"/>
      <c r="Z48" s="1"/>
    </row>
    <row r="49" spans="1:26" ht="14.25" customHeight="1" outlineLevel="1" x14ac:dyDescent="0.25">
      <c r="A49" s="270"/>
      <c r="B49" s="103" t="s">
        <v>78</v>
      </c>
      <c r="C49" s="105" t="s">
        <v>25</v>
      </c>
      <c r="D49" s="106">
        <f>$D$43+N49</f>
        <v>2725</v>
      </c>
      <c r="E49" s="107">
        <f>$E$43+O49</f>
        <v>5350</v>
      </c>
      <c r="F49" s="108">
        <f t="shared" ref="F49:F54" si="31">E49</f>
        <v>5350</v>
      </c>
      <c r="G49" s="110"/>
      <c r="H49" s="111"/>
      <c r="I49" s="113"/>
      <c r="J49" s="113"/>
      <c r="K49" s="1"/>
      <c r="L49" s="1"/>
      <c r="M49" s="1"/>
      <c r="N49" s="72">
        <v>300</v>
      </c>
      <c r="O49" s="72">
        <v>500</v>
      </c>
      <c r="P49" s="72">
        <v>500</v>
      </c>
      <c r="Q49" s="74" t="s">
        <v>76</v>
      </c>
      <c r="R49" s="1"/>
      <c r="S49" s="1"/>
      <c r="T49" s="1"/>
      <c r="U49" s="1"/>
      <c r="V49" s="48"/>
      <c r="W49" s="1"/>
      <c r="X49" s="1"/>
      <c r="Y49" s="1"/>
      <c r="Z49" s="1"/>
    </row>
    <row r="50" spans="1:26" ht="14.25" customHeight="1" outlineLevel="1" x14ac:dyDescent="0.25">
      <c r="A50" s="126" t="s">
        <v>79</v>
      </c>
      <c r="B50" s="127" t="s">
        <v>80</v>
      </c>
      <c r="C50" s="128" t="s">
        <v>25</v>
      </c>
      <c r="D50" s="129">
        <f>'ex NEA to AUBNE_AUMEL'!D50</f>
        <v>2325</v>
      </c>
      <c r="E50" s="130">
        <f>'ex NEA to AUBNE_AUMEL'!E50</f>
        <v>4650</v>
      </c>
      <c r="F50" s="131">
        <f t="shared" si="31"/>
        <v>4650</v>
      </c>
      <c r="G50" s="129">
        <f>'ex NEA to AUBNE_AUMEL'!G50</f>
        <v>2425</v>
      </c>
      <c r="H50" s="131">
        <f>'ex NEA to AUBNE_AUMEL'!H50</f>
        <v>4850</v>
      </c>
      <c r="I50" s="139">
        <f>'ex NEA to AUBNE_AUMEL'!I50</f>
        <v>1675</v>
      </c>
      <c r="J50" s="139">
        <f>'ex NEA to AUBNE_AUMEL'!J50</f>
        <v>3350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8"/>
      <c r="W50" s="1"/>
      <c r="X50" s="1"/>
      <c r="Y50" s="1"/>
      <c r="Z50" s="1"/>
    </row>
    <row r="51" spans="1:26" ht="14.25" customHeight="1" outlineLevel="1" x14ac:dyDescent="0.25">
      <c r="A51" s="271" t="s">
        <v>81</v>
      </c>
      <c r="B51" s="114" t="s">
        <v>82</v>
      </c>
      <c r="C51" s="115" t="s">
        <v>25</v>
      </c>
      <c r="D51" s="63">
        <f>'ex NEA to AUBNE_AUMEL'!D51</f>
        <v>2425</v>
      </c>
      <c r="E51" s="135">
        <f>'ex NEA to AUBNE_AUMEL'!E51</f>
        <v>4850</v>
      </c>
      <c r="F51" s="137">
        <f t="shared" si="31"/>
        <v>4850</v>
      </c>
      <c r="G51" s="63">
        <f>'ex NEA to AUBNE_AUMEL'!G51</f>
        <v>2525</v>
      </c>
      <c r="H51" s="137">
        <f>'ex NEA to AUBNE_AUMEL'!H51</f>
        <v>5050</v>
      </c>
      <c r="I51" s="61">
        <f>'ex NEA to AUBNE_AUMEL'!I51</f>
        <v>1775</v>
      </c>
      <c r="J51" s="61">
        <f>'ex NEA to AUBNE_AUMEL'!J51</f>
        <v>3550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8"/>
      <c r="W51" s="1"/>
      <c r="X51" s="1"/>
      <c r="Y51" s="1"/>
      <c r="Z51" s="1"/>
    </row>
    <row r="52" spans="1:26" ht="14.25" customHeight="1" outlineLevel="1" x14ac:dyDescent="0.25">
      <c r="A52" s="232"/>
      <c r="B52" s="114" t="s">
        <v>83</v>
      </c>
      <c r="C52" s="115" t="s">
        <v>25</v>
      </c>
      <c r="D52" s="63">
        <f>D51</f>
        <v>2425</v>
      </c>
      <c r="E52" s="135">
        <f>'ex NEA to AUBNE_AUMEL'!E52</f>
        <v>4850</v>
      </c>
      <c r="F52" s="137">
        <f t="shared" si="31"/>
        <v>4850</v>
      </c>
      <c r="G52" s="40">
        <f>'ex NEA to AUBNE_AUMEL'!G52</f>
        <v>2525</v>
      </c>
      <c r="H52" s="42">
        <f>'ex NEA to AUBNE_AUMEL'!H52</f>
        <v>5050</v>
      </c>
      <c r="I52" s="61">
        <f>'ex NEA to AUBNE_AUMEL'!I52</f>
        <v>1775</v>
      </c>
      <c r="J52" s="61">
        <f>'ex NEA to AUBNE_AUMEL'!J52</f>
        <v>3550</v>
      </c>
      <c r="K52" s="1"/>
      <c r="L52" s="1"/>
      <c r="M52" s="1"/>
      <c r="N52" s="1"/>
      <c r="O52" s="1"/>
      <c r="P52" s="1"/>
      <c r="Q52" s="74"/>
      <c r="R52" s="1"/>
      <c r="S52" s="1"/>
      <c r="T52" s="1"/>
      <c r="U52" s="1"/>
      <c r="V52" s="48"/>
      <c r="W52" s="1"/>
      <c r="X52" s="1"/>
      <c r="Y52" s="1"/>
      <c r="Z52" s="1"/>
    </row>
    <row r="53" spans="1:26" ht="14.25" customHeight="1" outlineLevel="1" x14ac:dyDescent="0.25">
      <c r="A53" s="232"/>
      <c r="B53" s="144" t="s">
        <v>85</v>
      </c>
      <c r="C53" s="146" t="s">
        <v>25</v>
      </c>
      <c r="D53" s="147">
        <f t="shared" ref="D53:D54" si="32">$D$51+N53</f>
        <v>2625</v>
      </c>
      <c r="E53" s="148">
        <f t="shared" ref="E53:E54" si="33">$E$51+O53</f>
        <v>5100</v>
      </c>
      <c r="F53" s="149">
        <f t="shared" si="31"/>
        <v>5100</v>
      </c>
      <c r="G53" s="157">
        <f>'ex NEA to AUBNE_AUMEL'!G53</f>
        <v>2725</v>
      </c>
      <c r="H53" s="108">
        <f>'ex NEA to AUBNE_AUMEL'!H53</f>
        <v>5300</v>
      </c>
      <c r="I53" s="156"/>
      <c r="J53" s="156"/>
      <c r="K53" s="1"/>
      <c r="L53" s="1"/>
      <c r="M53" s="1"/>
      <c r="N53" s="1">
        <v>200</v>
      </c>
      <c r="O53" s="1">
        <v>250</v>
      </c>
      <c r="P53" s="1">
        <v>250</v>
      </c>
      <c r="Q53" s="74" t="s">
        <v>84</v>
      </c>
      <c r="R53" s="1"/>
      <c r="S53" s="1"/>
      <c r="T53" s="1"/>
      <c r="U53" s="1"/>
      <c r="V53" s="48"/>
      <c r="W53" s="1"/>
      <c r="X53" s="1"/>
      <c r="Y53" s="1"/>
      <c r="Z53" s="1"/>
    </row>
    <row r="54" spans="1:26" ht="14.25" customHeight="1" outlineLevel="1" x14ac:dyDescent="0.25">
      <c r="A54" s="233"/>
      <c r="B54" s="150" t="s">
        <v>86</v>
      </c>
      <c r="C54" s="159" t="s">
        <v>25</v>
      </c>
      <c r="D54" s="151">
        <f t="shared" si="32"/>
        <v>2625</v>
      </c>
      <c r="E54" s="152">
        <f t="shared" si="33"/>
        <v>5100</v>
      </c>
      <c r="F54" s="153">
        <f t="shared" si="31"/>
        <v>5100</v>
      </c>
      <c r="G54" s="161">
        <f>'ex NEA to AUBNE_AUMEL'!G54</f>
        <v>2725</v>
      </c>
      <c r="H54" s="100">
        <f>'ex NEA to AUBNE_AUMEL'!H54</f>
        <v>5300</v>
      </c>
      <c r="I54" s="162"/>
      <c r="J54" s="162"/>
      <c r="K54" s="163"/>
      <c r="L54" s="1"/>
      <c r="M54" s="1"/>
      <c r="N54" s="1">
        <v>200</v>
      </c>
      <c r="O54" s="1">
        <v>250</v>
      </c>
      <c r="P54" s="1">
        <v>250</v>
      </c>
      <c r="Q54" s="74" t="s">
        <v>84</v>
      </c>
      <c r="R54" s="1"/>
      <c r="S54" s="1"/>
      <c r="T54" s="1"/>
      <c r="U54" s="1"/>
      <c r="V54" s="48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72" t="s">
        <v>87</v>
      </c>
      <c r="B56" s="158" t="s">
        <v>88</v>
      </c>
      <c r="C56" s="7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72" t="s">
        <v>89</v>
      </c>
      <c r="B57" s="72" t="s">
        <v>90</v>
      </c>
      <c r="C57" s="7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 x14ac:dyDescent="0.3">
      <c r="A59" s="272" t="s">
        <v>91</v>
      </c>
      <c r="B59" s="225"/>
      <c r="C59" s="225"/>
      <c r="D59" s="225"/>
      <c r="E59" s="225"/>
      <c r="F59" s="225"/>
      <c r="G59" s="225"/>
      <c r="H59" s="225"/>
      <c r="I59" s="225"/>
      <c r="J59" s="22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64"/>
      <c r="B60" s="165"/>
      <c r="C60" s="165"/>
      <c r="D60" s="172" t="s">
        <v>11</v>
      </c>
      <c r="E60" s="172" t="s">
        <v>12</v>
      </c>
      <c r="F60" s="173" t="s">
        <v>13</v>
      </c>
      <c r="G60" s="174" t="s">
        <v>92</v>
      </c>
      <c r="H60" s="172" t="s">
        <v>93</v>
      </c>
      <c r="I60" s="166" t="s">
        <v>16</v>
      </c>
      <c r="J60" s="169" t="s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hidden="1" customHeight="1" x14ac:dyDescent="0.25">
      <c r="A61" s="170" t="s">
        <v>94</v>
      </c>
      <c r="B61" s="242" t="s">
        <v>95</v>
      </c>
      <c r="C61" s="210"/>
      <c r="D61" s="171" t="str">
        <f>'ex NEA to AUBNE_AUMEL'!D61</f>
        <v>USD301</v>
      </c>
      <c r="E61" s="171" t="str">
        <f>'ex NEA to AUBNE_AUMEL'!E61</f>
        <v>USD602</v>
      </c>
      <c r="F61" s="171" t="str">
        <f>'ex NEA to AUBNE_AUMEL'!F61</f>
        <v>USD602</v>
      </c>
      <c r="G61" s="171" t="str">
        <f>'ex NEA to AUBNE_AUMEL'!G61</f>
        <v>USD403</v>
      </c>
      <c r="H61" s="171" t="str">
        <f>'ex NEA to AUBNE_AUMEL'!H61</f>
        <v>USD806</v>
      </c>
      <c r="I61" s="171" t="str">
        <f>'ex NEA to AUBNE_AUMEL'!I61</f>
        <v>USD301</v>
      </c>
      <c r="J61" s="171" t="str">
        <f>'ex NEA to AUBNE_AUMEL'!J61</f>
        <v>USD602</v>
      </c>
      <c r="K61" s="1"/>
      <c r="L61" s="1"/>
      <c r="M61" s="1"/>
      <c r="N61" s="178"/>
      <c r="O61" s="178"/>
      <c r="P61" s="178"/>
      <c r="Q61" s="178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70" t="s">
        <v>94</v>
      </c>
      <c r="B62" s="242" t="s">
        <v>95</v>
      </c>
      <c r="C62" s="210"/>
      <c r="D62" s="171" t="str">
        <f>'ex NEA to AUBNE_AUMEL'!D62</f>
        <v>included</v>
      </c>
      <c r="E62" s="171" t="str">
        <f>'ex NEA to AUBNE_AUMEL'!E62</f>
        <v>included</v>
      </c>
      <c r="F62" s="171" t="str">
        <f>'ex NEA to AUBNE_AUMEL'!F62</f>
        <v>included</v>
      </c>
      <c r="G62" s="171" t="str">
        <f>'ex NEA to AUBNE_AUMEL'!G62</f>
        <v>included</v>
      </c>
      <c r="H62" s="171" t="str">
        <f>'ex NEA to AUBNE_AUMEL'!H62</f>
        <v>included</v>
      </c>
      <c r="I62" s="171" t="str">
        <f>'ex NEA to AUBNE_AUMEL'!I62</f>
        <v>included</v>
      </c>
      <c r="J62" s="171" t="str">
        <f>'ex NEA to AUBNE_AUMEL'!J62</f>
        <v>included</v>
      </c>
      <c r="K62" s="1"/>
      <c r="L62" s="1"/>
      <c r="M62" s="1"/>
      <c r="N62" s="178"/>
      <c r="O62" s="178"/>
      <c r="P62" s="178"/>
      <c r="Q62" s="178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customHeight="1" x14ac:dyDescent="0.25">
      <c r="A63" s="175" t="s">
        <v>101</v>
      </c>
      <c r="B63" s="243" t="s">
        <v>102</v>
      </c>
      <c r="C63" s="210"/>
      <c r="D63" s="176" t="s">
        <v>103</v>
      </c>
      <c r="E63" s="176" t="s">
        <v>103</v>
      </c>
      <c r="F63" s="176" t="s">
        <v>103</v>
      </c>
      <c r="G63" s="176" t="s">
        <v>103</v>
      </c>
      <c r="H63" s="176" t="s">
        <v>103</v>
      </c>
      <c r="I63" s="176" t="s">
        <v>103</v>
      </c>
      <c r="J63" s="176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customHeight="1" x14ac:dyDescent="0.25">
      <c r="A64" s="175" t="s">
        <v>104</v>
      </c>
      <c r="B64" s="243" t="s">
        <v>102</v>
      </c>
      <c r="C64" s="210"/>
      <c r="D64" s="176" t="s">
        <v>103</v>
      </c>
      <c r="E64" s="176" t="s">
        <v>103</v>
      </c>
      <c r="F64" s="176" t="s">
        <v>103</v>
      </c>
      <c r="G64" s="176" t="s">
        <v>103</v>
      </c>
      <c r="H64" s="176" t="s">
        <v>103</v>
      </c>
      <c r="I64" s="176" t="s">
        <v>103</v>
      </c>
      <c r="J64" s="176" t="s">
        <v>103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5">
      <c r="A65" s="177" t="s">
        <v>105</v>
      </c>
      <c r="B65" s="244" t="s">
        <v>106</v>
      </c>
      <c r="C65" s="210"/>
      <c r="D65" s="176" t="s">
        <v>103</v>
      </c>
      <c r="E65" s="176" t="s">
        <v>103</v>
      </c>
      <c r="F65" s="176" t="s">
        <v>103</v>
      </c>
      <c r="G65" s="176" t="s">
        <v>103</v>
      </c>
      <c r="H65" s="176" t="s">
        <v>103</v>
      </c>
      <c r="I65" s="176" t="s">
        <v>103</v>
      </c>
      <c r="J65" s="176" t="s">
        <v>103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5">
      <c r="A66" s="177" t="s">
        <v>107</v>
      </c>
      <c r="B66" s="244" t="s">
        <v>108</v>
      </c>
      <c r="C66" s="210"/>
      <c r="D66" s="176" t="s">
        <v>103</v>
      </c>
      <c r="E66" s="176" t="s">
        <v>103</v>
      </c>
      <c r="F66" s="176" t="s">
        <v>103</v>
      </c>
      <c r="G66" s="176" t="s">
        <v>103</v>
      </c>
      <c r="H66" s="176" t="s">
        <v>103</v>
      </c>
      <c r="I66" s="176" t="s">
        <v>103</v>
      </c>
      <c r="J66" s="176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5">
      <c r="A67" s="177" t="s">
        <v>109</v>
      </c>
      <c r="B67" s="244" t="s">
        <v>110</v>
      </c>
      <c r="C67" s="210"/>
      <c r="D67" s="176" t="s">
        <v>103</v>
      </c>
      <c r="E67" s="176" t="s">
        <v>103</v>
      </c>
      <c r="F67" s="176" t="s">
        <v>103</v>
      </c>
      <c r="G67" s="176" t="s">
        <v>103</v>
      </c>
      <c r="H67" s="176" t="s">
        <v>103</v>
      </c>
      <c r="I67" s="176" t="s">
        <v>103</v>
      </c>
      <c r="J67" s="176" t="s">
        <v>103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5">
      <c r="A68" s="177" t="s">
        <v>111</v>
      </c>
      <c r="B68" s="244" t="s">
        <v>112</v>
      </c>
      <c r="C68" s="210"/>
      <c r="D68" s="176" t="s">
        <v>103</v>
      </c>
      <c r="E68" s="176" t="s">
        <v>103</v>
      </c>
      <c r="F68" s="176" t="s">
        <v>103</v>
      </c>
      <c r="G68" s="176" t="s">
        <v>103</v>
      </c>
      <c r="H68" s="176" t="s">
        <v>103</v>
      </c>
      <c r="I68" s="176" t="s">
        <v>103</v>
      </c>
      <c r="J68" s="176" t="s">
        <v>103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5">
      <c r="A69" s="177" t="s">
        <v>113</v>
      </c>
      <c r="B69" s="244" t="s">
        <v>114</v>
      </c>
      <c r="C69" s="210"/>
      <c r="D69" s="176" t="s">
        <v>103</v>
      </c>
      <c r="E69" s="176" t="s">
        <v>103</v>
      </c>
      <c r="F69" s="176" t="s">
        <v>103</v>
      </c>
      <c r="G69" s="176" t="s">
        <v>103</v>
      </c>
      <c r="H69" s="176" t="s">
        <v>103</v>
      </c>
      <c r="I69" s="176" t="s">
        <v>103</v>
      </c>
      <c r="J69" s="176" t="s">
        <v>103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5">
      <c r="A70" s="180" t="s">
        <v>115</v>
      </c>
      <c r="B70" s="245" t="s">
        <v>116</v>
      </c>
      <c r="C70" s="246"/>
      <c r="D70" s="181" t="s">
        <v>103</v>
      </c>
      <c r="E70" s="181" t="s">
        <v>103</v>
      </c>
      <c r="F70" s="181" t="s">
        <v>103</v>
      </c>
      <c r="G70" s="181" t="s">
        <v>103</v>
      </c>
      <c r="H70" s="181" t="s">
        <v>103</v>
      </c>
      <c r="I70" s="181" t="s">
        <v>103</v>
      </c>
      <c r="J70" s="182" t="s">
        <v>103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83" t="s">
        <v>117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84" t="s">
        <v>118</v>
      </c>
      <c r="B73" s="185"/>
      <c r="C73" s="185"/>
      <c r="D73" s="185"/>
      <c r="E73" s="185"/>
      <c r="F73" s="183"/>
      <c r="G73" s="183"/>
      <c r="H73" s="183"/>
      <c r="I73" s="183"/>
      <c r="J73" s="183"/>
      <c r="K73" s="183"/>
      <c r="L73" s="18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84" t="s">
        <v>119</v>
      </c>
      <c r="B74" s="185"/>
      <c r="C74" s="185"/>
      <c r="D74" s="185"/>
      <c r="E74" s="185"/>
      <c r="F74" s="183"/>
      <c r="G74" s="183"/>
      <c r="H74" s="183"/>
      <c r="I74" s="183"/>
      <c r="J74" s="183"/>
      <c r="K74" s="183"/>
      <c r="L74" s="18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86" t="s">
        <v>120</v>
      </c>
      <c r="B75" s="186"/>
      <c r="C75" s="186"/>
      <c r="D75" s="186"/>
      <c r="E75" s="183"/>
      <c r="F75" s="183"/>
      <c r="G75" s="183"/>
      <c r="H75" s="183"/>
      <c r="I75" s="183"/>
      <c r="J75" s="183"/>
      <c r="K75" s="183"/>
      <c r="L75" s="18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86" t="s">
        <v>121</v>
      </c>
      <c r="B76" s="186"/>
      <c r="C76" s="186"/>
      <c r="D76" s="186"/>
      <c r="E76" s="183"/>
      <c r="F76" s="183"/>
      <c r="G76" s="183"/>
      <c r="H76" s="183"/>
      <c r="I76" s="183"/>
      <c r="J76" s="183"/>
      <c r="K76" s="183"/>
      <c r="L76" s="18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83" t="s">
        <v>122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83" t="s">
        <v>123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83" t="s">
        <v>124</v>
      </c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83" t="s">
        <v>125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87" t="s">
        <v>126</v>
      </c>
      <c r="B83" s="188"/>
      <c r="C83" s="188"/>
      <c r="D83" s="188"/>
      <c r="E83" s="189"/>
      <c r="F83" s="189"/>
      <c r="G83" s="190"/>
      <c r="H83" s="190"/>
      <c r="I83" s="19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91" t="s">
        <v>127</v>
      </c>
      <c r="B84" s="189"/>
      <c r="C84" s="189"/>
      <c r="D84" s="189"/>
      <c r="E84" s="189"/>
      <c r="F84" s="189"/>
      <c r="G84" s="190"/>
      <c r="H84" s="190"/>
      <c r="I84" s="19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91" t="s">
        <v>128</v>
      </c>
      <c r="B85" s="189"/>
      <c r="C85" s="189"/>
      <c r="D85" s="189"/>
      <c r="E85" s="189"/>
      <c r="F85" s="189"/>
      <c r="G85" s="190"/>
      <c r="H85" s="190"/>
      <c r="I85" s="19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92"/>
      <c r="B86" s="192"/>
      <c r="C86" s="192"/>
      <c r="D86" s="192"/>
      <c r="E86" s="192"/>
      <c r="F86" s="192"/>
      <c r="G86" s="190"/>
      <c r="H86" s="190"/>
      <c r="I86" s="19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93" t="s">
        <v>129</v>
      </c>
      <c r="B87" s="194" t="s">
        <v>130</v>
      </c>
      <c r="C87" s="194" t="s">
        <v>131</v>
      </c>
      <c r="D87" s="195" t="s">
        <v>132</v>
      </c>
      <c r="E87" s="195" t="s">
        <v>133</v>
      </c>
      <c r="F87" s="195" t="s">
        <v>134</v>
      </c>
      <c r="G87" s="190"/>
      <c r="H87" s="190"/>
      <c r="I87" s="19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247" t="s">
        <v>135</v>
      </c>
      <c r="B88" s="196" t="s">
        <v>136</v>
      </c>
      <c r="C88" s="250" t="s">
        <v>137</v>
      </c>
      <c r="D88" s="225"/>
      <c r="E88" s="226"/>
      <c r="F88" s="197"/>
      <c r="G88" s="190"/>
      <c r="H88" s="190"/>
      <c r="I88" s="19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248"/>
      <c r="B89" s="196" t="s">
        <v>138</v>
      </c>
      <c r="C89" s="198" t="s">
        <v>139</v>
      </c>
      <c r="D89" s="198" t="s">
        <v>140</v>
      </c>
      <c r="E89" s="198" t="s">
        <v>140</v>
      </c>
      <c r="F89" s="197"/>
      <c r="G89" s="190"/>
      <c r="H89" s="190"/>
      <c r="I89" s="19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248"/>
      <c r="B90" s="196" t="s">
        <v>141</v>
      </c>
      <c r="C90" s="198" t="s">
        <v>142</v>
      </c>
      <c r="D90" s="198" t="s">
        <v>139</v>
      </c>
      <c r="E90" s="198" t="s">
        <v>139</v>
      </c>
      <c r="F90" s="197"/>
      <c r="G90" s="190"/>
      <c r="H90" s="190"/>
      <c r="I90" s="19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248"/>
      <c r="B91" s="196" t="s">
        <v>143</v>
      </c>
      <c r="C91" s="198" t="s">
        <v>142</v>
      </c>
      <c r="D91" s="198" t="s">
        <v>139</v>
      </c>
      <c r="E91" s="198" t="s">
        <v>139</v>
      </c>
      <c r="F91" s="197"/>
      <c r="G91" s="190"/>
      <c r="H91" s="190"/>
      <c r="I91" s="19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248"/>
      <c r="B92" s="196" t="s">
        <v>144</v>
      </c>
      <c r="C92" s="199" t="s">
        <v>139</v>
      </c>
      <c r="D92" s="199" t="s">
        <v>140</v>
      </c>
      <c r="E92" s="199" t="s">
        <v>140</v>
      </c>
      <c r="F92" s="197"/>
      <c r="G92" s="190"/>
      <c r="H92" s="190"/>
      <c r="I92" s="19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248"/>
      <c r="B93" s="196" t="s">
        <v>145</v>
      </c>
      <c r="C93" s="198" t="s">
        <v>142</v>
      </c>
      <c r="D93" s="198" t="s">
        <v>139</v>
      </c>
      <c r="E93" s="198" t="s">
        <v>139</v>
      </c>
      <c r="F93" s="197"/>
      <c r="G93" s="190"/>
      <c r="H93" s="190"/>
      <c r="I93" s="19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248"/>
      <c r="B94" s="196" t="s">
        <v>146</v>
      </c>
      <c r="C94" s="250" t="s">
        <v>137</v>
      </c>
      <c r="D94" s="225"/>
      <c r="E94" s="226"/>
      <c r="F94" s="197"/>
      <c r="G94" s="190"/>
      <c r="H94" s="190"/>
      <c r="I94" s="19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248"/>
      <c r="B95" s="196" t="s">
        <v>147</v>
      </c>
      <c r="C95" s="198" t="s">
        <v>142</v>
      </c>
      <c r="D95" s="198" t="s">
        <v>139</v>
      </c>
      <c r="E95" s="198" t="s">
        <v>139</v>
      </c>
      <c r="F95" s="197"/>
      <c r="G95" s="190"/>
      <c r="H95" s="190"/>
      <c r="I95" s="19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249"/>
      <c r="B96" s="196" t="s">
        <v>148</v>
      </c>
      <c r="C96" s="198" t="s">
        <v>142</v>
      </c>
      <c r="D96" s="198" t="s">
        <v>139</v>
      </c>
      <c r="E96" s="198" t="s">
        <v>139</v>
      </c>
      <c r="F96" s="197"/>
      <c r="G96" s="190"/>
      <c r="H96" s="190"/>
      <c r="I96" s="19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251" t="s">
        <v>149</v>
      </c>
      <c r="B97" s="252"/>
      <c r="C97" s="252"/>
      <c r="D97" s="252"/>
      <c r="E97" s="252"/>
      <c r="F97" s="253"/>
      <c r="G97" s="190"/>
      <c r="H97" s="190"/>
      <c r="I97" s="19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92"/>
      <c r="B98" s="192"/>
      <c r="C98" s="254"/>
      <c r="D98" s="255"/>
      <c r="E98" s="192"/>
      <c r="F98" s="192"/>
      <c r="G98" s="190"/>
      <c r="H98" s="190"/>
      <c r="I98" s="19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93" t="s">
        <v>150</v>
      </c>
      <c r="B99" s="194" t="s">
        <v>151</v>
      </c>
      <c r="C99" s="194" t="s">
        <v>131</v>
      </c>
      <c r="D99" s="195" t="s">
        <v>132</v>
      </c>
      <c r="E99" s="195" t="s">
        <v>133</v>
      </c>
      <c r="F99" s="195" t="s">
        <v>134</v>
      </c>
      <c r="G99" s="190"/>
      <c r="H99" s="190"/>
      <c r="I99" s="19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256" t="s">
        <v>152</v>
      </c>
      <c r="B100" s="196" t="s">
        <v>153</v>
      </c>
      <c r="C100" s="200" t="s">
        <v>154</v>
      </c>
      <c r="D100" s="200" t="s">
        <v>155</v>
      </c>
      <c r="E100" s="200" t="s">
        <v>155</v>
      </c>
      <c r="F100" s="197"/>
      <c r="G100" s="190"/>
      <c r="H100" s="190"/>
      <c r="I100" s="19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248"/>
      <c r="B101" s="196" t="s">
        <v>156</v>
      </c>
      <c r="C101" s="200" t="s">
        <v>157</v>
      </c>
      <c r="D101" s="200" t="s">
        <v>154</v>
      </c>
      <c r="E101" s="200" t="s">
        <v>154</v>
      </c>
      <c r="F101" s="197"/>
      <c r="G101" s="190"/>
      <c r="H101" s="190"/>
      <c r="I101" s="19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248"/>
      <c r="B102" s="196" t="s">
        <v>158</v>
      </c>
      <c r="C102" s="200" t="s">
        <v>159</v>
      </c>
      <c r="D102" s="200" t="s">
        <v>160</v>
      </c>
      <c r="E102" s="200" t="s">
        <v>160</v>
      </c>
      <c r="F102" s="197"/>
      <c r="G102" s="190"/>
      <c r="H102" s="190"/>
      <c r="I102" s="19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249"/>
      <c r="B103" s="196" t="s">
        <v>161</v>
      </c>
      <c r="C103" s="200" t="s">
        <v>162</v>
      </c>
      <c r="D103" s="200" t="s">
        <v>162</v>
      </c>
      <c r="E103" s="200" t="s">
        <v>162</v>
      </c>
      <c r="F103" s="197"/>
      <c r="G103" s="190"/>
      <c r="H103" s="190"/>
      <c r="I103" s="19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251" t="s">
        <v>149</v>
      </c>
      <c r="B104" s="252"/>
      <c r="C104" s="252"/>
      <c r="D104" s="252"/>
      <c r="E104" s="252"/>
      <c r="F104" s="253"/>
      <c r="G104" s="190"/>
      <c r="H104" s="190"/>
      <c r="I104" s="19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90"/>
      <c r="B105" s="190"/>
      <c r="C105" s="190"/>
      <c r="D105" s="190"/>
      <c r="E105" s="190"/>
      <c r="F105" s="190"/>
      <c r="G105" s="190"/>
      <c r="H105" s="190"/>
      <c r="I105" s="19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201" t="s">
        <v>163</v>
      </c>
      <c r="B106" s="185"/>
      <c r="C106" s="190"/>
      <c r="D106" s="190"/>
      <c r="E106" s="190"/>
      <c r="F106" s="190"/>
      <c r="G106" s="190"/>
      <c r="H106" s="190"/>
      <c r="I106" s="19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90"/>
      <c r="B107" s="190"/>
      <c r="C107" s="190"/>
      <c r="D107" s="190"/>
      <c r="E107" s="190"/>
      <c r="F107" s="190"/>
      <c r="G107" s="190"/>
      <c r="H107" s="190"/>
      <c r="I107" s="19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202" t="s">
        <v>164</v>
      </c>
      <c r="B108" s="203"/>
      <c r="C108" s="203"/>
      <c r="D108" s="203"/>
      <c r="E108" s="190"/>
      <c r="F108" s="257"/>
      <c r="G108" s="237"/>
      <c r="H108" s="204"/>
      <c r="I108" s="205" t="s">
        <v>165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90"/>
      <c r="B109" s="190"/>
      <c r="C109" s="190"/>
      <c r="D109" s="190"/>
      <c r="E109" s="190"/>
      <c r="F109" s="257"/>
      <c r="G109" s="237"/>
      <c r="H109" s="257"/>
      <c r="I109" s="2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206" t="s">
        <v>166</v>
      </c>
      <c r="B110" s="207"/>
      <c r="C110" s="258" t="s">
        <v>167</v>
      </c>
      <c r="D110" s="210"/>
      <c r="E110" s="190"/>
      <c r="F110" s="259" t="s">
        <v>168</v>
      </c>
      <c r="G110" s="213"/>
      <c r="H110" s="213"/>
      <c r="I110" s="2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211" t="s">
        <v>169</v>
      </c>
      <c r="B111" s="210"/>
      <c r="C111" s="209" t="s">
        <v>170</v>
      </c>
      <c r="D111" s="210"/>
      <c r="E111" s="190"/>
      <c r="F111" s="211" t="s">
        <v>169</v>
      </c>
      <c r="G111" s="210"/>
      <c r="H111" s="260" t="s">
        <v>171</v>
      </c>
      <c r="I111" s="2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211" t="s">
        <v>172</v>
      </c>
      <c r="B112" s="210"/>
      <c r="C112" s="215" t="s">
        <v>172</v>
      </c>
      <c r="D112" s="210"/>
      <c r="E112" s="190"/>
      <c r="F112" s="211" t="s">
        <v>172</v>
      </c>
      <c r="G112" s="210"/>
      <c r="H112" s="211" t="s">
        <v>172</v>
      </c>
      <c r="I112" s="2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212" t="s">
        <v>173</v>
      </c>
      <c r="B113" s="213"/>
      <c r="C113" s="216">
        <v>600</v>
      </c>
      <c r="D113" s="210"/>
      <c r="E113" s="190"/>
      <c r="F113" s="212" t="s">
        <v>174</v>
      </c>
      <c r="G113" s="213"/>
      <c r="H113" s="213"/>
      <c r="I113" s="2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212" t="s">
        <v>175</v>
      </c>
      <c r="B114" s="210"/>
      <c r="C114" s="217" t="s">
        <v>176</v>
      </c>
      <c r="D114" s="210"/>
      <c r="E114" s="190"/>
      <c r="F114" s="212" t="s">
        <v>177</v>
      </c>
      <c r="G114" s="210"/>
      <c r="H114" s="214">
        <v>10500</v>
      </c>
      <c r="I114" s="2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212" t="s">
        <v>178</v>
      </c>
      <c r="B115" s="210"/>
      <c r="C115" s="217" t="s">
        <v>176</v>
      </c>
      <c r="D115" s="210"/>
      <c r="E115" s="190"/>
      <c r="F115" s="212" t="s">
        <v>179</v>
      </c>
      <c r="G115" s="210"/>
      <c r="H115" s="214">
        <v>9000</v>
      </c>
      <c r="I115" s="2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212" t="s">
        <v>180</v>
      </c>
      <c r="B116" s="210"/>
      <c r="C116" s="217" t="s">
        <v>176</v>
      </c>
      <c r="D116" s="210"/>
      <c r="E116" s="190"/>
      <c r="F116" s="212" t="s">
        <v>181</v>
      </c>
      <c r="G116" s="210"/>
      <c r="H116" s="214">
        <v>7500</v>
      </c>
      <c r="I116" s="2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90"/>
      <c r="B117" s="190"/>
      <c r="C117" s="190"/>
      <c r="D117" s="190"/>
      <c r="E117" s="190"/>
      <c r="F117" s="212" t="s">
        <v>182</v>
      </c>
      <c r="G117" s="210"/>
      <c r="H117" s="214">
        <v>6000</v>
      </c>
      <c r="I117" s="2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90"/>
      <c r="B118" s="190"/>
      <c r="C118" s="190"/>
      <c r="D118" s="190"/>
      <c r="E118" s="190"/>
      <c r="F118" s="212" t="s">
        <v>183</v>
      </c>
      <c r="G118" s="210"/>
      <c r="H118" s="214">
        <v>4600</v>
      </c>
      <c r="I118" s="2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90"/>
      <c r="B119" s="190"/>
      <c r="C119" s="190"/>
      <c r="D119" s="190"/>
      <c r="E119" s="190"/>
      <c r="F119" s="212" t="s">
        <v>184</v>
      </c>
      <c r="G119" s="210"/>
      <c r="H119" s="214">
        <v>3100</v>
      </c>
      <c r="I119" s="2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90"/>
      <c r="B120" s="190"/>
      <c r="C120" s="190"/>
      <c r="D120" s="190"/>
      <c r="E120" s="190"/>
      <c r="F120" s="261" t="s">
        <v>185</v>
      </c>
      <c r="G120" s="210"/>
      <c r="H120" s="262">
        <v>2600</v>
      </c>
      <c r="I120" s="2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90"/>
      <c r="B121" s="190"/>
      <c r="C121" s="190"/>
      <c r="D121" s="190"/>
      <c r="E121" s="190"/>
      <c r="F121" s="261" t="s">
        <v>186</v>
      </c>
      <c r="G121" s="210"/>
      <c r="H121" s="262">
        <v>600</v>
      </c>
      <c r="I121" s="2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90"/>
      <c r="B122" s="190"/>
      <c r="C122" s="190"/>
      <c r="D122" s="190"/>
      <c r="E122" s="190"/>
      <c r="F122" s="190"/>
      <c r="G122" s="190"/>
      <c r="H122" s="204"/>
      <c r="I122" s="208" t="s">
        <v>187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</sheetData>
  <mergeCells count="66">
    <mergeCell ref="F121:G121"/>
    <mergeCell ref="H121:I121"/>
    <mergeCell ref="A115:B115"/>
    <mergeCell ref="A116:B116"/>
    <mergeCell ref="C116:D116"/>
    <mergeCell ref="F116:G116"/>
    <mergeCell ref="H116:I116"/>
    <mergeCell ref="F117:G117"/>
    <mergeCell ref="H117:I117"/>
    <mergeCell ref="F118:G118"/>
    <mergeCell ref="H118:I118"/>
    <mergeCell ref="F119:G119"/>
    <mergeCell ref="H119:I119"/>
    <mergeCell ref="F120:G120"/>
    <mergeCell ref="H120:I120"/>
    <mergeCell ref="H109:I109"/>
    <mergeCell ref="F109:G109"/>
    <mergeCell ref="C110:D110"/>
    <mergeCell ref="F110:I110"/>
    <mergeCell ref="A111:B111"/>
    <mergeCell ref="C111:D111"/>
    <mergeCell ref="F111:G111"/>
    <mergeCell ref="H111:I111"/>
    <mergeCell ref="A97:F97"/>
    <mergeCell ref="C98:D98"/>
    <mergeCell ref="A100:A103"/>
    <mergeCell ref="A104:F104"/>
    <mergeCell ref="F108:G108"/>
    <mergeCell ref="B69:C69"/>
    <mergeCell ref="B70:C70"/>
    <mergeCell ref="A88:A96"/>
    <mergeCell ref="C88:E88"/>
    <mergeCell ref="C94:E94"/>
    <mergeCell ref="B64:C64"/>
    <mergeCell ref="B65:C65"/>
    <mergeCell ref="B66:C66"/>
    <mergeCell ref="B67:C67"/>
    <mergeCell ref="B68:C68"/>
    <mergeCell ref="A51:A54"/>
    <mergeCell ref="A59:J59"/>
    <mergeCell ref="B61:C61"/>
    <mergeCell ref="B62:C62"/>
    <mergeCell ref="B63:C63"/>
    <mergeCell ref="A39:A42"/>
    <mergeCell ref="N44:P44"/>
    <mergeCell ref="A1:J2"/>
    <mergeCell ref="D4:F4"/>
    <mergeCell ref="G4:H4"/>
    <mergeCell ref="I4:J4"/>
    <mergeCell ref="B5:B6"/>
    <mergeCell ref="C5:C6"/>
    <mergeCell ref="A43:A49"/>
    <mergeCell ref="A114:B114"/>
    <mergeCell ref="C114:D114"/>
    <mergeCell ref="F114:G114"/>
    <mergeCell ref="H114:I114"/>
    <mergeCell ref="C115:D115"/>
    <mergeCell ref="F115:G115"/>
    <mergeCell ref="H115:I115"/>
    <mergeCell ref="A112:B112"/>
    <mergeCell ref="C112:D112"/>
    <mergeCell ref="F112:G112"/>
    <mergeCell ref="H112:I112"/>
    <mergeCell ref="A113:B113"/>
    <mergeCell ref="C113:D113"/>
    <mergeCell ref="F113:I113"/>
  </mergeCells>
  <pageMargins left="0.70866141732283472" right="0.70866141732283472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 NEA to AUBNE_AUMEL</vt:lpstr>
      <vt:lpstr>ex NEA to AUSYD</vt:lpstr>
      <vt:lpstr>ex NEA to AUBNE on NZJ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Mae De Lara Zurita</dc:creator>
  <cp:lastModifiedBy>Ria Mae De Lara Zurita</cp:lastModifiedBy>
  <dcterms:created xsi:type="dcterms:W3CDTF">2026-08-27T09:43:02Z</dcterms:created>
  <dcterms:modified xsi:type="dcterms:W3CDTF">2026-08-27T09:43:02Z</dcterms:modified>
</cp:coreProperties>
</file>