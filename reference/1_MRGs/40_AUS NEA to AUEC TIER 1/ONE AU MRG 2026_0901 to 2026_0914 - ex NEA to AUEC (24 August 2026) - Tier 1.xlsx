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NEA to AUBNE_AUMEL" sheetId="1" r:id="rId5"/>
    <sheet state="visible" name="ex NEA to AUSYD" sheetId="2" r:id="rId6"/>
    <sheet state="visible" name="ex NEA to AUBNE on NZJ" sheetId="3" r:id="rId7"/>
    <sheet state="visible" name="Tier 1 list" sheetId="4" r:id="rId8"/>
  </sheets>
  <definedNames/>
  <calcPr/>
</workbook>
</file>

<file path=xl/sharedStrings.xml><?xml version="1.0" encoding="utf-8"?>
<sst xmlns="http://schemas.openxmlformats.org/spreadsheetml/2006/main" count="1512" uniqueCount="461">
  <si>
    <t xml:space="preserve">Oceania Tier One Customer List - valid for 01 Jul to 30 Sep 2026 </t>
  </si>
  <si>
    <t>ONE AU Minimum Rate Guideline - For Tier 1 Customers</t>
  </si>
  <si>
    <t>ONE AU Minimum Rate Guideline  - For Tier 1 Customers</t>
  </si>
  <si>
    <t>confirmed</t>
  </si>
  <si>
    <t>ONE AU Minimum Rate Guideline (NZJ) - For Tier 1 Customers</t>
  </si>
  <si>
    <t>CIF/FOB</t>
  </si>
  <si>
    <t>RFA</t>
  </si>
  <si>
    <t>Customer ID</t>
  </si>
  <si>
    <t>SC/RFA Customer Name</t>
  </si>
  <si>
    <t>SC/RFA Customer Sales Rep Name</t>
  </si>
  <si>
    <t>Remarks</t>
  </si>
  <si>
    <t>ISSUE DATE:</t>
  </si>
  <si>
    <t>FOB</t>
  </si>
  <si>
    <t>FREN00580A</t>
  </si>
  <si>
    <t>AU101254</t>
  </si>
  <si>
    <t>A. HARTRODT</t>
  </si>
  <si>
    <t>Luke Mckenzie</t>
  </si>
  <si>
    <t>Maintain</t>
  </si>
  <si>
    <t>CIF</t>
  </si>
  <si>
    <t>SHAN00504A</t>
  </si>
  <si>
    <t>CN117056</t>
  </si>
  <si>
    <t>ACON LOGISTICS SERVICES CO.,LTD.</t>
  </si>
  <si>
    <t>Jean Cao</t>
  </si>
  <si>
    <t>MELN00050A</t>
  </si>
  <si>
    <t>AU202996</t>
  </si>
  <si>
    <t>Across the Ocean Shipping</t>
  </si>
  <si>
    <t>Matos Samardzic</t>
  </si>
  <si>
    <t>HKGN00587A</t>
  </si>
  <si>
    <t>HK100560</t>
  </si>
  <si>
    <t>AXIMA HONG KONG LIMITED</t>
  </si>
  <si>
    <t>Mon Chan</t>
  </si>
  <si>
    <t>FREN00065A</t>
  </si>
  <si>
    <t>AU200031</t>
  </si>
  <si>
    <t>BULLOCKS FREIGHTMASTER INTERNATIONAL</t>
  </si>
  <si>
    <t>Rogan Gilchrist</t>
  </si>
  <si>
    <t>Validity:</t>
  </si>
  <si>
    <t>AKLN00045A</t>
  </si>
  <si>
    <t>01 Sept to 14 Sept 2026</t>
  </si>
  <si>
    <t>NZ101839</t>
  </si>
  <si>
    <t>BURNARD INTERNATIONAL LTD</t>
  </si>
  <si>
    <t>Tracey Theron</t>
  </si>
  <si>
    <t>SINN02722A</t>
  </si>
  <si>
    <t>SG100628</t>
  </si>
  <si>
    <t>C.H. ROBINSON FREIGHT SERVICES (SINGAPORE) PTE, LTD.</t>
  </si>
  <si>
    <t>Qi Ming Tan</t>
  </si>
  <si>
    <t>POD: Melbourne/Brisbane</t>
  </si>
  <si>
    <t>HKGN00650A</t>
  </si>
  <si>
    <t>HK101014</t>
  </si>
  <si>
    <t>CARGO SERVICES FAR EAST LIMITED</t>
  </si>
  <si>
    <t>SZPN00408A</t>
  </si>
  <si>
    <t>CN216334</t>
  </si>
  <si>
    <t>China Great Logistics Co., Ltd.</t>
  </si>
  <si>
    <t>Kayee Lijy</t>
  </si>
  <si>
    <t>SYDN00426A</t>
  </si>
  <si>
    <t>AU500126</t>
  </si>
  <si>
    <t>DITH AUSTRALIA PTY LTD</t>
  </si>
  <si>
    <t>Thomas Rine</t>
  </si>
  <si>
    <t>MELN00172A</t>
  </si>
  <si>
    <t>AU102295</t>
  </si>
  <si>
    <t>DSV AIR &amp; SEA PTY LTD</t>
  </si>
  <si>
    <t>TSZPN00587A</t>
  </si>
  <si>
    <t>CN128748</t>
  </si>
  <si>
    <t>EASTRONG INTERNATIONAL LOGISTICS CO.,LTD SHENZHEN BRANCH</t>
  </si>
  <si>
    <t>Kelvin Gao</t>
  </si>
  <si>
    <t>BNEB00046A</t>
  </si>
  <si>
    <t>AU100618</t>
  </si>
  <si>
    <t>EDI International</t>
  </si>
  <si>
    <t>Simon Bywater</t>
  </si>
  <si>
    <t>FREN00038A</t>
  </si>
  <si>
    <t>AU101398</t>
  </si>
  <si>
    <t>EES SHIPPING PTY LTD</t>
  </si>
  <si>
    <t>FREN00037A</t>
  </si>
  <si>
    <t>AU101415</t>
  </si>
  <si>
    <t>FAMOUS PACIFIC SHIPPING (WA) PTY LTD</t>
  </si>
  <si>
    <t>Rory Chandler</t>
  </si>
  <si>
    <t>POL</t>
  </si>
  <si>
    <t>SINN02352A</t>
  </si>
  <si>
    <t>HK211323</t>
  </si>
  <si>
    <t>FLEXPORT INTERNATIONAL LLC</t>
  </si>
  <si>
    <t xml:space="preserve">Service (for reference only, no need to file in rate filing) </t>
  </si>
  <si>
    <t>FREN00086A</t>
  </si>
  <si>
    <t>AU101423</t>
  </si>
  <si>
    <t>FM GLOBAL LOGISTICS PTY LTD.</t>
  </si>
  <si>
    <t>20'</t>
  </si>
  <si>
    <t>FREB00035A</t>
  </si>
  <si>
    <t>AU101429</t>
  </si>
  <si>
    <t>FREIGHT MART INTERNATIONAL PTY LTD</t>
  </si>
  <si>
    <t>POD: Sydney</t>
  </si>
  <si>
    <t>40'</t>
  </si>
  <si>
    <t>TNBON00386A</t>
  </si>
  <si>
    <t>CN614034</t>
  </si>
  <si>
    <t>Global Freight Service (Shanghai) Co., Ltd. Ningbo Branch</t>
  </si>
  <si>
    <t>Kathy Zhang</t>
  </si>
  <si>
    <t>40'HC</t>
  </si>
  <si>
    <t>FREN00094A</t>
  </si>
  <si>
    <t>AU304559</t>
  </si>
  <si>
    <t>Global Transport</t>
  </si>
  <si>
    <t xml:space="preserve">20'RF </t>
  </si>
  <si>
    <t>NBON00163A</t>
  </si>
  <si>
    <t>CN107368</t>
  </si>
  <si>
    <t xml:space="preserve">40'HC RF </t>
  </si>
  <si>
    <t>Huanji Supply Chain Management Co.,Ltd.</t>
  </si>
  <si>
    <t>20'RAD</t>
  </si>
  <si>
    <t>HKGN03293A</t>
  </si>
  <si>
    <t>HK103910</t>
  </si>
  <si>
    <t>IFB INTERNATIONAL FREIGHTBRIDGE LTD</t>
  </si>
  <si>
    <t>Chris Koo</t>
  </si>
  <si>
    <t>40'HC RAD</t>
  </si>
  <si>
    <t>POD: Brisbane</t>
  </si>
  <si>
    <t>HKGN00663A</t>
  </si>
  <si>
    <t>CN129687</t>
  </si>
  <si>
    <t>INFINITY CARGO LOGISTICS (CHINA) LTD SHENZHEN BRANCH</t>
  </si>
  <si>
    <t>Winnie Yip</t>
  </si>
  <si>
    <t>FREN00036A</t>
  </si>
  <si>
    <t>AU204900</t>
  </si>
  <si>
    <t>INTERGROUP SHIPPING (WA) PTY LTD</t>
  </si>
  <si>
    <t>Add-on Table</t>
  </si>
  <si>
    <t>AKL17A0044</t>
  </si>
  <si>
    <t>NZ100605</t>
  </si>
  <si>
    <t>JACANNA CUSTOMS &amp; FREIGHT</t>
  </si>
  <si>
    <t>Liz Sampson</t>
  </si>
  <si>
    <t>HKGN00365A</t>
  </si>
  <si>
    <t>HK104110</t>
  </si>
  <si>
    <t>JAS FORWARDING (H.K.) LTD.</t>
  </si>
  <si>
    <t>Owen Ip</t>
  </si>
  <si>
    <t>NBON00377A</t>
  </si>
  <si>
    <t>CN508989</t>
  </si>
  <si>
    <t>JET LOGISTICS GROUP CORPORATION LIMITED</t>
  </si>
  <si>
    <t>Renart Chen</t>
  </si>
  <si>
    <t>USD</t>
  </si>
  <si>
    <t>SINN00761A</t>
  </si>
  <si>
    <t>SG102389</t>
  </si>
  <si>
    <t>KUEHNE &amp; NAGEL (ASIA PACIFIC ) MANAGEMENT PTE LTD</t>
  </si>
  <si>
    <t>SINN02409A</t>
  </si>
  <si>
    <t>SG102534</t>
  </si>
  <si>
    <t>LOGWIN AIR &amp; OCEAN SINGAPORE PTE LTD</t>
  </si>
  <si>
    <t>FREN00248A</t>
  </si>
  <si>
    <t>AU300466</t>
  </si>
  <si>
    <t>LOGWIN AIR &amp; OCEAN AUSTRALIA PTY LTD</t>
  </si>
  <si>
    <t xml:space="preserve">Jordan Fenwick
</t>
  </si>
  <si>
    <t>AKLN00023A</t>
  </si>
  <si>
    <t>NZ100703</t>
  </si>
  <si>
    <t>MAINFREIGHT AIR &amp; OCEAN LIMITED</t>
  </si>
  <si>
    <t>HKGN01575A</t>
  </si>
  <si>
    <t>HK105147</t>
  </si>
  <si>
    <t xml:space="preserve">Service  </t>
  </si>
  <si>
    <t>MAINFREIGHT EXPRESS LINES</t>
  </si>
  <si>
    <t>North &amp; Central China</t>
  </si>
  <si>
    <t>Dino Ho</t>
  </si>
  <si>
    <t>FREN00119A</t>
  </si>
  <si>
    <t>AU204234</t>
  </si>
  <si>
    <t>McLintock International</t>
  </si>
  <si>
    <t>THKGN00348A</t>
  </si>
  <si>
    <t>HK520489</t>
  </si>
  <si>
    <t>MFE ASIA LIMITED</t>
  </si>
  <si>
    <t>Qingdao</t>
  </si>
  <si>
    <t>HKGN00723A</t>
  </si>
  <si>
    <t>HK100162</t>
  </si>
  <si>
    <t>MONDIALE VGL LIMITED (AU only)</t>
  </si>
  <si>
    <t>AUN / AUE</t>
  </si>
  <si>
    <t>HKGN00261A</t>
  </si>
  <si>
    <t>MONDIALE VGL LIMITED (NZ only)</t>
  </si>
  <si>
    <t>AKL00100</t>
  </si>
  <si>
    <t>NZ100842</t>
  </si>
  <si>
    <t>OCEANBRIDGE SHIPPING LTD</t>
  </si>
  <si>
    <t>Torhild Mellow</t>
  </si>
  <si>
    <t>TPEN01532A</t>
  </si>
  <si>
    <t>TW501681</t>
  </si>
  <si>
    <t>ORIENTAL FREIGHT SERVICES CO.,LTD</t>
  </si>
  <si>
    <t>Alex Wang</t>
  </si>
  <si>
    <t>NBON00095A</t>
  </si>
  <si>
    <t>CN109354</t>
  </si>
  <si>
    <t>Add-on table</t>
  </si>
  <si>
    <t>PORTEVER SHIPPING LTD.</t>
  </si>
  <si>
    <t>Daisy Jiang</t>
  </si>
  <si>
    <t>TTAON00578A</t>
  </si>
  <si>
    <t>CN621823</t>
  </si>
  <si>
    <t>QINGDAO HONGYANG INTERNATIONAL LOGISTICS CO.,LTD</t>
  </si>
  <si>
    <t>Heidi Chen</t>
  </si>
  <si>
    <t>TAON00122A</t>
  </si>
  <si>
    <t>CN302922</t>
  </si>
  <si>
    <t>QINGDAO SUN STAR INTERNATIONAL LOGISTICS CO., LTD</t>
  </si>
  <si>
    <t>Jacky Liu</t>
  </si>
  <si>
    <t>TTAON00713A</t>
  </si>
  <si>
    <t>CN641828</t>
  </si>
  <si>
    <t>QINGDAO UNITED INNOVATION SUPPLY CHAIN CO., LTD</t>
  </si>
  <si>
    <t>Kim Wang</t>
  </si>
  <si>
    <t>TAON00137A</t>
  </si>
  <si>
    <t>CN260287</t>
  </si>
  <si>
    <t>QINGDAO WINTOP WORLDWIDE LOGISTICS CO.,LTD.</t>
  </si>
  <si>
    <t>TAON00128A</t>
  </si>
  <si>
    <t>CN222604</t>
  </si>
  <si>
    <t>QINGDAO WORLD GLORY LOGISTICS CO., LTD</t>
  </si>
  <si>
    <t>HKGN00697A</t>
  </si>
  <si>
    <t>HK108756</t>
  </si>
  <si>
    <t>ROHLIG HONG KONG LIMITED</t>
  </si>
  <si>
    <t>Richard Ru</t>
  </si>
  <si>
    <t>China</t>
  </si>
  <si>
    <t>FREN00137A</t>
  </si>
  <si>
    <t>AU203888</t>
  </si>
  <si>
    <t>SADLEIRS GLOBAL LOGISTICS</t>
  </si>
  <si>
    <t>TAON00132A</t>
  </si>
  <si>
    <t>CN133918</t>
  </si>
  <si>
    <t>SHANGHAI SUNOBLE INTERNATIONAL LOGISTICS LTD.QINGDAO BRANCH</t>
  </si>
  <si>
    <t>NZJ (only)</t>
  </si>
  <si>
    <t>SHAN00051A</t>
  </si>
  <si>
    <t>CN163659</t>
  </si>
  <si>
    <t>SHANGHAI UNION INTERNATIONAL LOGISTICS CO.,LTD</t>
  </si>
  <si>
    <t>Tong Zhu</t>
  </si>
  <si>
    <t>ZHOB00488A</t>
  </si>
  <si>
    <t>CN220417</t>
  </si>
  <si>
    <t>SHENZHEN KEAITE INDUSTRY CO.LTD</t>
  </si>
  <si>
    <t>Shanghai</t>
  </si>
  <si>
    <t>Dephne Li</t>
  </si>
  <si>
    <t>SZPN00188A</t>
  </si>
  <si>
    <t>AUN / AUE / AUX</t>
  </si>
  <si>
    <t>CN173172</t>
  </si>
  <si>
    <t>SHENZHEN MAXSPEED LOGISTICS CO ., LTD</t>
  </si>
  <si>
    <t>Will Sun</t>
  </si>
  <si>
    <t>TSHAN00559A</t>
  </si>
  <si>
    <t>CN125381</t>
  </si>
  <si>
    <t>SILKROAD INTERNATIONAL LOGISTICS (SHANGHAI) CO. LTD</t>
  </si>
  <si>
    <t>Robert Wei</t>
  </si>
  <si>
    <t>TTAOB00060A</t>
  </si>
  <si>
    <t>CN249126</t>
  </si>
  <si>
    <t>SUIHE LIMITED</t>
  </si>
  <si>
    <t>KIM WANG</t>
  </si>
  <si>
    <t>SHAN01566A</t>
  </si>
  <si>
    <t>CN351409</t>
  </si>
  <si>
    <t>SUPER YOUNG INT'L FREIGHT SYSTEM CO.,LTD</t>
  </si>
  <si>
    <t>Kanny Bai</t>
  </si>
  <si>
    <t>THKGN01068A</t>
  </si>
  <si>
    <t>HK108077</t>
  </si>
  <si>
    <t>TOLL GLOBAL FORWARDING PTY LTD</t>
  </si>
  <si>
    <t>Wing Chan</t>
  </si>
  <si>
    <t>AKLN00019A</t>
  </si>
  <si>
    <t>NZ101159</t>
  </si>
  <si>
    <t>TOLL GROUP (NZ) LIMITED TA TOLL GLOBAL FORWARDING</t>
  </si>
  <si>
    <t>FREB00151A</t>
  </si>
  <si>
    <t>AU300609</t>
  </si>
  <si>
    <t>TRANSWAYS LOGISTICS INTERNATIONAL</t>
  </si>
  <si>
    <t>HKGN00614A</t>
  </si>
  <si>
    <t>CN219083</t>
  </si>
  <si>
    <t>UNITEX INTERNATIONAL FORWARDING (GUANGZHOU) LIMITED</t>
  </si>
  <si>
    <t>HKGN00372A</t>
  </si>
  <si>
    <t>HK108497</t>
  </si>
  <si>
    <t>VANGUARD LOGISTICS SERVICES (HONG KONG) LTD.</t>
  </si>
  <si>
    <t>FREN00165A</t>
  </si>
  <si>
    <t>AU305927</t>
  </si>
  <si>
    <t>Ningbo</t>
  </si>
  <si>
    <t>XS Global Logistics</t>
  </si>
  <si>
    <t xml:space="preserve">AUN / AUE </t>
  </si>
  <si>
    <t>FREN00569A</t>
  </si>
  <si>
    <t>HKGN00373A</t>
  </si>
  <si>
    <t>HK109333</t>
  </si>
  <si>
    <t>Yusen Logistics (Hong Kong) Limited</t>
  </si>
  <si>
    <t>Taihei Kojima</t>
  </si>
  <si>
    <t>TNBON00562A</t>
  </si>
  <si>
    <t>CN616491</t>
  </si>
  <si>
    <t>ZHEJIANG PORT SOUTHEAST LOGISTICS CO.,LTD</t>
  </si>
  <si>
    <t>Ketty Li</t>
  </si>
  <si>
    <t>TTAON00764A</t>
  </si>
  <si>
    <t>CN653801</t>
  </si>
  <si>
    <t>QINGDAO GLOBAL EXPRESS INTERNATIONAL LOGISTICS CO.,LTD</t>
  </si>
  <si>
    <t>TTAOB00677A</t>
  </si>
  <si>
    <t>CN511514</t>
  </si>
  <si>
    <t>WELL LINK INDUSTRY CO.,LIMITED</t>
  </si>
  <si>
    <t xml:space="preserve">THKGN01281A </t>
  </si>
  <si>
    <t>HK101028</t>
  </si>
  <si>
    <t xml:space="preserve">Carotrans </t>
  </si>
  <si>
    <t>Katy Ng</t>
  </si>
  <si>
    <t>Xingang</t>
  </si>
  <si>
    <t>CANN00273A</t>
  </si>
  <si>
    <t>CN102583</t>
  </si>
  <si>
    <t>GUANGZHOU YEAHER INTERNATIONAL LOGISTICS CO., LTD</t>
  </si>
  <si>
    <t>David Zhang</t>
  </si>
  <si>
    <t>CANN00389A</t>
  </si>
  <si>
    <t>CN523753</t>
  </si>
  <si>
    <t>GUANGZHOU MAXLINK INTERNATIONAL FORWARDING CO., LTD.</t>
  </si>
  <si>
    <t>MELN00170A</t>
  </si>
  <si>
    <t>AU200145</t>
  </si>
  <si>
    <t>NAVIA PTY LTD</t>
  </si>
  <si>
    <t>Nikolina Medakovic</t>
  </si>
  <si>
    <t xml:space="preserve">AKLN00240A </t>
  </si>
  <si>
    <t>NZ102043</t>
  </si>
  <si>
    <t>DSV AIR &amp; SEA LIMITED</t>
  </si>
  <si>
    <t>TSNN00025A</t>
  </si>
  <si>
    <t>CN139782</t>
  </si>
  <si>
    <t>YUEXIN GLOBAL LOGISTICS CO., LTD.</t>
  </si>
  <si>
    <t>Demy Wang</t>
  </si>
  <si>
    <t xml:space="preserve">15-20 </t>
  </si>
  <si>
    <t>BNEN00159A</t>
  </si>
  <si>
    <t>AU100352</t>
  </si>
  <si>
    <t xml:space="preserve">AAW GLOBAL LOGISTICS
</t>
  </si>
  <si>
    <t>Newly Added</t>
  </si>
  <si>
    <t xml:space="preserve">TSHAN00693A </t>
  </si>
  <si>
    <t>CN632086</t>
  </si>
  <si>
    <t>SHANGHAI AUGER INTERNATIONAL FORWARDING CO.,LTD</t>
  </si>
  <si>
    <t>Wu Jun</t>
  </si>
  <si>
    <t>HKGN03360A</t>
  </si>
  <si>
    <t>AE512831</t>
  </si>
  <si>
    <t xml:space="preserve">SMART SOLUTIONS LINE FZE
</t>
  </si>
  <si>
    <t>TTAON01461A</t>
  </si>
  <si>
    <t>CN634160</t>
  </si>
  <si>
    <t>on top of Qingdao</t>
  </si>
  <si>
    <t>QINGDAO TAIRUIDA LOGISTICS</t>
  </si>
  <si>
    <t>Dalian</t>
  </si>
  <si>
    <t>Changsha</t>
  </si>
  <si>
    <t>on top of Shanghai</t>
  </si>
  <si>
    <t>Changshu</t>
  </si>
  <si>
    <t>Changzhou</t>
  </si>
  <si>
    <t>Chengdu</t>
  </si>
  <si>
    <t>Chengdu (via CNYTN by rail)</t>
  </si>
  <si>
    <t>on top of Yantian</t>
  </si>
  <si>
    <t>Chongqing (via CNSHA)</t>
  </si>
  <si>
    <t>Chongqing (via CNYTN by rail)</t>
  </si>
  <si>
    <t>Guiyang (via CNYTN by rail)</t>
  </si>
  <si>
    <t>Jiangyin</t>
  </si>
  <si>
    <t>Jiujiang (CNJIU)</t>
  </si>
  <si>
    <t>Lianyungang</t>
  </si>
  <si>
    <t>Nanchang (via CNSHA)</t>
  </si>
  <si>
    <t>Nanchang (via CNYTN by rail)</t>
  </si>
  <si>
    <t>Nanjing</t>
  </si>
  <si>
    <t>Nantong</t>
  </si>
  <si>
    <t>Shidao</t>
  </si>
  <si>
    <t>Taicang</t>
  </si>
  <si>
    <t>Taizhou,  Jiangsu</t>
  </si>
  <si>
    <t>Wenzhou</t>
  </si>
  <si>
    <t>on top of Ningbo</t>
  </si>
  <si>
    <t>Wuhan</t>
  </si>
  <si>
    <t>Wuhu</t>
  </si>
  <si>
    <t>Yangzhou</t>
  </si>
  <si>
    <t>Yantai</t>
  </si>
  <si>
    <t>Yueyang</t>
  </si>
  <si>
    <t>Zhangjiagang</t>
  </si>
  <si>
    <t>Zhenjiang</t>
  </si>
  <si>
    <t>Zhapu</t>
  </si>
  <si>
    <t>Fujian</t>
  </si>
  <si>
    <t>Xiamen</t>
  </si>
  <si>
    <t>Fuqing</t>
  </si>
  <si>
    <t xml:space="preserve">Fuzhou </t>
  </si>
  <si>
    <t xml:space="preserve">Mawei </t>
  </si>
  <si>
    <t>South China</t>
  </si>
  <si>
    <t>Hong Kong</t>
  </si>
  <si>
    <t>AUN</t>
  </si>
  <si>
    <t>Yantian</t>
  </si>
  <si>
    <t>Ganzhou (CNGAN)</t>
  </si>
  <si>
    <t>Zhuzhou (CNZUU)</t>
  </si>
  <si>
    <t>Huangpu</t>
  </si>
  <si>
    <t xml:space="preserve">AUN </t>
  </si>
  <si>
    <t>on top of Hong Kong</t>
  </si>
  <si>
    <t>PRDA*</t>
  </si>
  <si>
    <t>PRDB*</t>
  </si>
  <si>
    <t>Korea</t>
  </si>
  <si>
    <t>Busan</t>
  </si>
  <si>
    <t>Taiwan (include ISL)</t>
  </si>
  <si>
    <t>Kaohsiung</t>
  </si>
  <si>
    <t>Keelung (Direct only)</t>
  </si>
  <si>
    <t>on top of Kaohsiung</t>
  </si>
  <si>
    <t>Taichung</t>
  </si>
  <si>
    <t>Taoyuan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</si>
  <si>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</si>
  <si>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</si>
  <si>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</si>
  <si>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</si>
  <si>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Surcharges</t>
  </si>
  <si>
    <t>20'RF</t>
  </si>
  <si>
    <t>40'HC RF</t>
  </si>
  <si>
    <t>OBS</t>
  </si>
  <si>
    <t>ONE Bunker Surcharge</t>
  </si>
  <si>
    <t>USD301</t>
  </si>
  <si>
    <t>USD602</t>
  </si>
  <si>
    <t>USD403</t>
  </si>
  <si>
    <t>USD806</t>
  </si>
  <si>
    <t>included</t>
  </si>
  <si>
    <t>LSF (ex CN &amp; HK only)</t>
  </si>
  <si>
    <t>Low Sulphur Fuel Surcharge</t>
  </si>
  <si>
    <t>ONE Tariff</t>
  </si>
  <si>
    <t>LSF (ex TW only)</t>
  </si>
  <si>
    <t>THD</t>
  </si>
  <si>
    <t>Terminal Handling Destination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</si>
  <si>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</si>
  <si>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</si>
  <si>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</si>
  <si>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</si>
  <si>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</si>
  <si>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</si>
  <si>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</si>
  <si>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</si>
  <si>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</si>
  <si>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</si>
  <si>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Remarks:</t>
  </si>
  <si>
    <t>Rate incl OBS, EFS (ex KR &amp; HK), PSS, subject to ISL/THL/THD/LND/DOC/DOF and local charges both ends</t>
  </si>
  <si>
    <t>Ex TW only: Rate incl OBS/ISL, PSS, subject to THL/THD/LND/DOC/DOF and all applicable surcharges as per ONE tariff</t>
  </si>
  <si>
    <t>For dry non-DG cargo only (*not accepting DG in Reefer)</t>
  </si>
  <si>
    <t>Flexi-tank add-on: USD100/TEU</t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</si>
  <si>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</si>
  <si>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</si>
  <si>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</si>
  <si>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Any other Pearl River Delta / Yangzhi River Delta</t>
  </si>
  <si>
    <t>HAZ Surcharges Table  - w.e.f. 01 Apri 2025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</si>
  <si>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</si>
  <si>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</si>
  <si>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</si>
  <si>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</si>
  <si>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</si>
  <si>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</si>
  <si>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</si>
  <si>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</si>
  <si>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</si>
  <si>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</si>
  <si>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</si>
  <si>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</si>
  <si>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</si>
  <si>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</si>
  <si>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</si>
  <si>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</si>
  <si>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</si>
  <si>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</si>
  <si>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</si>
  <si>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</si>
  <si>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</si>
  <si>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</si>
  <si>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</si>
  <si>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</si>
  <si>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</si>
  <si>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</si>
  <si>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</si>
  <si>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</si>
  <si>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</si>
  <si>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</si>
  <si>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</si>
  <si>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</si>
  <si>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</si>
  <si>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</si>
  <si>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</si>
  <si>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SOP.</t>
  </si>
  <si>
    <t>Pharmaceutical Addon</t>
  </si>
  <si>
    <t>VALID fm 01 Oct 2025 to end Mar 2027</t>
  </si>
  <si>
    <t>PREMIUM Add-on</t>
  </si>
  <si>
    <t>New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</si>
  <si>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</si>
  <si>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</si>
  <si>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</si>
  <si>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</si>
  <si>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</si>
  <si>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</si>
  <si>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</si>
  <si>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</si>
  <si>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</si>
  <si>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</si>
  <si>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</si>
  <si>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</si>
  <si>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</si>
  <si>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</si>
  <si>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</si>
  <si>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</si>
  <si>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</si>
  <si>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</si>
  <si>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</si>
  <si>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ONE TARIFF' BASED ON PER UNIT BASIS, REGARDLESS OF UNIT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</si>
</sst>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yy"/>
    <numFmt numFmtId="165" formatCode="[$-409]d\-mmm\-yy"/>
    <numFmt numFmtId="166" formatCode="&quot;$&quot;#,##0"/>
  </numFmts>
  <fonts count="34">
    <font>
      <sz val="11.0"/>
      <color theme="1"/>
      <name val="Calibri"/>
      <scheme val="minor"/>
    </font>
    <font>
      <b/>
      <sz val="14.0"/>
      <color theme="1"/>
      <name val="Calibri"/>
    </font>
    <font>
      <b/>
      <sz val="28.0"/>
      <color rgb="FFBD0F72"/>
      <name val="Calibri"/>
    </font>
    <font>
      <sz val="11.0"/>
      <color theme="1"/>
      <name val="Calibri"/>
    </font>
    <font/>
    <font>
      <b/>
      <sz val="11.0"/>
      <color rgb="FF0000FF"/>
      <name val="Calibri"/>
    </font>
    <font>
      <b/>
      <sz val="11.0"/>
      <color theme="1"/>
      <name val="Calibri"/>
    </font>
    <font>
      <sz val="11.0"/>
      <color rgb="FF0000FF"/>
      <name val="Calibri"/>
    </font>
    <font>
      <b/>
      <sz val="11.0"/>
      <color rgb="FFFF0000"/>
      <name val="Calibri"/>
    </font>
    <font>
      <b/>
      <sz val="12.0"/>
      <color rgb="FFBD0F72"/>
      <name val="Calibri"/>
    </font>
    <font>
      <b/>
      <sz val="20.0"/>
      <color rgb="FFBD0F72"/>
      <name val="Calibri"/>
    </font>
    <font>
      <b/>
      <sz val="11.0"/>
      <color rgb="FFCCD3D1"/>
      <name val="Calibri"/>
    </font>
    <font>
      <b/>
      <sz val="11.0"/>
      <color rgb="FFF2F2F2"/>
      <name val="Calibri"/>
    </font>
    <font>
      <b/>
      <sz val="11.0"/>
      <color rgb="FFBD0F72"/>
      <name val="Calibri"/>
    </font>
    <font>
      <b/>
      <sz val="14.0"/>
      <color rgb="FFBD0F72"/>
      <name val="Calibri"/>
    </font>
    <font>
      <b/>
      <sz val="14.0"/>
      <color rgb="FFF2F2F2"/>
      <name val="Calibri"/>
    </font>
    <font>
      <b/>
      <sz val="11.0"/>
      <color theme="0"/>
      <name val="Calibri"/>
    </font>
    <font>
      <sz val="11.0"/>
      <color rgb="FF0000FF"/>
      <name val="Arial"/>
    </font>
    <font>
      <b/>
      <sz val="11.0"/>
      <color rgb="FFD8D8D8"/>
      <name val="Calibri"/>
    </font>
    <font>
      <b/>
      <sz val="11.0"/>
      <color rgb="FFFFFF00"/>
      <name val="Calibri"/>
    </font>
    <font>
      <sz val="12.0"/>
      <color rgb="FF222222"/>
      <name val="Arial"/>
    </font>
    <font>
      <b/>
      <u/>
      <sz val="18.0"/>
      <color theme="1"/>
      <name val="Calibri"/>
    </font>
    <font>
      <b/>
      <sz val="11.0"/>
      <color rgb="FFFF0000"/>
      <name val="Times New Roman"/>
    </font>
    <font>
      <sz val="12.0"/>
      <color rgb="FFFF0000"/>
      <name val="Calibri"/>
    </font>
    <font>
      <sz val="12.0"/>
      <color rgb="FFFFFFFF"/>
      <name val="Calibri"/>
    </font>
    <font>
      <sz val="12.0"/>
      <color theme="1"/>
      <name val="Calibri"/>
    </font>
    <font>
      <sz val="12.0"/>
      <color rgb="FF0000FF"/>
      <name val="Calibri"/>
    </font>
    <font>
      <b/>
      <sz val="12.0"/>
      <color rgb="FFFF0000"/>
      <name val="Calibri"/>
    </font>
    <font>
      <b/>
      <sz val="12.0"/>
      <color rgb="FF0000FF"/>
      <name val="Calibri"/>
    </font>
    <font>
      <b/>
      <sz val="14.0"/>
      <color rgb="FFFFFFFF"/>
      <name val="Calibri"/>
    </font>
    <font>
      <sz val="11.0"/>
      <color rgb="FFFFFFFF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D3D1"/>
        <bgColor rgb="FFCCD3D1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B7E1CD"/>
        <bgColor rgb="FFB7E1CD"/>
      </patternFill>
    </fill>
    <fill>
      <patternFill patternType="solid">
        <fgColor rgb="FFBD0F72"/>
        <bgColor rgb="FFBD0F7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CC0099"/>
        <bgColor rgb="FFCC0099"/>
      </patternFill>
    </fill>
  </fills>
  <borders count="103">
    <border/>
    <border>
      <left style="medium">
        <color rgb="FF000000"/>
      </left>
      <top/>
    </border>
    <border>
      <top/>
    </border>
    <border>
      <right/>
      <top/>
    </border>
    <border>
      <left/>
      <right/>
      <top/>
      <bottom/>
    </border>
    <border>
      <left style="medium">
        <color rgb="FF000000"/>
      </left>
      <bottom/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/>
      <bottom/>
    </border>
    <border>
      <top style="medium">
        <color rgb="FF000000"/>
      </top>
    </border>
    <border>
      <right/>
      <top style="medium">
        <color rgb="FF000000"/>
      </top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medium">
        <color rgb="FF000000"/>
      </left>
      <right/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CCCCCC"/>
      </bottom>
    </border>
    <border>
      <top style="medium">
        <color rgb="FF000000"/>
      </top>
      <bottom style="medium">
        <color rgb="FFCCCCCC"/>
      </bottom>
    </border>
    <border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horizontal="center" vertical="center"/>
    </xf>
    <xf borderId="0" fillId="2" fontId="3" numFmtId="0" xfId="0" applyAlignment="1" applyFill="1" applyFont="1">
      <alignment vertical="bottom"/>
    </xf>
    <xf borderId="2" fillId="0" fontId="4" numFmtId="0" xfId="0" applyBorder="1" applyFont="1"/>
    <xf borderId="3" fillId="0" fontId="4" numFmtId="0" xfId="0" applyBorder="1" applyFont="1"/>
    <xf borderId="4" fillId="4" fontId="5" numFmtId="15" xfId="0" applyAlignment="1" applyBorder="1" applyFill="1" applyFont="1" applyNumberFormat="1">
      <alignment horizontal="right" vertical="bottom"/>
    </xf>
    <xf borderId="0" fillId="0" fontId="6" numFmtId="0" xfId="0" applyFont="1"/>
    <xf borderId="4" fillId="4" fontId="3" numFmtId="15" xfId="0" applyAlignment="1" applyBorder="1" applyFill="1" applyFont="1" applyNumberFormat="1">
      <alignment vertical="bottom"/>
    </xf>
    <xf borderId="4" fillId="4" fontId="7" numFmtId="15" xfId="0" applyAlignment="1" applyBorder="1" applyFill="1" applyFont="1" applyNumberFormat="1">
      <alignment horizontal="right" vertical="bottom"/>
    </xf>
    <xf borderId="5" fillId="0" fontId="4" numFmtId="0" xfId="0" applyBorder="1" applyFont="1"/>
    <xf borderId="6" fillId="0" fontId="4" numFmtId="0" xfId="0" applyBorder="1" applyFont="1"/>
    <xf borderId="7" fillId="5" fontId="3" numFmtId="0" xfId="0" applyAlignment="1" applyBorder="1" applyFill="1" applyFont="1">
      <alignment vertical="bottom"/>
    </xf>
    <xf borderId="8" fillId="0" fontId="4" numFmtId="0" xfId="0" applyBorder="1" applyFont="1"/>
    <xf borderId="7" fillId="5" fontId="6" numFmtId="0" xfId="0" applyAlignment="1" applyBorder="1" applyFill="1" applyFont="1">
      <alignment shrinkToFit="0" vertical="bottom" wrapText="1"/>
    </xf>
    <xf borderId="9" fillId="3" fontId="2" numFmtId="0" xfId="0" applyAlignment="1" applyBorder="1" applyFill="1" applyFont="1">
      <alignment horizontal="center" vertical="center"/>
    </xf>
    <xf borderId="10" fillId="3" fontId="2" numFmtId="0" xfId="0" applyAlignment="1" applyBorder="1" applyFill="1" applyFont="1">
      <alignment horizontal="center" vertical="center"/>
    </xf>
    <xf borderId="7" fillId="6" fontId="6" numFmtId="0" xfId="0" applyAlignment="1" applyBorder="1" applyFill="1" applyFont="1">
      <alignment shrinkToFit="0" vertical="bottom" wrapText="1"/>
    </xf>
    <xf borderId="4" fillId="3" fontId="2" numFmtId="0" xfId="0" applyAlignment="1" applyBorder="1" applyFill="1" applyFont="1">
      <alignment horizontal="center" vertical="center"/>
    </xf>
    <xf borderId="11" fillId="0" fontId="4" numFmtId="0" xfId="0" applyBorder="1" applyFont="1"/>
    <xf borderId="7" fillId="5" fontId="8" numFmtId="0" xfId="0" applyAlignment="1" applyBorder="1" applyFill="1" applyFont="1">
      <alignment shrinkToFit="0" vertical="bottom" wrapText="1"/>
    </xf>
    <xf borderId="7" fillId="0" fontId="3" numFmtId="0" xfId="0" applyAlignment="1" applyBorder="1" applyFont="1">
      <alignment horizontal="right" shrinkToFit="0" vertical="bottom" wrapText="1"/>
    </xf>
    <xf borderId="12" fillId="0" fontId="4" numFmtId="0" xfId="0" applyBorder="1" applyFont="1"/>
    <xf borderId="13" fillId="3" fontId="9" numFmtId="0" xfId="0" applyAlignment="1" applyBorder="1" applyFill="1" applyFont="1">
      <alignment horizontal="center" vertical="center"/>
    </xf>
    <xf borderId="7" fillId="0" fontId="3" numFmtId="0" xfId="0" applyAlignment="1" applyBorder="1" applyFont="1">
      <alignment shrinkToFit="0" vertical="bottom" wrapText="1"/>
    </xf>
    <xf borderId="7" fillId="6" fontId="3" numFmtId="0" xfId="0" applyAlignment="1" applyBorder="1" applyFill="1" applyFont="1">
      <alignment shrinkToFit="0" vertical="bottom" wrapText="1"/>
    </xf>
    <xf borderId="7" fillId="0" fontId="3" numFmtId="0" xfId="0" applyAlignment="1" applyBorder="1" applyFont="1">
      <alignment vertical="bottom"/>
    </xf>
    <xf borderId="13" fillId="3" fontId="9" numFmtId="164" xfId="0" applyAlignment="1" applyBorder="1" applyFill="1" applyFont="1" applyNumberFormat="1">
      <alignment horizontal="center" readingOrder="0" vertical="center"/>
    </xf>
    <xf borderId="14" fillId="3" fontId="10" numFmtId="0" xfId="0" applyAlignment="1" applyBorder="1" applyFill="1" applyFont="1">
      <alignment horizontal="center" vertical="center"/>
    </xf>
    <xf borderId="7" fillId="2" fontId="3" numFmtId="0" xfId="0" applyAlignment="1" applyBorder="1" applyFill="1" applyFont="1">
      <alignment shrinkToFit="0" vertical="bottom" wrapText="1"/>
    </xf>
    <xf borderId="13" fillId="4" fontId="10" numFmtId="0" xfId="0" applyAlignment="1" applyBorder="1" applyFill="1" applyFont="1">
      <alignment horizontal="left" readingOrder="0"/>
    </xf>
    <xf borderId="13" fillId="4" fontId="10" numFmtId="0" xfId="0" applyAlignment="1" applyBorder="1" applyFill="1" applyFont="1">
      <alignment horizontal="center" vertical="center"/>
    </xf>
    <xf borderId="15" fillId="4" fontId="9" numFmtId="0" xfId="0" applyAlignment="1" applyBorder="1" applyFill="1" applyFont="1">
      <alignment horizontal="center" vertical="center"/>
    </xf>
    <xf borderId="16" fillId="0" fontId="4" numFmtId="0" xfId="0" applyBorder="1" applyFont="1"/>
    <xf borderId="13" fillId="3" fontId="9" numFmtId="164" xfId="0" applyAlignment="1" applyBorder="1" applyFill="1" applyFont="1" applyNumberFormat="1">
      <alignment horizontal="center" vertical="center"/>
    </xf>
    <xf borderId="17" fillId="0" fontId="4" numFmtId="0" xfId="0" applyBorder="1" applyFont="1"/>
    <xf borderId="18" fillId="7" fontId="11" numFmtId="165" xfId="0" applyAlignment="1" applyBorder="1" applyFill="1" applyFont="1" applyNumberFormat="1">
      <alignment vertical="center"/>
    </xf>
    <xf borderId="19" fillId="7" fontId="12" numFmtId="0" xfId="0" applyAlignment="1" applyBorder="1" applyFill="1" applyFont="1">
      <alignment horizontal="left" vertical="center"/>
    </xf>
    <xf borderId="13" fillId="4" fontId="10" numFmtId="0" xfId="0" applyAlignment="1" applyBorder="1" applyFill="1" applyFont="1">
      <alignment horizontal="left"/>
    </xf>
    <xf borderId="20" fillId="7" fontId="12" numFmtId="0" xfId="0" applyAlignment="1" applyBorder="1" applyFill="1" applyFont="1">
      <alignment horizontal="center" shrinkToFit="0" vertical="center" wrapText="1"/>
    </xf>
    <xf borderId="21" fillId="7" fontId="12" numFmtId="0" xfId="0" applyAlignment="1" applyBorder="1" applyFill="1" applyFont="1">
      <alignment horizontal="center" vertical="center"/>
    </xf>
    <xf borderId="22" fillId="7" fontId="12" numFmtId="0" xfId="0" applyAlignment="1" applyBorder="1" applyFill="1" applyFont="1">
      <alignment horizontal="center" vertical="center"/>
    </xf>
    <xf borderId="23" fillId="7" fontId="12" numFmtId="0" xfId="0" applyAlignment="1" applyBorder="1" applyFill="1" applyFont="1">
      <alignment horizontal="center" vertical="center"/>
    </xf>
    <xf borderId="21" fillId="7" fontId="12" numFmtId="0" xfId="0" applyAlignment="1" applyBorder="1" applyFill="1" applyFont="1">
      <alignment horizontal="center" shrinkToFit="0" vertical="center" wrapText="1"/>
    </xf>
    <xf borderId="23" fillId="7" fontId="12" numFmtId="0" xfId="0" applyAlignment="1" applyBorder="1" applyFill="1" applyFont="1">
      <alignment horizontal="center" shrinkToFit="0" vertical="center" wrapText="1"/>
    </xf>
    <xf borderId="24" fillId="4" fontId="13" numFmtId="0" xfId="0" applyAlignment="1" applyBorder="1" applyFill="1" applyFont="1">
      <alignment horizontal="center" shrinkToFit="0" vertical="center" wrapText="1"/>
    </xf>
    <xf borderId="23" fillId="4" fontId="13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5" fillId="4" fontId="14" numFmtId="0" xfId="0" applyAlignment="1" applyBorder="1" applyFill="1" applyFont="1">
      <alignment horizontal="center" vertical="center"/>
    </xf>
    <xf borderId="10" fillId="7" fontId="11" numFmtId="165" xfId="0" applyAlignment="1" applyBorder="1" applyFill="1" applyFont="1" applyNumberFormat="1">
      <alignment horizontal="right" vertical="top"/>
    </xf>
    <xf borderId="25" fillId="0" fontId="4" numFmtId="0" xfId="0" applyBorder="1" applyFont="1"/>
    <xf borderId="26" fillId="0" fontId="4" numFmtId="0" xfId="0" applyBorder="1" applyFont="1"/>
    <xf borderId="27" fillId="7" fontId="12" numFmtId="0" xfId="0" applyAlignment="1" applyBorder="1" applyFill="1" applyFont="1">
      <alignment horizontal="center" vertical="top"/>
    </xf>
    <xf borderId="28" fillId="7" fontId="12" numFmtId="0" xfId="0" applyAlignment="1" applyBorder="1" applyFill="1" applyFont="1">
      <alignment horizontal="center" vertical="top"/>
    </xf>
    <xf borderId="29" fillId="7" fontId="12" numFmtId="0" xfId="0" applyAlignment="1" applyBorder="1" applyFill="1" applyFont="1">
      <alignment horizontal="center" vertical="top"/>
    </xf>
    <xf borderId="0" fillId="0" fontId="3" numFmtId="0" xfId="0" applyAlignment="1" applyFont="1">
      <alignment vertical="bottom"/>
    </xf>
    <xf borderId="30" fillId="7" fontId="12" numFmtId="0" xfId="0" applyAlignment="1" applyBorder="1" applyFill="1" applyFont="1">
      <alignment horizontal="center" vertical="top"/>
    </xf>
    <xf borderId="31" fillId="7" fontId="12" numFmtId="165" xfId="0" applyAlignment="1" applyBorder="1" applyFill="1" applyFont="1" applyNumberFormat="1">
      <alignment horizontal="left" vertical="center"/>
    </xf>
    <xf borderId="21" fillId="4" fontId="13" numFmtId="0" xfId="0" applyAlignment="1" applyBorder="1" applyFill="1" applyFont="1">
      <alignment horizontal="center" shrinkToFit="0" vertical="center" wrapText="1"/>
    </xf>
    <xf borderId="22" fillId="4" fontId="13" numFmtId="165" xfId="0" applyBorder="1" applyFill="1" applyFont="1" applyNumberFormat="1"/>
    <xf borderId="23" fillId="0" fontId="13" numFmtId="165" xfId="0" applyAlignment="1" applyBorder="1" applyFont="1" applyNumberFormat="1">
      <alignment vertical="bottom"/>
    </xf>
    <xf borderId="21" fillId="0" fontId="5" numFmtId="1" xfId="0" applyAlignment="1" applyBorder="1" applyFont="1" applyNumberFormat="1">
      <alignment horizontal="center" readingOrder="0" vertical="top"/>
    </xf>
    <xf borderId="7" fillId="0" fontId="5" numFmtId="0" xfId="0" applyAlignment="1" applyBorder="1" applyFont="1">
      <alignment horizontal="center" readingOrder="0" vertical="top"/>
    </xf>
    <xf borderId="23" fillId="0" fontId="5" numFmtId="1" xfId="0" applyAlignment="1" applyBorder="1" applyFont="1" applyNumberFormat="1">
      <alignment horizontal="center" vertical="top"/>
    </xf>
    <xf borderId="14" fillId="7" fontId="11" numFmtId="165" xfId="0" applyAlignment="1" applyBorder="1" applyFill="1" applyFont="1" applyNumberFormat="1">
      <alignment horizontal="right" vertical="top"/>
    </xf>
    <xf borderId="7" fillId="0" fontId="3" numFmtId="0" xfId="0" applyAlignment="1" applyBorder="1" applyFont="1">
      <alignment shrinkToFit="0" vertical="top" wrapText="1"/>
    </xf>
    <xf borderId="32" fillId="0" fontId="4" numFmtId="0" xfId="0" applyBorder="1" applyFont="1"/>
    <xf borderId="33" fillId="0" fontId="4" numFmtId="0" xfId="0" applyBorder="1" applyFont="1"/>
    <xf borderId="34" fillId="0" fontId="13" numFmtId="1" xfId="0" applyAlignment="1" applyBorder="1" applyFont="1" applyNumberFormat="1">
      <alignment horizontal="center" vertical="top"/>
    </xf>
    <xf borderId="35" fillId="7" fontId="12" numFmtId="0" xfId="0" applyAlignment="1" applyBorder="1" applyFill="1" applyFont="1">
      <alignment horizontal="center" vertical="top"/>
    </xf>
    <xf borderId="36" fillId="7" fontId="12" numFmtId="0" xfId="0" applyAlignment="1" applyBorder="1" applyFill="1" applyFont="1">
      <alignment horizontal="center" vertical="top"/>
    </xf>
    <xf borderId="37" fillId="7" fontId="12" numFmtId="0" xfId="0" applyAlignment="1" applyBorder="1" applyFill="1" applyFont="1">
      <alignment horizontal="center" vertical="top"/>
    </xf>
    <xf borderId="38" fillId="0" fontId="13" numFmtId="1" xfId="0" applyAlignment="1" applyBorder="1" applyFont="1" applyNumberFormat="1">
      <alignment horizontal="center" vertical="top"/>
    </xf>
    <xf borderId="18" fillId="7" fontId="15" numFmtId="165" xfId="0" applyBorder="1" applyFill="1" applyFont="1" applyNumberFormat="1"/>
    <xf borderId="39" fillId="0" fontId="5" numFmtId="1" xfId="0" applyAlignment="1" applyBorder="1" applyFont="1" applyNumberFormat="1">
      <alignment horizontal="center" readingOrder="0" vertical="top"/>
    </xf>
    <xf borderId="22" fillId="7" fontId="16" numFmtId="165" xfId="0" applyBorder="1" applyFill="1" applyFont="1" applyNumberFormat="1"/>
    <xf borderId="0" fillId="0" fontId="6" numFmtId="1" xfId="0" applyFont="1" applyNumberFormat="1"/>
    <xf borderId="40" fillId="7" fontId="12" numFmtId="165" xfId="0" applyBorder="1" applyFill="1" applyFont="1" applyNumberFormat="1"/>
    <xf borderId="41" fillId="0" fontId="4" numFmtId="0" xfId="0" applyBorder="1" applyFont="1"/>
    <xf borderId="7" fillId="4" fontId="13" numFmtId="165" xfId="0" applyBorder="1" applyFill="1" applyFont="1" applyNumberFormat="1"/>
    <xf borderId="21" fillId="0" fontId="13" numFmtId="1" xfId="0" applyAlignment="1" applyBorder="1" applyFont="1" applyNumberFormat="1">
      <alignment horizontal="center" vertical="top"/>
    </xf>
    <xf borderId="42" fillId="0" fontId="13" numFmtId="0" xfId="0" applyAlignment="1" applyBorder="1" applyFont="1">
      <alignment vertical="bottom"/>
    </xf>
    <xf borderId="7" fillId="6" fontId="3" numFmtId="0" xfId="0" applyAlignment="1" applyBorder="1" applyFill="1" applyFont="1">
      <alignment vertical="bottom"/>
    </xf>
    <xf borderId="34" fillId="7" fontId="16" numFmtId="1" xfId="0" applyAlignment="1" applyBorder="1" applyFill="1" applyFont="1" applyNumberFormat="1">
      <alignment horizontal="center" vertical="center"/>
    </xf>
    <xf borderId="22" fillId="0" fontId="13" numFmtId="1" xfId="0" applyAlignment="1" applyBorder="1" applyFont="1" applyNumberFormat="1">
      <alignment horizontal="center" vertical="top"/>
    </xf>
    <xf borderId="7" fillId="7" fontId="16" numFmtId="1" xfId="0" applyAlignment="1" applyBorder="1" applyFill="1" applyFont="1" applyNumberFormat="1">
      <alignment horizontal="center" vertical="center"/>
    </xf>
    <xf borderId="7" fillId="0" fontId="13" numFmtId="0" xfId="0" applyAlignment="1" applyBorder="1" applyFont="1">
      <alignment horizontal="center" vertical="top"/>
    </xf>
    <xf borderId="23" fillId="0" fontId="13" numFmtId="1" xfId="0" applyAlignment="1" applyBorder="1" applyFont="1" applyNumberFormat="1">
      <alignment horizontal="center" vertical="top"/>
    </xf>
    <xf borderId="38" fillId="7" fontId="16" numFmtId="1" xfId="0" applyAlignment="1" applyBorder="1" applyFill="1" applyFont="1" applyNumberFormat="1">
      <alignment horizontal="center" vertical="center"/>
    </xf>
    <xf borderId="21" fillId="7" fontId="12" numFmtId="1" xfId="0" applyAlignment="1" applyBorder="1" applyFill="1" applyFont="1" applyNumberFormat="1">
      <alignment horizontal="center" vertical="top"/>
    </xf>
    <xf borderId="23" fillId="7" fontId="12" numFmtId="1" xfId="0" applyAlignment="1" applyBorder="1" applyFill="1" applyFont="1" applyNumberFormat="1">
      <alignment horizontal="center" vertical="top"/>
    </xf>
    <xf borderId="39" fillId="0" fontId="13" numFmtId="1" xfId="0" applyAlignment="1" applyBorder="1" applyFont="1" applyNumberFormat="1">
      <alignment horizontal="center" vertical="top"/>
    </xf>
    <xf borderId="0" fillId="0" fontId="13" numFmtId="0" xfId="0" applyFont="1"/>
    <xf borderId="10" fillId="7" fontId="11" numFmtId="165" xfId="0" applyBorder="1" applyFill="1" applyFont="1" applyNumberFormat="1"/>
    <xf borderId="43" fillId="0" fontId="13" numFmtId="165" xfId="0" applyAlignment="1" applyBorder="1" applyFont="1" applyNumberFormat="1">
      <alignment vertical="bottom"/>
    </xf>
    <xf borderId="7" fillId="0" fontId="13" numFmtId="165" xfId="0" applyBorder="1" applyFont="1" applyNumberFormat="1"/>
    <xf borderId="43" fillId="0" fontId="13" numFmtId="165" xfId="0" applyBorder="1" applyFont="1" applyNumberFormat="1"/>
    <xf borderId="21" fillId="8" fontId="13" numFmtId="1" xfId="0" applyAlignment="1" applyBorder="1" applyFill="1" applyFont="1" applyNumberFormat="1">
      <alignment horizontal="center" vertical="top"/>
    </xf>
    <xf borderId="44" fillId="7" fontId="12" numFmtId="165" xfId="0" applyAlignment="1" applyBorder="1" applyFill="1" applyFont="1" applyNumberFormat="1">
      <alignment vertical="bottom"/>
    </xf>
    <xf borderId="7" fillId="2" fontId="3" numFmtId="0" xfId="0" applyAlignment="1" applyBorder="1" applyFill="1" applyFont="1">
      <alignment vertical="bottom"/>
    </xf>
    <xf borderId="7" fillId="0" fontId="13" numFmtId="1" xfId="0" applyAlignment="1" applyBorder="1" applyFont="1" applyNumberFormat="1">
      <alignment horizontal="center" vertical="top"/>
    </xf>
    <xf borderId="7" fillId="0" fontId="3" numFmtId="0" xfId="0" applyAlignment="1" applyBorder="1" applyFont="1">
      <alignment horizontal="right" vertical="bottom"/>
    </xf>
    <xf borderId="45" fillId="0" fontId="13" numFmtId="1" xfId="0" applyAlignment="1" applyBorder="1" applyFont="1" applyNumberFormat="1">
      <alignment horizontal="center" vertical="top"/>
    </xf>
    <xf borderId="34" fillId="7" fontId="16" numFmtId="1" xfId="0" applyAlignment="1" applyBorder="1" applyFill="1" applyFont="1" applyNumberFormat="1">
      <alignment horizontal="center" vertical="top"/>
    </xf>
    <xf borderId="7" fillId="7" fontId="16" numFmtId="1" xfId="0" applyAlignment="1" applyBorder="1" applyFill="1" applyFont="1" applyNumberFormat="1">
      <alignment horizontal="center" vertical="top"/>
    </xf>
    <xf borderId="38" fillId="7" fontId="16" numFmtId="1" xfId="0" applyAlignment="1" applyBorder="1" applyFill="1" applyFont="1" applyNumberFormat="1">
      <alignment horizontal="center" vertical="top"/>
    </xf>
    <xf borderId="7" fillId="0" fontId="7" numFmtId="0" xfId="0" applyAlignment="1" applyBorder="1" applyFont="1">
      <alignment vertical="bottom"/>
    </xf>
    <xf borderId="7" fillId="2" fontId="17" numFmtId="0" xfId="0" applyAlignment="1" applyBorder="1" applyFill="1" applyFont="1">
      <alignment vertical="bottom"/>
    </xf>
    <xf borderId="46" fillId="0" fontId="13" numFmtId="1" xfId="0" applyAlignment="1" applyBorder="1" applyFont="1" applyNumberFormat="1">
      <alignment horizontal="center" vertical="top"/>
    </xf>
    <xf borderId="7" fillId="6" fontId="17" numFmtId="0" xfId="0" applyAlignment="1" applyBorder="1" applyFill="1" applyFont="1">
      <alignment vertical="bottom"/>
    </xf>
    <xf borderId="7" fillId="0" fontId="17" numFmtId="0" xfId="0" applyAlignment="1" applyBorder="1" applyFont="1">
      <alignment vertical="bottom"/>
    </xf>
    <xf borderId="47" fillId="8" fontId="13" numFmtId="1" xfId="0" applyAlignment="1" applyBorder="1" applyFill="1" applyFont="1" applyNumberFormat="1">
      <alignment horizontal="center" vertical="top"/>
    </xf>
    <xf borderId="48" fillId="0" fontId="13" numFmtId="1" xfId="0" applyAlignment="1" applyBorder="1" applyFont="1" applyNumberFormat="1">
      <alignment horizontal="center" vertical="top"/>
    </xf>
    <xf borderId="0" fillId="0" fontId="8" numFmtId="0" xfId="0" applyFont="1"/>
    <xf borderId="7" fillId="2" fontId="7" numFmtId="0" xfId="0" applyAlignment="1" applyBorder="1" applyFill="1" applyFont="1">
      <alignment vertical="bottom"/>
    </xf>
    <xf borderId="7" fillId="7" fontId="16" numFmtId="165" xfId="0" applyBorder="1" applyFill="1" applyFont="1" applyNumberFormat="1"/>
    <xf borderId="7" fillId="6" fontId="7" numFmtId="0" xfId="0" applyAlignment="1" applyBorder="1" applyFill="1" applyFont="1">
      <alignment vertical="bottom"/>
    </xf>
    <xf borderId="0" fillId="0" fontId="3" numFmtId="0" xfId="0" applyAlignment="1" applyFont="1">
      <alignment horizontal="left"/>
    </xf>
    <xf borderId="44" fillId="7" fontId="12" numFmtId="165" xfId="0" applyBorder="1" applyFill="1" applyFont="1" applyNumberFormat="1"/>
    <xf borderId="49" fillId="8" fontId="13" numFmtId="1" xfId="0" applyAlignment="1" applyBorder="1" applyFill="1" applyFont="1" applyNumberFormat="1">
      <alignment horizontal="center" vertical="top"/>
    </xf>
    <xf borderId="34" fillId="7" fontId="11" numFmtId="1" xfId="0" applyAlignment="1" applyBorder="1" applyFill="1" applyFont="1" applyNumberFormat="1">
      <alignment horizontal="center" vertical="top"/>
    </xf>
    <xf borderId="38" fillId="7" fontId="11" numFmtId="1" xfId="0" applyAlignment="1" applyBorder="1" applyFill="1" applyFont="1" applyNumberFormat="1">
      <alignment horizontal="center" vertical="top"/>
    </xf>
    <xf borderId="47" fillId="7" fontId="11" numFmtId="1" xfId="0" applyAlignment="1" applyBorder="1" applyFill="1" applyFont="1" applyNumberFormat="1">
      <alignment horizontal="center" vertical="top"/>
    </xf>
    <xf borderId="50" fillId="0" fontId="13" numFmtId="1" xfId="0" applyAlignment="1" applyBorder="1" applyFont="1" applyNumberFormat="1">
      <alignment horizontal="center" vertical="top"/>
    </xf>
    <xf borderId="34" fillId="7" fontId="18" numFmtId="1" xfId="0" applyAlignment="1" applyBorder="1" applyFill="1" applyFont="1" applyNumberFormat="1">
      <alignment horizontal="center" vertical="top"/>
    </xf>
    <xf borderId="0" fillId="0" fontId="13" numFmtId="166" xfId="0" applyAlignment="1" applyFont="1" applyNumberFormat="1">
      <alignment horizontal="center"/>
    </xf>
    <xf borderId="38" fillId="7" fontId="18" numFmtId="1" xfId="0" applyAlignment="1" applyBorder="1" applyFill="1" applyFont="1" applyNumberFormat="1">
      <alignment horizontal="center" vertical="top"/>
    </xf>
    <xf borderId="49" fillId="7" fontId="18" numFmtId="1" xfId="0" applyAlignment="1" applyBorder="1" applyFill="1" applyFont="1" applyNumberFormat="1">
      <alignment horizontal="center" vertical="top"/>
    </xf>
    <xf borderId="7" fillId="7" fontId="12" numFmtId="0" xfId="0" applyAlignment="1" applyBorder="1" applyFill="1" applyFont="1">
      <alignment horizontal="left"/>
    </xf>
    <xf borderId="34" fillId="7" fontId="12" numFmtId="1" xfId="0" applyAlignment="1" applyBorder="1" applyFill="1" applyFont="1" applyNumberFormat="1">
      <alignment horizontal="center" vertical="top"/>
    </xf>
    <xf borderId="7" fillId="4" fontId="13" numFmtId="0" xfId="0" applyAlignment="1" applyBorder="1" applyFill="1" applyFont="1">
      <alignment horizontal="left"/>
    </xf>
    <xf borderId="34" fillId="7" fontId="13" numFmtId="1" xfId="0" applyAlignment="1" applyBorder="1" applyFill="1" applyFont="1" applyNumberFormat="1">
      <alignment horizontal="center" vertical="top"/>
    </xf>
    <xf borderId="7" fillId="7" fontId="12" numFmtId="1" xfId="0" applyAlignment="1" applyBorder="1" applyFill="1" applyFont="1" applyNumberFormat="1">
      <alignment horizontal="center" vertical="top"/>
    </xf>
    <xf borderId="7" fillId="4" fontId="13" numFmtId="1" xfId="0" applyAlignment="1" applyBorder="1" applyFill="1" applyFont="1" applyNumberFormat="1">
      <alignment horizontal="center" vertical="top"/>
    </xf>
    <xf borderId="38" fillId="4" fontId="13" numFmtId="1" xfId="0" applyAlignment="1" applyBorder="1" applyFill="1" applyFont="1" applyNumberFormat="1">
      <alignment horizontal="center" vertical="top"/>
    </xf>
    <xf borderId="4" fillId="4" fontId="13" numFmtId="166" xfId="0" applyAlignment="1" applyBorder="1" applyFill="1" applyFont="1" applyNumberFormat="1">
      <alignment horizontal="center"/>
    </xf>
    <xf borderId="34" fillId="8" fontId="13" numFmtId="1" xfId="0" applyAlignment="1" applyBorder="1" applyFill="1" applyFont="1" applyNumberFormat="1">
      <alignment horizontal="center" vertical="top"/>
    </xf>
    <xf borderId="51" fillId="0" fontId="13" numFmtId="1" xfId="0" applyAlignment="1" applyBorder="1" applyFont="1" applyNumberFormat="1">
      <alignment horizontal="center" vertical="top"/>
    </xf>
    <xf borderId="34" fillId="9" fontId="11" numFmtId="1" xfId="0" applyAlignment="1" applyBorder="1" applyFill="1" applyFont="1" applyNumberFormat="1">
      <alignment horizontal="center" vertical="top"/>
    </xf>
    <xf borderId="38" fillId="9" fontId="11" numFmtId="1" xfId="0" applyAlignment="1" applyBorder="1" applyFill="1" applyFont="1" applyNumberFormat="1">
      <alignment horizontal="center" vertical="top"/>
    </xf>
    <xf borderId="0" fillId="0" fontId="8" numFmtId="166" xfId="0" applyAlignment="1" applyFont="1" applyNumberFormat="1">
      <alignment horizontal="center"/>
    </xf>
    <xf borderId="7" fillId="7" fontId="16" numFmtId="0" xfId="0" applyAlignment="1" applyBorder="1" applyFill="1" applyFont="1">
      <alignment horizontal="left"/>
    </xf>
    <xf borderId="52" fillId="7" fontId="12" numFmtId="1" xfId="0" applyAlignment="1" applyBorder="1" applyFill="1" applyFont="1" applyNumberFormat="1">
      <alignment horizontal="center" vertical="top"/>
    </xf>
    <xf borderId="38" fillId="7" fontId="12" numFmtId="1" xfId="0" applyAlignment="1" applyBorder="1" applyFill="1" applyFont="1" applyNumberFormat="1">
      <alignment horizontal="center" vertical="top"/>
    </xf>
    <xf borderId="53" fillId="0" fontId="4" numFmtId="0" xfId="0" applyBorder="1" applyFont="1"/>
    <xf borderId="36" fillId="7" fontId="12" numFmtId="0" xfId="0" applyAlignment="1" applyBorder="1" applyFill="1" applyFont="1">
      <alignment horizontal="left"/>
    </xf>
    <xf borderId="54" fillId="7" fontId="12" numFmtId="165" xfId="0" applyAlignment="1" applyBorder="1" applyFill="1" applyFont="1" applyNumberFormat="1">
      <alignment vertical="bottom"/>
    </xf>
    <xf borderId="35" fillId="7" fontId="12" numFmtId="1" xfId="0" applyAlignment="1" applyBorder="1" applyFill="1" applyFont="1" applyNumberFormat="1">
      <alignment horizontal="center" vertical="top"/>
    </xf>
    <xf borderId="36" fillId="7" fontId="12" numFmtId="1" xfId="0" applyAlignment="1" applyBorder="1" applyFill="1" applyFont="1" applyNumberFormat="1">
      <alignment horizontal="center" vertical="top"/>
    </xf>
    <xf borderId="37" fillId="7" fontId="16" numFmtId="1" xfId="0" applyAlignment="1" applyBorder="1" applyFill="1" applyFont="1" applyNumberFormat="1">
      <alignment horizontal="center" vertical="top"/>
    </xf>
    <xf borderId="35" fillId="7" fontId="11" numFmtId="1" xfId="0" applyAlignment="1" applyBorder="1" applyFill="1" applyFont="1" applyNumberFormat="1">
      <alignment horizontal="center" vertical="top"/>
    </xf>
    <xf borderId="37" fillId="7" fontId="11" numFmtId="1" xfId="0" applyAlignment="1" applyBorder="1" applyFill="1" applyFont="1" applyNumberFormat="1">
      <alignment horizontal="center" vertical="top"/>
    </xf>
    <xf borderId="55" fillId="7" fontId="11" numFmtId="1" xfId="0" applyAlignment="1" applyBorder="1" applyFill="1" applyFont="1" applyNumberFormat="1">
      <alignment horizontal="center" vertical="top"/>
    </xf>
    <xf borderId="31" fillId="7" fontId="16" numFmtId="165" xfId="0" applyAlignment="1" applyBorder="1" applyFill="1" applyFont="1" applyNumberFormat="1">
      <alignment horizontal="left" vertical="center"/>
    </xf>
    <xf borderId="56" fillId="0" fontId="13" numFmtId="165" xfId="0" applyBorder="1" applyFont="1" applyNumberFormat="1"/>
    <xf borderId="57" fillId="0" fontId="13" numFmtId="1" xfId="0" applyAlignment="1" applyBorder="1" applyFont="1" applyNumberFormat="1">
      <alignment horizontal="center" vertical="top"/>
    </xf>
    <xf borderId="58" fillId="7" fontId="12" numFmtId="165" xfId="0" applyBorder="1" applyFill="1" applyFont="1" applyNumberFormat="1"/>
    <xf borderId="27" fillId="7" fontId="12" numFmtId="1" xfId="0" applyAlignment="1" applyBorder="1" applyFill="1" applyFont="1" applyNumberFormat="1">
      <alignment horizontal="center" vertical="top"/>
    </xf>
    <xf borderId="28" fillId="7" fontId="12" numFmtId="1" xfId="0" applyAlignment="1" applyBorder="1" applyFill="1" applyFont="1" applyNumberFormat="1">
      <alignment horizontal="center" vertical="top"/>
    </xf>
    <xf borderId="29" fillId="7" fontId="16" numFmtId="1" xfId="0" applyAlignment="1" applyBorder="1" applyFill="1" applyFont="1" applyNumberFormat="1">
      <alignment horizontal="center" vertical="top"/>
    </xf>
    <xf borderId="27" fillId="7" fontId="11" numFmtId="1" xfId="0" applyAlignment="1" applyBorder="1" applyFill="1" applyFont="1" applyNumberFormat="1">
      <alignment horizontal="center" vertical="top"/>
    </xf>
    <xf borderId="29" fillId="7" fontId="11" numFmtId="1" xfId="0" applyAlignment="1" applyBorder="1" applyFill="1" applyFont="1" applyNumberFormat="1">
      <alignment horizontal="center" vertical="top"/>
    </xf>
    <xf borderId="30" fillId="7" fontId="11" numFmtId="1" xfId="0" applyAlignment="1" applyBorder="1" applyFill="1" applyFont="1" applyNumberFormat="1">
      <alignment horizontal="center" vertical="top"/>
    </xf>
    <xf borderId="28" fillId="7" fontId="12" numFmtId="0" xfId="0" applyAlignment="1" applyBorder="1" applyFill="1" applyFont="1">
      <alignment horizontal="left"/>
    </xf>
    <xf borderId="54" fillId="7" fontId="12" numFmtId="165" xfId="0" applyBorder="1" applyFill="1" applyFont="1" applyNumberFormat="1"/>
    <xf borderId="0" fillId="0" fontId="6" numFmtId="0" xfId="0" applyAlignment="1" applyFont="1">
      <alignment horizontal="center"/>
    </xf>
    <xf borderId="44" fillId="7" fontId="16" numFmtId="165" xfId="0" applyBorder="1" applyFill="1" applyFont="1" applyNumberFormat="1"/>
    <xf borderId="44" fillId="7" fontId="16" numFmtId="1" xfId="0" applyAlignment="1" applyBorder="1" applyFill="1" applyFont="1" applyNumberFormat="1">
      <alignment horizontal="center" vertical="top"/>
    </xf>
    <xf borderId="59" fillId="7" fontId="16" numFmtId="165" xfId="0" applyAlignment="1" applyBorder="1" applyFill="1" applyFont="1" applyNumberFormat="1">
      <alignment horizontal="left" vertical="center"/>
    </xf>
    <xf borderId="60" fillId="0" fontId="13" numFmtId="165" xfId="0" applyBorder="1" applyFont="1" applyNumberFormat="1"/>
    <xf borderId="42" fillId="0" fontId="13" numFmtId="165" xfId="0" applyBorder="1" applyFont="1" applyNumberFormat="1"/>
    <xf borderId="61" fillId="0" fontId="4" numFmtId="0" xfId="0" applyBorder="1" applyFont="1"/>
    <xf borderId="62" fillId="7" fontId="12" numFmtId="165" xfId="0" applyAlignment="1" applyBorder="1" applyFill="1" applyFont="1" applyNumberFormat="1">
      <alignment horizontal="left"/>
    </xf>
    <xf borderId="63" fillId="0" fontId="13" numFmtId="165" xfId="0" applyBorder="1" applyFont="1" applyNumberFormat="1"/>
    <xf borderId="64" fillId="0" fontId="13" numFmtId="165" xfId="0" applyBorder="1" applyFont="1" applyNumberFormat="1"/>
    <xf borderId="65" fillId="0" fontId="5" numFmtId="1" xfId="0" applyAlignment="1" applyBorder="1" applyFont="1" applyNumberFormat="1">
      <alignment horizontal="center" readingOrder="0" vertical="top"/>
    </xf>
    <xf borderId="63" fillId="0" fontId="5" numFmtId="1" xfId="0" applyAlignment="1" applyBorder="1" applyFont="1" applyNumberFormat="1">
      <alignment horizontal="center" readingOrder="0" vertical="top"/>
    </xf>
    <xf borderId="66" fillId="0" fontId="5" numFmtId="1" xfId="0" applyAlignment="1" applyBorder="1" applyFont="1" applyNumberFormat="1">
      <alignment horizontal="center" vertical="top"/>
    </xf>
    <xf borderId="65" fillId="0" fontId="13" numFmtId="1" xfId="0" applyAlignment="1" applyBorder="1" applyFont="1" applyNumberFormat="1">
      <alignment horizontal="center" vertical="top"/>
    </xf>
    <xf borderId="66" fillId="0" fontId="13" numFmtId="1" xfId="0" applyAlignment="1" applyBorder="1" applyFont="1" applyNumberFormat="1">
      <alignment horizontal="center" vertical="top"/>
    </xf>
    <xf borderId="67" fillId="0" fontId="5" numFmtId="1" xfId="0" applyAlignment="1" applyBorder="1" applyFont="1" applyNumberFormat="1">
      <alignment horizontal="center" readingOrder="0" vertical="top"/>
    </xf>
    <xf borderId="68" fillId="7" fontId="12" numFmtId="165" xfId="0" applyAlignment="1" applyBorder="1" applyFill="1" applyFont="1" applyNumberFormat="1">
      <alignment horizontal="left" vertical="center"/>
    </xf>
    <xf borderId="48" fillId="0" fontId="5" numFmtId="1" xfId="0" applyAlignment="1" applyBorder="1" applyFont="1" applyNumberFormat="1">
      <alignment horizontal="center" readingOrder="0" vertical="top"/>
    </xf>
    <xf borderId="60" fillId="0" fontId="5" numFmtId="1" xfId="0" applyAlignment="1" applyBorder="1" applyFont="1" applyNumberFormat="1">
      <alignment horizontal="center" readingOrder="0" vertical="top"/>
    </xf>
    <xf borderId="69" fillId="0" fontId="5" numFmtId="1" xfId="0" applyAlignment="1" applyBorder="1" applyFont="1" applyNumberFormat="1">
      <alignment horizontal="center" vertical="top"/>
    </xf>
    <xf borderId="69" fillId="0" fontId="13" numFmtId="1" xfId="0" applyAlignment="1" applyBorder="1" applyFont="1" applyNumberFormat="1">
      <alignment horizontal="center" vertical="top"/>
    </xf>
    <xf borderId="46" fillId="0" fontId="5" numFmtId="1" xfId="0" applyAlignment="1" applyBorder="1" applyFont="1" applyNumberFormat="1">
      <alignment horizontal="center" readingOrder="0" vertical="top"/>
    </xf>
    <xf borderId="46" fillId="0" fontId="5" numFmtId="1" xfId="0" applyAlignment="1" applyBorder="1" applyFont="1" applyNumberFormat="1">
      <alignment horizontal="center" vertical="top"/>
    </xf>
    <xf borderId="60" fillId="0" fontId="13" numFmtId="1" xfId="0" applyAlignment="1" applyBorder="1" applyFont="1" applyNumberFormat="1">
      <alignment horizontal="center" vertical="top"/>
    </xf>
    <xf borderId="7" fillId="7" fontId="12" numFmtId="165" xfId="0" applyBorder="1" applyFill="1" applyFont="1" applyNumberFormat="1"/>
    <xf borderId="70" fillId="7" fontId="12" numFmtId="165" xfId="0" applyBorder="1" applyFill="1" applyFont="1" applyNumberFormat="1"/>
    <xf borderId="49" fillId="7" fontId="12" numFmtId="1" xfId="0" applyAlignment="1" applyBorder="1" applyFill="1" applyFont="1" applyNumberFormat="1">
      <alignment horizontal="center" vertical="top"/>
    </xf>
    <xf borderId="71" fillId="0" fontId="4" numFmtId="0" xfId="0" applyBorder="1" applyFont="1"/>
    <xf borderId="72" fillId="7" fontId="12" numFmtId="1" xfId="0" applyAlignment="1" applyBorder="1" applyFill="1" applyFont="1" applyNumberFormat="1">
      <alignment horizontal="center" vertical="top"/>
    </xf>
    <xf borderId="73" fillId="7" fontId="12" numFmtId="1" xfId="0" applyAlignment="1" applyBorder="1" applyFill="1" applyFont="1" applyNumberFormat="1">
      <alignment horizontal="center" vertical="top"/>
    </xf>
    <xf borderId="47" fillId="7" fontId="16" numFmtId="1" xfId="0" applyAlignment="1" applyBorder="1" applyFill="1" applyFont="1" applyNumberFormat="1">
      <alignment horizontal="center" vertical="top"/>
    </xf>
    <xf borderId="36" fillId="7" fontId="12" numFmtId="165" xfId="0" applyBorder="1" applyFill="1" applyFont="1" applyNumberFormat="1"/>
    <xf borderId="74" fillId="7" fontId="12" numFmtId="1" xfId="0" applyAlignment="1" applyBorder="1" applyFill="1" applyFont="1" applyNumberFormat="1">
      <alignment horizontal="center" vertical="top"/>
    </xf>
    <xf borderId="63" fillId="0" fontId="13" numFmtId="1" xfId="0" applyAlignment="1" applyBorder="1" applyFont="1" applyNumberFormat="1">
      <alignment horizontal="center" vertical="top"/>
    </xf>
    <xf borderId="75" fillId="7" fontId="12" numFmtId="1" xfId="0" applyAlignment="1" applyBorder="1" applyFill="1" applyFont="1" applyNumberFormat="1">
      <alignment horizontal="center" vertical="top"/>
    </xf>
    <xf borderId="76" fillId="7" fontId="12" numFmtId="1" xfId="0" applyAlignment="1" applyBorder="1" applyFill="1" applyFont="1" applyNumberFormat="1">
      <alignment horizontal="center" vertical="top"/>
    </xf>
    <xf borderId="55" fillId="7" fontId="16" numFmtId="1" xfId="0" applyAlignment="1" applyBorder="1" applyFill="1" applyFont="1" applyNumberFormat="1">
      <alignment horizontal="center" vertical="top"/>
    </xf>
    <xf borderId="67" fillId="0" fontId="13" numFmtId="1" xfId="0" applyAlignment="1" applyBorder="1" applyFont="1" applyNumberFormat="1">
      <alignment horizontal="center" vertical="top"/>
    </xf>
    <xf borderId="0" fillId="0" fontId="8" numFmtId="0" xfId="0" applyAlignment="1" applyFont="1">
      <alignment vertical="center"/>
    </xf>
    <xf borderId="59" fillId="7" fontId="12" numFmtId="165" xfId="0" applyAlignment="1" applyBorder="1" applyFill="1" applyFont="1" applyNumberFormat="1">
      <alignment horizontal="left" vertical="center"/>
    </xf>
    <xf borderId="77" fillId="3" fontId="14" numFmtId="0" xfId="0" applyAlignment="1" applyBorder="1" applyFill="1" applyFont="1">
      <alignment horizontal="center"/>
    </xf>
    <xf borderId="78" fillId="0" fontId="4" numFmtId="0" xfId="0" applyBorder="1" applyFont="1"/>
    <xf borderId="79" fillId="0" fontId="4" numFmtId="0" xfId="0" applyBorder="1" applyFont="1"/>
    <xf borderId="10" fillId="3" fontId="14" numFmtId="0" xfId="0" applyAlignment="1" applyBorder="1" applyFill="1" applyFont="1">
      <alignment horizontal="center"/>
    </xf>
    <xf borderId="4" fillId="3" fontId="14" numFmtId="0" xfId="0" applyAlignment="1" applyBorder="1" applyFill="1" applyFont="1">
      <alignment horizontal="center"/>
    </xf>
    <xf borderId="28" fillId="7" fontId="11" numFmtId="0" xfId="0" applyAlignment="1" applyBorder="1" applyFill="1" applyFont="1">
      <alignment horizontal="center" vertical="top"/>
    </xf>
    <xf borderId="58" fillId="7" fontId="11" numFmtId="0" xfId="0" applyAlignment="1" applyBorder="1" applyFill="1" applyFont="1">
      <alignment horizontal="center" vertical="top"/>
    </xf>
    <xf borderId="7" fillId="7" fontId="11" numFmtId="0" xfId="0" applyAlignment="1" applyBorder="1" applyFill="1" applyFont="1">
      <alignment horizontal="center" vertical="top"/>
    </xf>
    <xf borderId="29" fillId="7" fontId="11" numFmtId="0" xfId="0" applyAlignment="1" applyBorder="1" applyFill="1" applyFont="1">
      <alignment horizontal="center" vertical="top"/>
    </xf>
    <xf borderId="34" fillId="7" fontId="19" numFmtId="0" xfId="0" applyBorder="1" applyFill="1" applyFont="1"/>
    <xf borderId="43" fillId="7" fontId="19" numFmtId="0" xfId="0" applyAlignment="1" applyBorder="1" applyFill="1" applyFont="1">
      <alignment horizontal="center"/>
    </xf>
    <xf borderId="39" fillId="0" fontId="4" numFmtId="0" xfId="0" applyBorder="1" applyFont="1"/>
    <xf borderId="7" fillId="4" fontId="8" numFmtId="0" xfId="0" applyAlignment="1" applyBorder="1" applyFill="1" applyFont="1">
      <alignment horizontal="center"/>
    </xf>
    <xf borderId="34" fillId="7" fontId="18" numFmtId="0" xfId="0" applyBorder="1" applyFill="1" applyFont="1"/>
    <xf borderId="43" fillId="7" fontId="18" numFmtId="0" xfId="0" applyAlignment="1" applyBorder="1" applyFill="1" applyFont="1">
      <alignment horizontal="center"/>
    </xf>
    <xf borderId="27" fillId="7" fontId="16" numFmtId="1" xfId="0" applyAlignment="1" applyBorder="1" applyFill="1" applyFont="1" applyNumberFormat="1">
      <alignment horizontal="center" vertical="top"/>
    </xf>
    <xf borderId="47" fillId="7" fontId="11" numFmtId="0" xfId="0" applyAlignment="1" applyBorder="1" applyFill="1" applyFont="1">
      <alignment horizontal="center"/>
    </xf>
    <xf borderId="80" fillId="7" fontId="12" numFmtId="165" xfId="0" applyBorder="1" applyFill="1" applyFont="1" applyNumberFormat="1"/>
    <xf borderId="34" fillId="7" fontId="11" numFmtId="0" xfId="0" applyBorder="1" applyFill="1" applyFont="1"/>
    <xf borderId="43" fillId="7" fontId="11" numFmtId="0" xfId="0" applyAlignment="1" applyBorder="1" applyFill="1" applyFont="1">
      <alignment horizontal="center"/>
    </xf>
    <xf borderId="35" fillId="7" fontId="16" numFmtId="1" xfId="0" applyAlignment="1" applyBorder="1" applyFill="1" applyFont="1" applyNumberFormat="1">
      <alignment horizontal="center" vertical="top"/>
    </xf>
    <xf borderId="55" fillId="7" fontId="12" numFmtId="1" xfId="0" applyAlignment="1" applyBorder="1" applyFill="1" applyFont="1" applyNumberFormat="1">
      <alignment horizontal="center" vertical="top"/>
    </xf>
    <xf borderId="0" fillId="0" fontId="20" numFmtId="0" xfId="0" applyFont="1"/>
    <xf borderId="81" fillId="7" fontId="11" numFmtId="0" xfId="0" applyAlignment="1" applyBorder="1" applyFill="1" applyFont="1">
      <alignment horizontal="center"/>
    </xf>
    <xf borderId="27" fillId="7" fontId="11" numFmtId="0" xfId="0" applyBorder="1" applyFill="1" applyFont="1"/>
    <xf borderId="82" fillId="7" fontId="11" numFmtId="0" xfId="0" applyAlignment="1" applyBorder="1" applyFill="1" applyFont="1">
      <alignment horizontal="center"/>
    </xf>
    <xf borderId="83" fillId="0" fontId="4" numFmtId="0" xfId="0" applyBorder="1" applyFont="1"/>
    <xf borderId="47" fillId="7" fontId="18" numFmtId="0" xfId="0" applyAlignment="1" applyBorder="1" applyFill="1" applyFont="1">
      <alignment horizontal="center"/>
    </xf>
    <xf borderId="15" fillId="3" fontId="14" numFmtId="0" xfId="0" applyAlignment="1" applyBorder="1" applyFill="1" applyFont="1">
      <alignment horizontal="center"/>
    </xf>
    <xf borderId="81" fillId="7" fontId="18" numFmtId="0" xfId="0" applyAlignment="1" applyBorder="1" applyFill="1" applyFont="1">
      <alignment horizontal="center"/>
    </xf>
    <xf borderId="4" fillId="3" fontId="13" numFmtId="0" xfId="0" applyBorder="1" applyFill="1" applyFont="1"/>
    <xf borderId="84" fillId="7" fontId="11" numFmtId="0" xfId="0" applyAlignment="1" applyBorder="1" applyFill="1" applyFont="1">
      <alignment horizontal="center" vertical="top"/>
    </xf>
    <xf borderId="85" fillId="7" fontId="11" numFmtId="0" xfId="0" applyAlignment="1" applyBorder="1" applyFill="1" applyFont="1">
      <alignment horizontal="center" vertical="top"/>
    </xf>
    <xf borderId="72" fillId="7" fontId="11" numFmtId="0" xfId="0" applyAlignment="1" applyBorder="1" applyFill="1" applyFont="1">
      <alignment horizontal="center" vertical="top"/>
    </xf>
    <xf borderId="4" fillId="4" fontId="13" numFmtId="0" xfId="0" applyAlignment="1" applyBorder="1" applyFill="1" applyFont="1">
      <alignment readingOrder="0"/>
    </xf>
    <xf borderId="4" fillId="4" fontId="13" numFmtId="0" xfId="0" applyBorder="1" applyFill="1" applyFont="1"/>
    <xf borderId="4" fillId="4" fontId="13" numFmtId="0" xfId="0" applyAlignment="1" applyBorder="1" applyFill="1" applyFont="1">
      <alignment readingOrder="0" vertical="bottom"/>
    </xf>
    <xf borderId="4" fillId="4" fontId="3" numFmtId="0" xfId="0" applyAlignment="1" applyBorder="1" applyFill="1" applyFont="1">
      <alignment vertical="bottom"/>
    </xf>
    <xf borderId="4" fillId="10" fontId="13" numFmtId="0" xfId="0" applyBorder="1" applyFill="1" applyFont="1"/>
    <xf borderId="4" fillId="4" fontId="6" numFmtId="0" xfId="0" applyBorder="1" applyFill="1" applyFont="1"/>
    <xf borderId="86" fillId="4" fontId="21" numFmtId="0" xfId="0" applyAlignment="1" applyBorder="1" applyFill="1" applyFont="1">
      <alignment vertical="bottom"/>
    </xf>
    <xf borderId="86" fillId="4" fontId="3" numFmtId="0" xfId="0" applyAlignment="1" applyBorder="1" applyFill="1" applyFont="1">
      <alignment vertical="bottom"/>
    </xf>
    <xf borderId="8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6" fillId="0" fontId="22" numFmtId="0" xfId="0" applyAlignment="1" applyBorder="1" applyFont="1">
      <alignment vertical="bottom"/>
    </xf>
    <xf borderId="4" fillId="7" fontId="6" numFmtId="0" xfId="0" applyBorder="1" applyFill="1" applyFont="1"/>
    <xf borderId="49" fillId="9" fontId="13" numFmtId="1" xfId="0" applyAlignment="1" applyBorder="1" applyFill="1" applyFont="1" applyNumberFormat="1">
      <alignment horizontal="center" vertical="top"/>
    </xf>
    <xf borderId="87" fillId="9" fontId="13" numFmtId="1" xfId="0" applyAlignment="1" applyBorder="1" applyFill="1" applyFont="1" applyNumberFormat="1">
      <alignment horizontal="center" vertical="top"/>
    </xf>
    <xf borderId="88" fillId="0" fontId="3" numFmtId="0" xfId="0" applyAlignment="1" applyBorder="1" applyFont="1">
      <alignment vertical="bottom"/>
    </xf>
    <xf borderId="89" fillId="2" fontId="23" numFmtId="0" xfId="0" applyAlignment="1" applyBorder="1" applyFill="1" applyFont="1">
      <alignment horizontal="center" shrinkToFit="0" vertical="bottom" wrapText="1"/>
    </xf>
    <xf borderId="90" fillId="11" fontId="24" numFmtId="0" xfId="0" applyAlignment="1" applyBorder="1" applyFill="1" applyFont="1">
      <alignment shrinkToFit="0" vertical="bottom" wrapText="1"/>
    </xf>
    <xf borderId="90" fillId="11" fontId="24" numFmtId="0" xfId="0" applyAlignment="1" applyBorder="1" applyFill="1" applyFont="1">
      <alignment horizontal="center" shrinkToFit="0" vertical="bottom" wrapText="1"/>
    </xf>
    <xf borderId="91" fillId="2" fontId="23" numFmtId="0" xfId="0" applyAlignment="1" applyBorder="1" applyFill="1" applyFont="1">
      <alignment horizontal="center" shrinkToFit="0" vertical="center" wrapText="1"/>
    </xf>
    <xf borderId="90" fillId="2" fontId="25" numFmtId="0" xfId="0" applyAlignment="1" applyBorder="1" applyFill="1" applyFont="1">
      <alignment shrinkToFit="0" vertical="bottom" wrapText="1"/>
    </xf>
    <xf borderId="15" fillId="2" fontId="26" numFmtId="0" xfId="0" applyAlignment="1" applyBorder="1" applyFill="1" applyFont="1">
      <alignment horizontal="center" shrinkToFit="0" vertical="bottom" wrapText="1"/>
    </xf>
    <xf borderId="90" fillId="2" fontId="3" numFmtId="0" xfId="0" applyAlignment="1" applyBorder="1" applyFill="1" applyFont="1">
      <alignment vertical="bottom"/>
    </xf>
    <xf borderId="92" fillId="0" fontId="4" numFmtId="0" xfId="0" applyBorder="1" applyFont="1"/>
    <xf borderId="90" fillId="0" fontId="26" numFmtId="0" xfId="0" applyAlignment="1" applyBorder="1" applyFont="1">
      <alignment horizontal="center" shrinkToFit="0" vertical="bottom" wrapText="1"/>
    </xf>
    <xf borderId="34" fillId="9" fontId="12" numFmtId="1" xfId="0" applyAlignment="1" applyBorder="1" applyFill="1" applyFont="1" applyNumberFormat="1">
      <alignment horizontal="center" vertical="top"/>
    </xf>
    <xf borderId="38" fillId="9" fontId="12" numFmtId="1" xfId="0" applyAlignment="1" applyBorder="1" applyFill="1" applyFont="1" applyNumberFormat="1">
      <alignment horizontal="center" vertical="top"/>
    </xf>
    <xf borderId="90" fillId="4" fontId="23" numFmtId="0" xfId="0" applyAlignment="1" applyBorder="1" applyFill="1" applyFont="1">
      <alignment horizontal="center" shrinkToFit="0" vertical="bottom" wrapText="1"/>
    </xf>
    <xf borderId="27" fillId="9" fontId="11" numFmtId="1" xfId="0" applyAlignment="1" applyBorder="1" applyFill="1" applyFont="1" applyNumberFormat="1">
      <alignment horizontal="center" vertical="top"/>
    </xf>
    <xf borderId="93" fillId="9" fontId="11" numFmtId="1" xfId="0" applyAlignment="1" applyBorder="1" applyFill="1" applyFont="1" applyNumberFormat="1">
      <alignment horizontal="center" vertical="top"/>
    </xf>
    <xf borderId="94" fillId="0" fontId="4" numFmtId="0" xfId="0" applyBorder="1" applyFont="1"/>
    <xf borderId="95" fillId="0" fontId="25" numFmtId="0" xfId="0" applyAlignment="1" applyBorder="1" applyFont="1">
      <alignment shrinkToFit="0" vertical="bottom" wrapText="1"/>
    </xf>
    <xf borderId="96" fillId="0" fontId="4" numFmtId="0" xfId="0" applyBorder="1" applyFont="1"/>
    <xf borderId="97" fillId="0" fontId="4" numFmtId="0" xfId="0" applyBorder="1" applyFont="1"/>
    <xf borderId="98" fillId="0" fontId="3" numFmtId="0" xfId="0" applyAlignment="1" applyBorder="1" applyFont="1">
      <alignment vertical="bottom"/>
    </xf>
    <xf borderId="99" fillId="0" fontId="4" numFmtId="0" xfId="0" applyBorder="1" applyFont="1"/>
    <xf borderId="91" fillId="4" fontId="27" numFmtId="0" xfId="0" applyAlignment="1" applyBorder="1" applyFill="1" applyFont="1">
      <alignment horizontal="center" shrinkToFit="0" vertical="center" wrapText="1"/>
    </xf>
    <xf borderId="90" fillId="0" fontId="23" numFmtId="0" xfId="0" applyAlignment="1" applyBorder="1" applyFont="1">
      <alignment horizontal="center" shrinkToFit="0" vertical="bottom" wrapText="1"/>
    </xf>
    <xf borderId="65" fillId="8" fontId="13" numFmtId="1" xfId="0" applyAlignment="1" applyBorder="1" applyFill="1" applyFont="1" applyNumberFormat="1">
      <alignment horizontal="center" vertical="top"/>
    </xf>
    <xf borderId="100" fillId="0" fontId="13" numFmtId="1" xfId="0" applyAlignment="1" applyBorder="1" applyFont="1" applyNumberFormat="1">
      <alignment horizontal="center" vertical="top"/>
    </xf>
    <xf borderId="4" fillId="4" fontId="6" numFmtId="0" xfId="0" applyAlignment="1" applyBorder="1" applyFill="1" applyFont="1">
      <alignment vertical="bottom"/>
    </xf>
    <xf borderId="101" fillId="0" fontId="28" numFmtId="0" xfId="0" applyAlignment="1" applyBorder="1" applyFont="1">
      <alignment vertical="bottom"/>
    </xf>
    <xf borderId="101" fillId="0" fontId="3" numFmtId="0" xfId="0" applyAlignment="1" applyBorder="1" applyFont="1">
      <alignment vertical="bottom"/>
    </xf>
    <xf borderId="0" fillId="2" fontId="3" numFmtId="0" xfId="0" applyAlignment="1" applyFill="1" applyFont="1">
      <alignment vertical="bottom"/>
    </xf>
    <xf borderId="0" fillId="2" fontId="6" numFmtId="0" xfId="0" applyAlignment="1" applyFill="1" applyFont="1">
      <alignment horizontal="right" vertical="bottom"/>
    </xf>
    <xf borderId="43" fillId="11" fontId="29" numFmtId="0" xfId="0" applyAlignment="1" applyBorder="1" applyFill="1" applyFont="1">
      <alignment horizontal="center" vertical="bottom"/>
    </xf>
    <xf borderId="102" fillId="11" fontId="3" numFmtId="0" xfId="0" applyAlignment="1" applyBorder="1" applyFill="1" applyFont="1">
      <alignment vertical="bottom"/>
    </xf>
    <xf borderId="102" fillId="11" fontId="29" numFmtId="0" xfId="0" applyAlignment="1" applyBorder="1" applyFill="1" applyFont="1">
      <alignment horizontal="center" vertical="bottom"/>
    </xf>
    <xf borderId="102" fillId="0" fontId="4" numFmtId="0" xfId="0" applyBorder="1" applyFont="1"/>
    <xf borderId="43" fillId="11" fontId="30" numFmtId="0" xfId="0" applyAlignment="1" applyBorder="1" applyFill="1" applyFont="1">
      <alignment horizontal="center" vertical="bottom"/>
    </xf>
    <xf borderId="102" fillId="11" fontId="31" numFmtId="0" xfId="0" applyAlignment="1" applyBorder="1" applyFill="1" applyFont="1">
      <alignment horizontal="center" vertical="bottom"/>
    </xf>
    <xf borderId="43" fillId="11" fontId="31" numFmtId="0" xfId="0" applyAlignment="1" applyBorder="1" applyFill="1" applyFont="1">
      <alignment horizontal="center" vertical="bottom"/>
    </xf>
    <xf borderId="102" fillId="11" fontId="30" numFmtId="0" xfId="0" applyAlignment="1" applyBorder="1" applyFill="1" applyFont="1">
      <alignment horizontal="center" vertical="bottom"/>
    </xf>
    <xf borderId="43" fillId="2" fontId="3" numFmtId="0" xfId="0" applyAlignment="1" applyBorder="1" applyFill="1" applyFont="1">
      <alignment horizontal="center" vertical="bottom"/>
    </xf>
    <xf borderId="43" fillId="4" fontId="3" numFmtId="3" xfId="0" applyAlignment="1" applyBorder="1" applyFill="1" applyFont="1" applyNumberFormat="1">
      <alignment horizontal="center" vertical="bottom"/>
    </xf>
    <xf borderId="102" fillId="2" fontId="3" numFmtId="3" xfId="0" applyAlignment="1" applyBorder="1" applyFill="1" applyFont="1" applyNumberFormat="1">
      <alignment horizontal="center" vertical="bottom"/>
    </xf>
    <xf borderId="43" fillId="2" fontId="3" numFmtId="3" xfId="0" applyAlignment="1" applyBorder="1" applyFill="1" applyFont="1" applyNumberFormat="1">
      <alignment horizontal="center" vertical="bottom"/>
    </xf>
    <xf borderId="34" fillId="9" fontId="13" numFmtId="1" xfId="0" applyAlignment="1" applyBorder="1" applyFill="1" applyFont="1" applyNumberFormat="1">
      <alignment horizontal="center" vertical="top"/>
    </xf>
    <xf borderId="38" fillId="9" fontId="13" numFmtId="1" xfId="0" applyAlignment="1" applyBorder="1" applyFill="1" applyFont="1" applyNumberFormat="1">
      <alignment horizontal="center" vertical="top"/>
    </xf>
    <xf borderId="43" fillId="2" fontId="32" numFmtId="0" xfId="0" applyAlignment="1" applyBorder="1" applyFill="1" applyFont="1">
      <alignment horizontal="center" vertical="bottom"/>
    </xf>
    <xf borderId="43" fillId="2" fontId="32" numFmtId="3" xfId="0" applyAlignment="1" applyBorder="1" applyFill="1" applyFont="1" applyNumberFormat="1">
      <alignment horizontal="center" vertical="bottom"/>
    </xf>
    <xf borderId="35" fillId="9" fontId="13" numFmtId="1" xfId="0" applyAlignment="1" applyBorder="1" applyFill="1" applyFont="1" applyNumberFormat="1">
      <alignment horizontal="center" vertical="top"/>
    </xf>
    <xf borderId="37" fillId="9" fontId="13" numFmtId="1" xfId="0" applyAlignment="1" applyBorder="1" applyFill="1" applyFont="1" applyNumberFormat="1">
      <alignment horizontal="center" vertical="top"/>
    </xf>
    <xf quotePrefix="1" borderId="0" fillId="2" fontId="33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26.43"/>
    <col customWidth="1" min="2" max="2" width="41.43"/>
    <col customWidth="1" min="3" max="3" width="24.0"/>
    <col customWidth="1" min="4" max="6" width="15.43"/>
    <col customWidth="1" min="7" max="7" width="22.57"/>
    <col customWidth="1" min="8" max="9" width="18.43"/>
    <col customWidth="1" min="10" max="10" width="19.43"/>
    <col customWidth="1" min="11" max="11" width="3.43"/>
    <col customWidth="1" hidden="1" min="12" max="14" width="8.86"/>
    <col customWidth="1" hidden="1" min="15" max="15" width="2.43"/>
    <col customWidth="1" hidden="1" min="16" max="16" width="5.57"/>
    <col customWidth="1" hidden="1" min="17" max="17" width="8.86"/>
    <col customWidth="1" min="18" max="18" width="8.86"/>
    <col customWidth="1" min="19" max="19" width="3.0"/>
    <col customWidth="1" min="20" max="26" width="8.86"/>
  </cols>
  <sheetData>
    <row r="1" ht="23.2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1.5" customHeight="1">
      <c r="A2" s="10"/>
      <c r="B2" s="11"/>
      <c r="C2" s="11"/>
      <c r="D2" s="11"/>
      <c r="E2" s="11"/>
      <c r="F2" s="11"/>
      <c r="G2" s="11"/>
      <c r="H2" s="11"/>
      <c r="I2" s="11"/>
      <c r="J2" s="1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0.25" customHeight="1">
      <c r="A3" s="16"/>
      <c r="B3" s="18"/>
      <c r="C3" s="18"/>
      <c r="D3" s="18"/>
      <c r="E3" s="18"/>
      <c r="F3" s="18"/>
      <c r="G3" s="18"/>
      <c r="H3" s="18"/>
      <c r="I3" s="23" t="s">
        <v>11</v>
      </c>
      <c r="J3" s="27">
        <v>46258.0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0" customHeight="1">
      <c r="A4" s="28" t="s">
        <v>35</v>
      </c>
      <c r="B4" s="30" t="s">
        <v>37</v>
      </c>
      <c r="C4" s="31"/>
      <c r="D4" s="32" t="s">
        <v>45</v>
      </c>
      <c r="E4" s="33"/>
      <c r="F4" s="35"/>
      <c r="G4" s="32" t="s">
        <v>45</v>
      </c>
      <c r="H4" s="35"/>
      <c r="I4" s="32" t="s">
        <v>45</v>
      </c>
      <c r="J4" s="3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75" customHeight="1">
      <c r="A5" s="36"/>
      <c r="B5" s="37" t="s">
        <v>75</v>
      </c>
      <c r="C5" s="39" t="s">
        <v>79</v>
      </c>
      <c r="D5" s="40" t="s">
        <v>83</v>
      </c>
      <c r="E5" s="41" t="s">
        <v>88</v>
      </c>
      <c r="F5" s="42" t="s">
        <v>93</v>
      </c>
      <c r="G5" s="43" t="s">
        <v>97</v>
      </c>
      <c r="H5" s="44" t="s">
        <v>100</v>
      </c>
      <c r="I5" s="45" t="s">
        <v>102</v>
      </c>
      <c r="J5" s="46" t="s">
        <v>107</v>
      </c>
      <c r="K5" s="47"/>
      <c r="L5" s="47" t="s">
        <v>116</v>
      </c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24.75" customHeight="1">
      <c r="A6" s="49"/>
      <c r="B6" s="50"/>
      <c r="C6" s="51"/>
      <c r="D6" s="52" t="s">
        <v>129</v>
      </c>
      <c r="E6" s="53" t="s">
        <v>129</v>
      </c>
      <c r="F6" s="54" t="s">
        <v>129</v>
      </c>
      <c r="G6" s="52" t="s">
        <v>129</v>
      </c>
      <c r="H6" s="54" t="s">
        <v>129</v>
      </c>
      <c r="I6" s="56" t="s">
        <v>129</v>
      </c>
      <c r="J6" s="54" t="s">
        <v>129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57" t="s">
        <v>147</v>
      </c>
      <c r="B7" s="59" t="s">
        <v>155</v>
      </c>
      <c r="C7" s="60" t="s">
        <v>159</v>
      </c>
      <c r="D7" s="61">
        <v>2400.0</v>
      </c>
      <c r="E7" s="62">
        <v>4800.0</v>
      </c>
      <c r="F7" s="63">
        <f t="shared" ref="F7:F9" si="1">E7</f>
        <v>4800</v>
      </c>
      <c r="G7" s="68">
        <f t="shared" ref="G7:G10" si="2">D7+100</f>
        <v>2500</v>
      </c>
      <c r="H7" s="72">
        <f t="shared" ref="H7:H10" si="3">F7+200</f>
        <v>5000</v>
      </c>
      <c r="I7" s="61">
        <v>1750.0</v>
      </c>
      <c r="J7" s="74">
        <v>3500.0</v>
      </c>
      <c r="K7" s="7"/>
      <c r="L7" s="7"/>
      <c r="M7" s="7"/>
      <c r="N7" s="7"/>
      <c r="O7" s="7"/>
      <c r="P7" s="7"/>
      <c r="Q7" s="76"/>
      <c r="R7" s="76"/>
      <c r="S7" s="76"/>
      <c r="T7" s="76"/>
      <c r="U7" s="7"/>
      <c r="V7" s="7"/>
      <c r="W7" s="7"/>
      <c r="X7" s="7"/>
      <c r="Y7" s="7"/>
      <c r="Z7" s="7"/>
    </row>
    <row r="8" ht="14.25" customHeight="1">
      <c r="A8" s="78"/>
      <c r="B8" s="79" t="s">
        <v>212</v>
      </c>
      <c r="C8" s="81" t="s">
        <v>215</v>
      </c>
      <c r="D8" s="68">
        <f>D7</f>
        <v>2400</v>
      </c>
      <c r="E8" s="86">
        <f t="shared" ref="E8:E9" si="5">D8*2</f>
        <v>4800</v>
      </c>
      <c r="F8" s="72">
        <f t="shared" si="1"/>
        <v>4800</v>
      </c>
      <c r="G8" s="68">
        <f t="shared" si="2"/>
        <v>2500</v>
      </c>
      <c r="H8" s="72">
        <f t="shared" si="3"/>
        <v>5000</v>
      </c>
      <c r="I8" s="68">
        <f t="shared" ref="I8:J8" si="4">I7</f>
        <v>1750</v>
      </c>
      <c r="J8" s="91">
        <f t="shared" si="4"/>
        <v>3500</v>
      </c>
      <c r="K8" s="7"/>
      <c r="L8" s="7"/>
      <c r="M8" s="7"/>
      <c r="N8" s="7"/>
      <c r="O8" s="7"/>
      <c r="P8" s="7"/>
      <c r="Q8" s="76"/>
      <c r="R8" s="76"/>
      <c r="S8" s="76"/>
      <c r="T8" s="7"/>
      <c r="U8" s="7"/>
      <c r="V8" s="7"/>
      <c r="W8" s="7"/>
      <c r="X8" s="7"/>
      <c r="Y8" s="7"/>
      <c r="Z8" s="7"/>
    </row>
    <row r="9" ht="14.25" customHeight="1">
      <c r="A9" s="78"/>
      <c r="B9" s="79" t="s">
        <v>249</v>
      </c>
      <c r="C9" s="94" t="s">
        <v>251</v>
      </c>
      <c r="D9" s="68">
        <f>D7</f>
        <v>2400</v>
      </c>
      <c r="E9" s="86">
        <f t="shared" si="5"/>
        <v>4800</v>
      </c>
      <c r="F9" s="72">
        <f t="shared" si="1"/>
        <v>4800</v>
      </c>
      <c r="G9" s="68">
        <f t="shared" si="2"/>
        <v>2500</v>
      </c>
      <c r="H9" s="72">
        <f t="shared" si="3"/>
        <v>5000</v>
      </c>
      <c r="I9" s="68">
        <f t="shared" ref="I9:J9" si="6">I7</f>
        <v>1750</v>
      </c>
      <c r="J9" s="91">
        <f t="shared" si="6"/>
        <v>3500</v>
      </c>
      <c r="K9" s="7"/>
      <c r="L9" s="7"/>
      <c r="M9" s="7"/>
      <c r="N9" s="7"/>
      <c r="O9" s="7"/>
      <c r="P9" s="7"/>
      <c r="Q9" s="76"/>
      <c r="R9" s="76"/>
      <c r="S9" s="76"/>
      <c r="T9" s="7"/>
      <c r="U9" s="7"/>
      <c r="V9" s="7"/>
      <c r="W9" s="7"/>
      <c r="X9" s="7"/>
      <c r="Y9" s="7"/>
      <c r="Z9" s="7"/>
    </row>
    <row r="10" ht="14.25" customHeight="1">
      <c r="A10" s="78"/>
      <c r="B10" s="79" t="s">
        <v>271</v>
      </c>
      <c r="C10" s="98" t="s">
        <v>159</v>
      </c>
      <c r="D10" s="103">
        <f t="shared" ref="D10:F10" si="7">D7+L10</f>
        <v>2600</v>
      </c>
      <c r="E10" s="104">
        <f t="shared" si="7"/>
        <v>5100</v>
      </c>
      <c r="F10" s="105">
        <f t="shared" si="7"/>
        <v>5100</v>
      </c>
      <c r="G10" s="68">
        <f t="shared" si="2"/>
        <v>2700</v>
      </c>
      <c r="H10" s="72">
        <f t="shared" si="3"/>
        <v>5300</v>
      </c>
      <c r="I10" s="111">
        <f>I7+L10</f>
        <v>1950</v>
      </c>
      <c r="J10" s="91">
        <f>J7+N10</f>
        <v>3800</v>
      </c>
      <c r="K10" s="7"/>
      <c r="L10" s="113">
        <v>200.0</v>
      </c>
      <c r="M10" s="113">
        <v>300.0</v>
      </c>
      <c r="N10" s="113">
        <v>300.0</v>
      </c>
      <c r="O10" s="92"/>
      <c r="P10" s="117" t="s">
        <v>304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8"/>
      <c r="B11" s="79" t="s">
        <v>306</v>
      </c>
      <c r="C11" s="98" t="s">
        <v>159</v>
      </c>
      <c r="D11" s="103">
        <f t="shared" ref="D11:F11" si="8">D7+L11</f>
        <v>2600</v>
      </c>
      <c r="E11" s="104">
        <f t="shared" si="8"/>
        <v>5100</v>
      </c>
      <c r="F11" s="105">
        <f t="shared" si="8"/>
        <v>5100</v>
      </c>
      <c r="G11" s="120"/>
      <c r="H11" s="121"/>
      <c r="I11" s="122"/>
      <c r="J11" s="122"/>
      <c r="K11" s="7"/>
      <c r="L11" s="113">
        <v>200.0</v>
      </c>
      <c r="M11" s="113">
        <v>300.0</v>
      </c>
      <c r="N11" s="113">
        <v>300.0</v>
      </c>
      <c r="O11" s="125"/>
      <c r="P11" s="117" t="s">
        <v>304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outlineLevel="1">
      <c r="A12" s="78"/>
      <c r="B12" s="128" t="s">
        <v>307</v>
      </c>
      <c r="C12" s="98" t="s">
        <v>215</v>
      </c>
      <c r="D12" s="103">
        <f t="shared" ref="D12:D15" si="9">$D$8+L12</f>
        <v>2800</v>
      </c>
      <c r="E12" s="104">
        <f t="shared" ref="E12:E15" si="10">$E$8+M12</f>
        <v>5500</v>
      </c>
      <c r="F12" s="105">
        <f t="shared" ref="F12:F21" si="11">E12</f>
        <v>5500</v>
      </c>
      <c r="G12" s="120"/>
      <c r="H12" s="121"/>
      <c r="I12" s="122"/>
      <c r="J12" s="122"/>
      <c r="K12" s="7"/>
      <c r="L12" s="125">
        <v>400.0</v>
      </c>
      <c r="M12" s="125">
        <v>700.0</v>
      </c>
      <c r="N12" s="125">
        <v>700.0</v>
      </c>
      <c r="O12" s="125"/>
      <c r="P12" s="117" t="s">
        <v>308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outlineLevel="1">
      <c r="A13" s="78"/>
      <c r="B13" s="128" t="s">
        <v>309</v>
      </c>
      <c r="C13" s="98" t="s">
        <v>215</v>
      </c>
      <c r="D13" s="103">
        <f t="shared" si="9"/>
        <v>2600</v>
      </c>
      <c r="E13" s="104">
        <f t="shared" si="10"/>
        <v>5100</v>
      </c>
      <c r="F13" s="105">
        <f t="shared" si="11"/>
        <v>5100</v>
      </c>
      <c r="G13" s="120"/>
      <c r="H13" s="121"/>
      <c r="I13" s="122"/>
      <c r="J13" s="122"/>
      <c r="K13" s="7"/>
      <c r="L13" s="113">
        <v>200.0</v>
      </c>
      <c r="M13" s="113">
        <v>300.0</v>
      </c>
      <c r="N13" s="113">
        <v>300.0</v>
      </c>
      <c r="O13" s="125"/>
      <c r="P13" s="117" t="s">
        <v>308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outlineLevel="1">
      <c r="A14" s="78"/>
      <c r="B14" s="128" t="s">
        <v>310</v>
      </c>
      <c r="C14" s="98" t="s">
        <v>215</v>
      </c>
      <c r="D14" s="103">
        <f t="shared" si="9"/>
        <v>2650</v>
      </c>
      <c r="E14" s="104">
        <f t="shared" si="10"/>
        <v>5200</v>
      </c>
      <c r="F14" s="105">
        <f t="shared" si="11"/>
        <v>5200</v>
      </c>
      <c r="G14" s="120"/>
      <c r="H14" s="121"/>
      <c r="I14" s="122"/>
      <c r="J14" s="122"/>
      <c r="K14" s="7"/>
      <c r="L14" s="125">
        <v>250.0</v>
      </c>
      <c r="M14" s="125">
        <v>400.0</v>
      </c>
      <c r="N14" s="125">
        <v>400.0</v>
      </c>
      <c r="O14" s="125"/>
      <c r="P14" s="117" t="s">
        <v>308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outlineLevel="1">
      <c r="A15" s="78"/>
      <c r="B15" s="128" t="s">
        <v>311</v>
      </c>
      <c r="C15" s="98" t="s">
        <v>215</v>
      </c>
      <c r="D15" s="103">
        <f t="shared" si="9"/>
        <v>3600</v>
      </c>
      <c r="E15" s="104">
        <f t="shared" si="10"/>
        <v>6700</v>
      </c>
      <c r="F15" s="105">
        <f t="shared" si="11"/>
        <v>6700</v>
      </c>
      <c r="G15" s="120"/>
      <c r="H15" s="121"/>
      <c r="I15" s="122"/>
      <c r="J15" s="122"/>
      <c r="K15" s="7"/>
      <c r="L15" s="125">
        <v>1200.0</v>
      </c>
      <c r="M15" s="125">
        <v>1900.0</v>
      </c>
      <c r="N15" s="125">
        <v>1900.0</v>
      </c>
      <c r="O15" s="125"/>
      <c r="P15" s="117" t="s">
        <v>308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outlineLevel="1">
      <c r="A16" s="78"/>
      <c r="B16" s="130" t="s">
        <v>312</v>
      </c>
      <c r="C16" s="98" t="s">
        <v>159</v>
      </c>
      <c r="D16" s="131"/>
      <c r="E16" s="133">
        <f>E44+M16</f>
        <v>5850</v>
      </c>
      <c r="F16" s="134">
        <f t="shared" si="11"/>
        <v>5850</v>
      </c>
      <c r="G16" s="120"/>
      <c r="H16" s="121"/>
      <c r="I16" s="122"/>
      <c r="J16" s="122"/>
      <c r="K16" s="7"/>
      <c r="L16" s="125"/>
      <c r="M16" s="135">
        <v>1050.0</v>
      </c>
      <c r="N16" s="135">
        <v>1050.0</v>
      </c>
      <c r="O16" s="125"/>
      <c r="P16" s="117" t="s">
        <v>313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outlineLevel="1">
      <c r="A17" s="78"/>
      <c r="B17" s="128" t="s">
        <v>314</v>
      </c>
      <c r="C17" s="98" t="s">
        <v>215</v>
      </c>
      <c r="D17" s="103">
        <f>$D$8+L17</f>
        <v>2750</v>
      </c>
      <c r="E17" s="104">
        <f>$E$8+M17</f>
        <v>5700</v>
      </c>
      <c r="F17" s="105">
        <f t="shared" si="11"/>
        <v>5700</v>
      </c>
      <c r="G17" s="120"/>
      <c r="H17" s="121"/>
      <c r="I17" s="122"/>
      <c r="J17" s="122"/>
      <c r="K17" s="7"/>
      <c r="L17" s="125">
        <v>350.0</v>
      </c>
      <c r="M17" s="125">
        <v>900.0</v>
      </c>
      <c r="N17" s="125">
        <v>900.0</v>
      </c>
      <c r="O17" s="125"/>
      <c r="P17" s="117" t="s">
        <v>308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outlineLevel="1">
      <c r="A18" s="78"/>
      <c r="B18" s="130" t="s">
        <v>315</v>
      </c>
      <c r="C18" s="98" t="s">
        <v>159</v>
      </c>
      <c r="D18" s="103">
        <f>D44+1000</f>
        <v>3400</v>
      </c>
      <c r="E18" s="104">
        <f>E44+950</f>
        <v>5750</v>
      </c>
      <c r="F18" s="105">
        <f t="shared" si="11"/>
        <v>5750</v>
      </c>
      <c r="G18" s="120"/>
      <c r="H18" s="121"/>
      <c r="I18" s="122"/>
      <c r="J18" s="122"/>
      <c r="K18" s="7"/>
      <c r="L18" s="125"/>
      <c r="M18" s="125"/>
      <c r="N18" s="125"/>
      <c r="O18" s="125"/>
      <c r="P18" s="11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outlineLevel="1">
      <c r="A19" s="78"/>
      <c r="B19" s="130" t="s">
        <v>316</v>
      </c>
      <c r="C19" s="98" t="s">
        <v>159</v>
      </c>
      <c r="D19" s="103">
        <f>D44+900</f>
        <v>3300</v>
      </c>
      <c r="E19" s="104">
        <f>E44+1000</f>
        <v>5800</v>
      </c>
      <c r="F19" s="105">
        <f t="shared" si="11"/>
        <v>5800</v>
      </c>
      <c r="G19" s="120"/>
      <c r="H19" s="121"/>
      <c r="I19" s="122"/>
      <c r="J19" s="122"/>
      <c r="K19" s="7"/>
      <c r="L19" s="125"/>
      <c r="M19" s="125"/>
      <c r="N19" s="125"/>
      <c r="O19" s="125"/>
      <c r="P19" s="11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outlineLevel="1">
      <c r="A20" s="78"/>
      <c r="B20" s="128" t="s">
        <v>317</v>
      </c>
      <c r="C20" s="98" t="s">
        <v>215</v>
      </c>
      <c r="D20" s="103">
        <f t="shared" ref="D20:D21" si="12">$D$8+L20</f>
        <v>2600</v>
      </c>
      <c r="E20" s="104">
        <f t="shared" ref="E20:E21" si="13">$E$8+M20</f>
        <v>5100</v>
      </c>
      <c r="F20" s="105">
        <f t="shared" si="11"/>
        <v>5100</v>
      </c>
      <c r="G20" s="120"/>
      <c r="H20" s="121"/>
      <c r="I20" s="122"/>
      <c r="J20" s="122"/>
      <c r="K20" s="7"/>
      <c r="L20" s="113">
        <v>200.0</v>
      </c>
      <c r="M20" s="113">
        <v>300.0</v>
      </c>
      <c r="N20" s="113">
        <v>300.0</v>
      </c>
      <c r="O20" s="125"/>
      <c r="P20" s="117" t="s">
        <v>308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outlineLevel="1">
      <c r="A21" s="78"/>
      <c r="B21" s="128" t="s">
        <v>318</v>
      </c>
      <c r="C21" s="98" t="s">
        <v>215</v>
      </c>
      <c r="D21" s="103">
        <f t="shared" si="12"/>
        <v>2750</v>
      </c>
      <c r="E21" s="104">
        <f t="shared" si="13"/>
        <v>5350</v>
      </c>
      <c r="F21" s="105">
        <f t="shared" si="11"/>
        <v>5350</v>
      </c>
      <c r="G21" s="120"/>
      <c r="H21" s="121"/>
      <c r="I21" s="122"/>
      <c r="J21" s="122"/>
      <c r="K21" s="7"/>
      <c r="L21" s="140">
        <v>350.0</v>
      </c>
      <c r="M21" s="125">
        <v>550.0</v>
      </c>
      <c r="N21" s="125">
        <v>550.0</v>
      </c>
      <c r="O21" s="125"/>
      <c r="P21" s="117" t="s">
        <v>308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outlineLevel="1">
      <c r="A22" s="78"/>
      <c r="B22" s="130" t="s">
        <v>319</v>
      </c>
      <c r="C22" s="98" t="s">
        <v>215</v>
      </c>
      <c r="D22" s="103">
        <f>D7+100</f>
        <v>2500</v>
      </c>
      <c r="E22" s="104">
        <f t="shared" ref="E22:F22" si="14">E7+150</f>
        <v>4950</v>
      </c>
      <c r="F22" s="105">
        <f t="shared" si="14"/>
        <v>4950</v>
      </c>
      <c r="G22" s="120"/>
      <c r="H22" s="121"/>
      <c r="I22" s="122"/>
      <c r="J22" s="122"/>
      <c r="K22" s="7"/>
      <c r="L22" s="125">
        <v>200.0</v>
      </c>
      <c r="M22" s="125">
        <v>350.0</v>
      </c>
      <c r="N22" s="125">
        <v>350.0</v>
      </c>
      <c r="O22" s="125"/>
      <c r="P22" s="117" t="s">
        <v>304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outlineLevel="1">
      <c r="A23" s="78"/>
      <c r="B23" s="128" t="s">
        <v>320</v>
      </c>
      <c r="C23" s="98" t="s">
        <v>215</v>
      </c>
      <c r="D23" s="103">
        <f>$D$8+L23</f>
        <v>2785</v>
      </c>
      <c r="E23" s="104">
        <f>$E$8+M23</f>
        <v>5450</v>
      </c>
      <c r="F23" s="105">
        <f>E23</f>
        <v>5450</v>
      </c>
      <c r="G23" s="120"/>
      <c r="H23" s="121"/>
      <c r="I23" s="122"/>
      <c r="J23" s="122"/>
      <c r="K23" s="7"/>
      <c r="L23" s="125">
        <v>385.0</v>
      </c>
      <c r="M23" s="125">
        <v>650.0</v>
      </c>
      <c r="N23" s="125">
        <v>650.0</v>
      </c>
      <c r="O23" s="125"/>
      <c r="P23" s="117" t="s">
        <v>308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outlineLevel="1">
      <c r="A24" s="78"/>
      <c r="B24" s="130" t="s">
        <v>321</v>
      </c>
      <c r="C24" s="98" t="s">
        <v>159</v>
      </c>
      <c r="D24" s="104">
        <f>D44+645</f>
        <v>3045</v>
      </c>
      <c r="E24" s="104">
        <f t="shared" ref="E24:F24" si="15">E44+825</f>
        <v>5625</v>
      </c>
      <c r="F24" s="104">
        <f t="shared" si="15"/>
        <v>5625</v>
      </c>
      <c r="G24" s="120"/>
      <c r="H24" s="121"/>
      <c r="I24" s="122"/>
      <c r="J24" s="122"/>
      <c r="K24" s="7"/>
      <c r="L24" s="125"/>
      <c r="M24" s="125"/>
      <c r="N24" s="125"/>
      <c r="O24" s="125"/>
      <c r="P24" s="11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outlineLevel="1">
      <c r="A25" s="78"/>
      <c r="B25" s="130" t="s">
        <v>322</v>
      </c>
      <c r="C25" s="98" t="s">
        <v>215</v>
      </c>
      <c r="D25" s="103">
        <f t="shared" ref="D25:F25" si="16">D7+L25</f>
        <v>2650</v>
      </c>
      <c r="E25" s="104">
        <f t="shared" si="16"/>
        <v>5200</v>
      </c>
      <c r="F25" s="105">
        <f t="shared" si="16"/>
        <v>5200</v>
      </c>
      <c r="G25" s="120"/>
      <c r="H25" s="121"/>
      <c r="I25" s="122"/>
      <c r="J25" s="122"/>
      <c r="K25" s="7"/>
      <c r="L25" s="125">
        <v>250.0</v>
      </c>
      <c r="M25" s="125">
        <v>400.0</v>
      </c>
      <c r="N25" s="125">
        <v>400.0</v>
      </c>
      <c r="O25" s="125"/>
      <c r="P25" s="117" t="s">
        <v>308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outlineLevel="1">
      <c r="A26" s="78"/>
      <c r="B26" s="128" t="s">
        <v>323</v>
      </c>
      <c r="C26" s="98" t="s">
        <v>215</v>
      </c>
      <c r="D26" s="103">
        <f>$D$8+L26</f>
        <v>2650</v>
      </c>
      <c r="E26" s="104">
        <f>$E$8+M26</f>
        <v>5200</v>
      </c>
      <c r="F26" s="105">
        <f t="shared" ref="F26:F44" si="17">E26</f>
        <v>5200</v>
      </c>
      <c r="G26" s="120"/>
      <c r="H26" s="121"/>
      <c r="I26" s="122"/>
      <c r="J26" s="122"/>
      <c r="K26" s="7"/>
      <c r="L26" s="125">
        <v>250.0</v>
      </c>
      <c r="M26" s="125">
        <v>400.0</v>
      </c>
      <c r="N26" s="125">
        <v>400.0</v>
      </c>
      <c r="O26" s="125"/>
      <c r="P26" s="117" t="s">
        <v>308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outlineLevel="1">
      <c r="A27" s="78"/>
      <c r="B27" s="128" t="s">
        <v>324</v>
      </c>
      <c r="C27" s="98" t="s">
        <v>159</v>
      </c>
      <c r="D27" s="129">
        <f>$D$7+L27</f>
        <v>2600</v>
      </c>
      <c r="E27" s="132">
        <f>$E$7+M27</f>
        <v>5100</v>
      </c>
      <c r="F27" s="105">
        <f t="shared" si="17"/>
        <v>5100</v>
      </c>
      <c r="G27" s="120"/>
      <c r="H27" s="121"/>
      <c r="I27" s="122"/>
      <c r="J27" s="122"/>
      <c r="K27" s="7"/>
      <c r="L27" s="113">
        <v>200.0</v>
      </c>
      <c r="M27" s="113">
        <v>300.0</v>
      </c>
      <c r="N27" s="113">
        <v>300.0</v>
      </c>
      <c r="O27" s="125"/>
      <c r="P27" s="117" t="s">
        <v>304</v>
      </c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outlineLevel="1">
      <c r="A28" s="78"/>
      <c r="B28" s="128" t="s">
        <v>325</v>
      </c>
      <c r="C28" s="98" t="s">
        <v>215</v>
      </c>
      <c r="D28" s="129">
        <f t="shared" ref="D28:D29" si="18">$D$8+L28</f>
        <v>2600</v>
      </c>
      <c r="E28" s="132">
        <f t="shared" ref="E28:E29" si="19">$E$8+M28</f>
        <v>5100</v>
      </c>
      <c r="F28" s="105">
        <f t="shared" si="17"/>
        <v>5100</v>
      </c>
      <c r="G28" s="120"/>
      <c r="H28" s="121"/>
      <c r="I28" s="122"/>
      <c r="J28" s="122"/>
      <c r="K28" s="7"/>
      <c r="L28" s="113">
        <v>200.0</v>
      </c>
      <c r="M28" s="113">
        <v>300.0</v>
      </c>
      <c r="N28" s="113">
        <v>300.0</v>
      </c>
      <c r="O28" s="125"/>
      <c r="P28" s="117" t="s">
        <v>308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outlineLevel="1">
      <c r="A29" s="78"/>
      <c r="B29" s="128" t="s">
        <v>326</v>
      </c>
      <c r="C29" s="98" t="s">
        <v>215</v>
      </c>
      <c r="D29" s="129">
        <f t="shared" si="18"/>
        <v>2650</v>
      </c>
      <c r="E29" s="132">
        <f t="shared" si="19"/>
        <v>5200</v>
      </c>
      <c r="F29" s="105">
        <f t="shared" si="17"/>
        <v>5200</v>
      </c>
      <c r="G29" s="120"/>
      <c r="H29" s="121"/>
      <c r="I29" s="122"/>
      <c r="J29" s="122"/>
      <c r="K29" s="7"/>
      <c r="L29" s="125">
        <v>250.0</v>
      </c>
      <c r="M29" s="125">
        <v>400.0</v>
      </c>
      <c r="N29" s="125">
        <v>400.0</v>
      </c>
      <c r="O29" s="125"/>
      <c r="P29" s="117" t="s">
        <v>308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outlineLevel="1">
      <c r="A30" s="78"/>
      <c r="B30" s="128" t="s">
        <v>327</v>
      </c>
      <c r="C30" s="98" t="s">
        <v>159</v>
      </c>
      <c r="D30" s="129">
        <f>$D$9+L30</f>
        <v>2600</v>
      </c>
      <c r="E30" s="132">
        <f>$E$9+M30</f>
        <v>5100</v>
      </c>
      <c r="F30" s="105">
        <f t="shared" si="17"/>
        <v>5100</v>
      </c>
      <c r="G30" s="120"/>
      <c r="H30" s="121"/>
      <c r="I30" s="122"/>
      <c r="J30" s="122"/>
      <c r="K30" s="7"/>
      <c r="L30" s="113">
        <v>200.0</v>
      </c>
      <c r="M30" s="113">
        <v>300.0</v>
      </c>
      <c r="N30" s="113">
        <v>300.0</v>
      </c>
      <c r="O30" s="125"/>
      <c r="P30" s="117" t="s">
        <v>328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outlineLevel="1">
      <c r="A31" s="78"/>
      <c r="B31" s="128" t="s">
        <v>329</v>
      </c>
      <c r="C31" s="98" t="s">
        <v>215</v>
      </c>
      <c r="D31" s="129">
        <f t="shared" ref="D31:D33" si="20">$D$8+L31</f>
        <v>2700</v>
      </c>
      <c r="E31" s="132">
        <f t="shared" ref="E31:E33" si="21">$E$8+M31</f>
        <v>5375</v>
      </c>
      <c r="F31" s="105">
        <f t="shared" si="17"/>
        <v>5375</v>
      </c>
      <c r="G31" s="120"/>
      <c r="H31" s="121"/>
      <c r="I31" s="122"/>
      <c r="J31" s="122"/>
      <c r="K31" s="7"/>
      <c r="L31" s="125">
        <v>300.0</v>
      </c>
      <c r="M31" s="125">
        <v>575.0</v>
      </c>
      <c r="N31" s="125">
        <v>575.0</v>
      </c>
      <c r="O31" s="125"/>
      <c r="P31" s="117" t="s">
        <v>308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outlineLevel="1">
      <c r="A32" s="78"/>
      <c r="B32" s="128" t="s">
        <v>330</v>
      </c>
      <c r="C32" s="98" t="s">
        <v>215</v>
      </c>
      <c r="D32" s="129">
        <f t="shared" si="20"/>
        <v>2700</v>
      </c>
      <c r="E32" s="132">
        <f t="shared" si="21"/>
        <v>5175</v>
      </c>
      <c r="F32" s="105">
        <f t="shared" si="17"/>
        <v>5175</v>
      </c>
      <c r="G32" s="120"/>
      <c r="H32" s="121"/>
      <c r="I32" s="122"/>
      <c r="J32" s="122"/>
      <c r="K32" s="7"/>
      <c r="L32" s="125">
        <v>300.0</v>
      </c>
      <c r="M32" s="125">
        <v>375.0</v>
      </c>
      <c r="N32" s="125">
        <v>375.0</v>
      </c>
      <c r="O32" s="125"/>
      <c r="P32" s="117" t="s">
        <v>308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outlineLevel="1">
      <c r="A33" s="78"/>
      <c r="B33" s="128" t="s">
        <v>331</v>
      </c>
      <c r="C33" s="98" t="s">
        <v>215</v>
      </c>
      <c r="D33" s="129">
        <f t="shared" si="20"/>
        <v>2675</v>
      </c>
      <c r="E33" s="132">
        <f t="shared" si="21"/>
        <v>5175</v>
      </c>
      <c r="F33" s="105">
        <f t="shared" si="17"/>
        <v>5175</v>
      </c>
      <c r="G33" s="120"/>
      <c r="H33" s="121"/>
      <c r="I33" s="122"/>
      <c r="J33" s="122"/>
      <c r="K33" s="7"/>
      <c r="L33" s="125">
        <v>275.0</v>
      </c>
      <c r="M33" s="125">
        <v>375.0</v>
      </c>
      <c r="N33" s="125">
        <v>375.0</v>
      </c>
      <c r="O33" s="125"/>
      <c r="P33" s="117" t="s">
        <v>308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outlineLevel="1">
      <c r="A34" s="78"/>
      <c r="B34" s="128" t="s">
        <v>332</v>
      </c>
      <c r="C34" s="98" t="s">
        <v>159</v>
      </c>
      <c r="D34" s="129">
        <f>$D$7+L34</f>
        <v>2600</v>
      </c>
      <c r="E34" s="132">
        <f>$E$7+M34</f>
        <v>5100</v>
      </c>
      <c r="F34" s="105">
        <f t="shared" si="17"/>
        <v>5100</v>
      </c>
      <c r="G34" s="120"/>
      <c r="H34" s="121"/>
      <c r="I34" s="122"/>
      <c r="J34" s="122"/>
      <c r="K34" s="7"/>
      <c r="L34" s="113">
        <v>200.0</v>
      </c>
      <c r="M34" s="113">
        <v>300.0</v>
      </c>
      <c r="N34" s="113">
        <v>300.0</v>
      </c>
      <c r="O34" s="125"/>
      <c r="P34" s="117" t="s">
        <v>304</v>
      </c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outlineLevel="1">
      <c r="A35" s="78"/>
      <c r="B35" s="128" t="s">
        <v>333</v>
      </c>
      <c r="C35" s="98" t="s">
        <v>215</v>
      </c>
      <c r="D35" s="129">
        <f t="shared" ref="D35:D37" si="22">$D$8+L35</f>
        <v>2675</v>
      </c>
      <c r="E35" s="132">
        <f t="shared" ref="E35:E37" si="23">$E$8+M35</f>
        <v>5475</v>
      </c>
      <c r="F35" s="105">
        <f t="shared" si="17"/>
        <v>5475</v>
      </c>
      <c r="G35" s="120"/>
      <c r="H35" s="121"/>
      <c r="I35" s="122"/>
      <c r="J35" s="122"/>
      <c r="K35" s="7"/>
      <c r="L35" s="125">
        <v>275.0</v>
      </c>
      <c r="M35" s="125">
        <v>675.0</v>
      </c>
      <c r="N35" s="125">
        <v>675.0</v>
      </c>
      <c r="O35" s="125"/>
      <c r="P35" s="117" t="s">
        <v>308</v>
      </c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outlineLevel="1">
      <c r="A36" s="78"/>
      <c r="B36" s="128" t="s">
        <v>334</v>
      </c>
      <c r="C36" s="98" t="s">
        <v>215</v>
      </c>
      <c r="D36" s="129">
        <f t="shared" si="22"/>
        <v>2675</v>
      </c>
      <c r="E36" s="132">
        <f t="shared" si="23"/>
        <v>5175</v>
      </c>
      <c r="F36" s="105">
        <f t="shared" si="17"/>
        <v>5175</v>
      </c>
      <c r="G36" s="120"/>
      <c r="H36" s="121"/>
      <c r="I36" s="122"/>
      <c r="J36" s="122"/>
      <c r="K36" s="7"/>
      <c r="L36" s="125">
        <v>275.0</v>
      </c>
      <c r="M36" s="125">
        <v>375.0</v>
      </c>
      <c r="N36" s="125">
        <v>375.0</v>
      </c>
      <c r="O36" s="125"/>
      <c r="P36" s="117" t="s">
        <v>308</v>
      </c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outlineLevel="1">
      <c r="A37" s="78"/>
      <c r="B37" s="128" t="s">
        <v>335</v>
      </c>
      <c r="C37" s="98" t="s">
        <v>215</v>
      </c>
      <c r="D37" s="129">
        <f t="shared" si="22"/>
        <v>2650</v>
      </c>
      <c r="E37" s="132">
        <f t="shared" si="23"/>
        <v>5150</v>
      </c>
      <c r="F37" s="105">
        <f t="shared" si="17"/>
        <v>5150</v>
      </c>
      <c r="G37" s="120"/>
      <c r="H37" s="121"/>
      <c r="I37" s="122"/>
      <c r="J37" s="122"/>
      <c r="K37" s="7"/>
      <c r="L37" s="125">
        <v>250.0</v>
      </c>
      <c r="M37" s="125">
        <v>350.0</v>
      </c>
      <c r="N37" s="125">
        <v>350.0</v>
      </c>
      <c r="O37" s="125"/>
      <c r="P37" s="117" t="s">
        <v>308</v>
      </c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outlineLevel="1">
      <c r="A38" s="144"/>
      <c r="B38" s="145" t="s">
        <v>336</v>
      </c>
      <c r="C38" s="146" t="s">
        <v>159</v>
      </c>
      <c r="D38" s="147">
        <f>$D$9+L38</f>
        <v>2475</v>
      </c>
      <c r="E38" s="148">
        <f>$E$9+M38</f>
        <v>4925</v>
      </c>
      <c r="F38" s="149">
        <f t="shared" si="17"/>
        <v>4925</v>
      </c>
      <c r="G38" s="150"/>
      <c r="H38" s="151"/>
      <c r="I38" s="152"/>
      <c r="J38" s="152"/>
      <c r="K38" s="7"/>
      <c r="L38" s="125">
        <v>75.0</v>
      </c>
      <c r="M38" s="125">
        <v>125.0</v>
      </c>
      <c r="N38" s="125">
        <v>125.0</v>
      </c>
      <c r="O38" s="125"/>
      <c r="P38" s="117" t="s">
        <v>328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53" t="s">
        <v>337</v>
      </c>
      <c r="B39" s="59" t="s">
        <v>338</v>
      </c>
      <c r="C39" s="154" t="s">
        <v>159</v>
      </c>
      <c r="D39" s="68">
        <f>D44+L39</f>
        <v>2550</v>
      </c>
      <c r="E39" s="100">
        <f>E44+200</f>
        <v>5000</v>
      </c>
      <c r="F39" s="87">
        <f t="shared" si="17"/>
        <v>5000</v>
      </c>
      <c r="G39" s="68">
        <f>D39+100</f>
        <v>2650</v>
      </c>
      <c r="H39" s="72">
        <f>F39+200</f>
        <v>5200</v>
      </c>
      <c r="I39" s="155">
        <f>I44+L39</f>
        <v>1900</v>
      </c>
      <c r="J39" s="155">
        <f>J44+N39</f>
        <v>3700</v>
      </c>
      <c r="K39" s="7"/>
      <c r="L39" s="7">
        <v>150.0</v>
      </c>
      <c r="M39" s="7">
        <v>200.0</v>
      </c>
      <c r="N39" s="7">
        <v>200.0</v>
      </c>
      <c r="O39" s="7"/>
      <c r="P39" s="7"/>
      <c r="Q39" s="76"/>
      <c r="R39" s="76"/>
      <c r="S39" s="76"/>
      <c r="T39" s="7"/>
      <c r="U39" s="7"/>
      <c r="V39" s="7"/>
      <c r="W39" s="7"/>
      <c r="X39" s="7"/>
      <c r="Y39" s="7"/>
      <c r="Z39" s="7"/>
    </row>
    <row r="40" ht="14.25" customHeight="1" outlineLevel="1">
      <c r="A40" s="78"/>
      <c r="B40" s="128" t="s">
        <v>339</v>
      </c>
      <c r="C40" s="156" t="s">
        <v>159</v>
      </c>
      <c r="D40" s="157">
        <f t="shared" ref="D40:D42" si="24">$D$39+L40</f>
        <v>2650</v>
      </c>
      <c r="E40" s="158">
        <f t="shared" ref="E40:E42" si="25">$E$39+M40</f>
        <v>5200</v>
      </c>
      <c r="F40" s="159">
        <f t="shared" si="17"/>
        <v>5200</v>
      </c>
      <c r="G40" s="160"/>
      <c r="H40" s="161"/>
      <c r="I40" s="162"/>
      <c r="J40" s="162"/>
      <c r="K40" s="7"/>
      <c r="L40" s="125">
        <v>100.0</v>
      </c>
      <c r="M40" s="125">
        <v>200.0</v>
      </c>
      <c r="N40" s="125">
        <v>200.0</v>
      </c>
      <c r="O40" s="125"/>
      <c r="P40" s="11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outlineLevel="1">
      <c r="A41" s="78"/>
      <c r="B41" s="128" t="s">
        <v>340</v>
      </c>
      <c r="C41" s="156" t="s">
        <v>159</v>
      </c>
      <c r="D41" s="157">
        <f t="shared" si="24"/>
        <v>2800</v>
      </c>
      <c r="E41" s="158">
        <f t="shared" si="25"/>
        <v>5500</v>
      </c>
      <c r="F41" s="159">
        <f t="shared" si="17"/>
        <v>5500</v>
      </c>
      <c r="G41" s="160"/>
      <c r="H41" s="161"/>
      <c r="I41" s="162"/>
      <c r="J41" s="162"/>
      <c r="K41" s="7"/>
      <c r="L41" s="125">
        <v>250.0</v>
      </c>
      <c r="M41" s="125">
        <v>500.0</v>
      </c>
      <c r="N41" s="125">
        <v>500.0</v>
      </c>
      <c r="O41" s="125"/>
      <c r="P41" s="11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outlineLevel="1">
      <c r="A42" s="144"/>
      <c r="B42" s="145" t="s">
        <v>341</v>
      </c>
      <c r="C42" s="164" t="s">
        <v>159</v>
      </c>
      <c r="D42" s="147">
        <f t="shared" si="24"/>
        <v>2800</v>
      </c>
      <c r="E42" s="148">
        <f t="shared" si="25"/>
        <v>5500</v>
      </c>
      <c r="F42" s="149">
        <f t="shared" si="17"/>
        <v>5500</v>
      </c>
      <c r="G42" s="150"/>
      <c r="H42" s="151"/>
      <c r="I42" s="152"/>
      <c r="J42" s="152"/>
      <c r="K42" s="7"/>
      <c r="L42" s="125">
        <v>250.0</v>
      </c>
      <c r="M42" s="125">
        <v>500.0</v>
      </c>
      <c r="N42" s="125">
        <v>500.0</v>
      </c>
      <c r="O42" s="125"/>
      <c r="P42" s="11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53" t="s">
        <v>342</v>
      </c>
      <c r="B43" s="95" t="s">
        <v>343</v>
      </c>
      <c r="C43" s="96" t="s">
        <v>344</v>
      </c>
      <c r="D43" s="68">
        <f>D7</f>
        <v>2400</v>
      </c>
      <c r="E43" s="100">
        <f>D43*2</f>
        <v>4800</v>
      </c>
      <c r="F43" s="72">
        <f t="shared" si="17"/>
        <v>4800</v>
      </c>
      <c r="G43" s="68">
        <f t="shared" ref="G43:G44" si="27">D43+100</f>
        <v>2500</v>
      </c>
      <c r="H43" s="72">
        <f t="shared" ref="H43:H44" si="28">F43+200</f>
        <v>5000</v>
      </c>
      <c r="I43" s="108">
        <f t="shared" ref="I43:J43" si="26">I7</f>
        <v>1750</v>
      </c>
      <c r="J43" s="155">
        <f t="shared" si="26"/>
        <v>3500</v>
      </c>
      <c r="K43" s="7"/>
      <c r="L43" s="7"/>
      <c r="M43" s="7"/>
      <c r="N43" s="7"/>
      <c r="O43" s="7"/>
      <c r="P43" s="7"/>
      <c r="Q43" s="76"/>
      <c r="R43" s="76"/>
      <c r="S43" s="76"/>
      <c r="T43" s="7"/>
      <c r="U43" s="7"/>
      <c r="V43" s="7"/>
      <c r="W43" s="7"/>
      <c r="X43" s="7"/>
      <c r="Y43" s="7"/>
      <c r="Z43" s="7"/>
    </row>
    <row r="44" ht="14.25" customHeight="1">
      <c r="A44" s="78"/>
      <c r="B44" s="79" t="s">
        <v>345</v>
      </c>
      <c r="C44" s="96" t="s">
        <v>159</v>
      </c>
      <c r="D44" s="68">
        <f>D7</f>
        <v>2400</v>
      </c>
      <c r="E44" s="100">
        <f>D44*2</f>
        <v>4800</v>
      </c>
      <c r="F44" s="72">
        <f t="shared" si="17"/>
        <v>4800</v>
      </c>
      <c r="G44" s="68">
        <f t="shared" si="27"/>
        <v>2500</v>
      </c>
      <c r="H44" s="72">
        <f t="shared" si="28"/>
        <v>5000</v>
      </c>
      <c r="I44" s="108">
        <f t="shared" ref="I44:J44" si="29">I7</f>
        <v>1750</v>
      </c>
      <c r="J44" s="100">
        <f t="shared" si="29"/>
        <v>3500</v>
      </c>
      <c r="K44" s="7"/>
      <c r="L44" s="165"/>
      <c r="O44" s="7"/>
      <c r="P44" s="7"/>
      <c r="Q44" s="76"/>
      <c r="R44" s="76"/>
      <c r="S44" s="76"/>
      <c r="T44" s="7"/>
      <c r="U44" s="7"/>
      <c r="V44" s="7"/>
      <c r="W44" s="7"/>
      <c r="X44" s="7"/>
      <c r="Y44" s="7"/>
      <c r="Z44" s="7"/>
    </row>
    <row r="45" ht="14.25" customHeight="1">
      <c r="A45" s="78"/>
      <c r="B45" s="79" t="s">
        <v>346</v>
      </c>
      <c r="C45" s="166" t="s">
        <v>344</v>
      </c>
      <c r="D45" s="103">
        <f>D44+460</f>
        <v>2860</v>
      </c>
      <c r="E45" s="104">
        <f t="shared" ref="E45:F45" si="30">E44+600</f>
        <v>5400</v>
      </c>
      <c r="F45" s="104">
        <f t="shared" si="30"/>
        <v>5400</v>
      </c>
      <c r="G45" s="129"/>
      <c r="H45" s="143"/>
      <c r="I45" s="132"/>
      <c r="J45" s="132"/>
      <c r="K45" s="7"/>
      <c r="L45" s="165"/>
      <c r="M45" s="165"/>
      <c r="N45" s="165"/>
      <c r="O45" s="7"/>
      <c r="P45" s="7"/>
      <c r="Q45" s="76"/>
      <c r="R45" s="76"/>
      <c r="S45" s="76"/>
      <c r="T45" s="7"/>
      <c r="U45" s="7"/>
      <c r="V45" s="7"/>
      <c r="W45" s="7"/>
      <c r="X45" s="7"/>
      <c r="Y45" s="7"/>
      <c r="Z45" s="7"/>
    </row>
    <row r="46" ht="14.25" customHeight="1">
      <c r="A46" s="78"/>
      <c r="B46" s="79" t="s">
        <v>347</v>
      </c>
      <c r="C46" s="166" t="s">
        <v>344</v>
      </c>
      <c r="D46" s="103">
        <f>D44+500</f>
        <v>2900</v>
      </c>
      <c r="E46" s="104">
        <f t="shared" ref="E46:F46" si="31">E44+650</f>
        <v>5450</v>
      </c>
      <c r="F46" s="167">
        <f t="shared" si="31"/>
        <v>5450</v>
      </c>
      <c r="G46" s="129"/>
      <c r="H46" s="143"/>
      <c r="I46" s="132"/>
      <c r="J46" s="132"/>
      <c r="K46" s="7"/>
      <c r="L46" s="165"/>
      <c r="M46" s="165"/>
      <c r="N46" s="165"/>
      <c r="O46" s="7"/>
      <c r="P46" s="7"/>
      <c r="Q46" s="76"/>
      <c r="R46" s="76"/>
      <c r="S46" s="76"/>
      <c r="T46" s="7"/>
      <c r="U46" s="7"/>
      <c r="V46" s="7"/>
      <c r="W46" s="7"/>
      <c r="X46" s="7"/>
      <c r="Y46" s="7"/>
      <c r="Z46" s="7"/>
    </row>
    <row r="47" ht="14.25" customHeight="1">
      <c r="A47" s="78"/>
      <c r="B47" s="79" t="s">
        <v>348</v>
      </c>
      <c r="C47" s="118" t="s">
        <v>349</v>
      </c>
      <c r="D47" s="103">
        <f t="shared" ref="D47:F47" si="32">D43+L47</f>
        <v>2500</v>
      </c>
      <c r="E47" s="104">
        <f t="shared" si="32"/>
        <v>5000</v>
      </c>
      <c r="F47" s="105">
        <f t="shared" si="32"/>
        <v>5000</v>
      </c>
      <c r="G47" s="129"/>
      <c r="H47" s="143"/>
      <c r="I47" s="132"/>
      <c r="J47" s="132"/>
      <c r="K47" s="7"/>
      <c r="L47" s="113">
        <v>100.0</v>
      </c>
      <c r="M47" s="113">
        <v>200.0</v>
      </c>
      <c r="N47" s="113">
        <v>200.0</v>
      </c>
      <c r="O47" s="7"/>
      <c r="P47" s="117" t="s">
        <v>350</v>
      </c>
      <c r="Q47" s="76"/>
      <c r="R47" s="76"/>
      <c r="S47" s="76"/>
      <c r="T47" s="7"/>
      <c r="U47" s="7"/>
      <c r="V47" s="7"/>
      <c r="W47" s="7"/>
      <c r="X47" s="7"/>
      <c r="Y47" s="7"/>
      <c r="Z47" s="7"/>
    </row>
    <row r="48" ht="14.25" customHeight="1">
      <c r="A48" s="78"/>
      <c r="B48" s="130" t="s">
        <v>351</v>
      </c>
      <c r="C48" s="156" t="s">
        <v>349</v>
      </c>
      <c r="D48" s="103">
        <f t="shared" ref="D48:F48" si="33">D43+L48</f>
        <v>2600</v>
      </c>
      <c r="E48" s="104">
        <f t="shared" si="33"/>
        <v>5100</v>
      </c>
      <c r="F48" s="105">
        <f t="shared" si="33"/>
        <v>5100</v>
      </c>
      <c r="G48" s="160"/>
      <c r="H48" s="161"/>
      <c r="I48" s="162"/>
      <c r="J48" s="162"/>
      <c r="K48" s="7"/>
      <c r="L48" s="113">
        <v>200.0</v>
      </c>
      <c r="M48" s="113">
        <v>300.0</v>
      </c>
      <c r="N48" s="113">
        <v>300.0</v>
      </c>
      <c r="O48" s="7"/>
      <c r="P48" s="117" t="s">
        <v>350</v>
      </c>
      <c r="Q48" s="76"/>
      <c r="R48" s="76"/>
      <c r="S48" s="76"/>
      <c r="T48" s="7"/>
      <c r="U48" s="7"/>
      <c r="V48" s="7"/>
      <c r="W48" s="7"/>
      <c r="X48" s="7"/>
      <c r="Y48" s="7"/>
      <c r="Z48" s="7"/>
    </row>
    <row r="49" ht="14.25" customHeight="1">
      <c r="A49" s="171"/>
      <c r="B49" s="128" t="s">
        <v>352</v>
      </c>
      <c r="C49" s="156" t="s">
        <v>344</v>
      </c>
      <c r="D49" s="157">
        <f>$D$43+L49</f>
        <v>2700</v>
      </c>
      <c r="E49" s="158">
        <f>$E$43+M49</f>
        <v>5300</v>
      </c>
      <c r="F49" s="159">
        <f t="shared" ref="F49:F51" si="34">E49</f>
        <v>5300</v>
      </c>
      <c r="G49" s="160"/>
      <c r="H49" s="161"/>
      <c r="I49" s="162"/>
      <c r="J49" s="162"/>
      <c r="K49" s="7"/>
      <c r="L49" s="113">
        <v>300.0</v>
      </c>
      <c r="M49" s="113">
        <v>500.0</v>
      </c>
      <c r="N49" s="113">
        <v>500.0</v>
      </c>
      <c r="O49" s="7"/>
      <c r="P49" s="117" t="s">
        <v>350</v>
      </c>
      <c r="Q49" s="76"/>
      <c r="R49" s="76"/>
      <c r="S49" s="76"/>
      <c r="T49" s="7"/>
      <c r="U49" s="7"/>
      <c r="V49" s="7"/>
      <c r="W49" s="7"/>
      <c r="X49" s="7"/>
      <c r="Y49" s="7"/>
      <c r="Z49" s="7"/>
    </row>
    <row r="50" ht="14.25" customHeight="1">
      <c r="A50" s="172" t="s">
        <v>353</v>
      </c>
      <c r="B50" s="173" t="s">
        <v>354</v>
      </c>
      <c r="C50" s="174" t="s">
        <v>159</v>
      </c>
      <c r="D50" s="175">
        <v>2300.0</v>
      </c>
      <c r="E50" s="176">
        <v>4600.0</v>
      </c>
      <c r="F50" s="177">
        <f t="shared" si="34"/>
        <v>4600</v>
      </c>
      <c r="G50" s="178">
        <f t="shared" ref="G50:G54" si="35">D50+100</f>
        <v>2400</v>
      </c>
      <c r="H50" s="179">
        <f t="shared" ref="H50:H54" si="36">F50+200</f>
        <v>4800</v>
      </c>
      <c r="I50" s="180">
        <v>1650.0</v>
      </c>
      <c r="J50" s="180">
        <v>3300.0</v>
      </c>
      <c r="K50" s="7"/>
      <c r="L50" s="7"/>
      <c r="M50" s="7"/>
      <c r="N50" s="7"/>
      <c r="O50" s="7"/>
      <c r="P50" s="7"/>
      <c r="Q50" s="76"/>
      <c r="R50" s="76"/>
      <c r="S50" s="76"/>
      <c r="T50" s="7"/>
      <c r="U50" s="7"/>
      <c r="V50" s="7"/>
      <c r="W50" s="7"/>
      <c r="X50" s="7"/>
      <c r="Y50" s="7"/>
      <c r="Z50" s="7"/>
    </row>
    <row r="51" ht="14.25" customHeight="1">
      <c r="A51" s="181" t="s">
        <v>355</v>
      </c>
      <c r="B51" s="169" t="s">
        <v>356</v>
      </c>
      <c r="C51" s="170" t="s">
        <v>344</v>
      </c>
      <c r="D51" s="182">
        <v>2400.0</v>
      </c>
      <c r="E51" s="183">
        <v>4800.0</v>
      </c>
      <c r="F51" s="184">
        <f t="shared" si="34"/>
        <v>4800</v>
      </c>
      <c r="G51" s="112">
        <f t="shared" si="35"/>
        <v>2500</v>
      </c>
      <c r="H51" s="185">
        <f t="shared" si="36"/>
        <v>5000</v>
      </c>
      <c r="I51" s="186">
        <v>1750.0</v>
      </c>
      <c r="J51" s="187">
        <f>I51*2</f>
        <v>3500</v>
      </c>
      <c r="K51" s="7"/>
      <c r="L51" s="7"/>
      <c r="M51" s="7"/>
      <c r="N51" s="7"/>
      <c r="O51" s="7"/>
      <c r="P51" s="7"/>
      <c r="Q51" s="76"/>
      <c r="R51" s="76"/>
      <c r="S51" s="76"/>
      <c r="T51" s="7"/>
      <c r="U51" s="7"/>
      <c r="V51" s="7"/>
      <c r="W51" s="7"/>
      <c r="X51" s="7"/>
      <c r="Y51" s="7"/>
      <c r="Z51" s="7"/>
    </row>
    <row r="52" ht="14.25" customHeight="1">
      <c r="A52" s="78"/>
      <c r="B52" s="169" t="s">
        <v>357</v>
      </c>
      <c r="C52" s="170" t="s">
        <v>344</v>
      </c>
      <c r="D52" s="112">
        <f t="shared" ref="D52:F52" si="37">D51</f>
        <v>2400</v>
      </c>
      <c r="E52" s="188">
        <f t="shared" si="37"/>
        <v>4800</v>
      </c>
      <c r="F52" s="185">
        <f t="shared" si="37"/>
        <v>4800</v>
      </c>
      <c r="G52" s="112">
        <f t="shared" si="35"/>
        <v>2500</v>
      </c>
      <c r="H52" s="185">
        <f t="shared" si="36"/>
        <v>5000</v>
      </c>
      <c r="I52" s="108">
        <f t="shared" ref="I52:J52" si="38">I51</f>
        <v>1750</v>
      </c>
      <c r="J52" s="108">
        <f t="shared" si="38"/>
        <v>3500</v>
      </c>
      <c r="K52" s="7"/>
      <c r="L52" s="7"/>
      <c r="M52" s="7"/>
      <c r="N52" s="7"/>
      <c r="O52" s="7"/>
      <c r="P52" s="117" t="s">
        <v>358</v>
      </c>
      <c r="Q52" s="7"/>
      <c r="R52" s="76"/>
      <c r="S52" s="76"/>
      <c r="T52" s="7"/>
      <c r="U52" s="7"/>
      <c r="V52" s="7"/>
      <c r="W52" s="7"/>
      <c r="X52" s="7"/>
      <c r="Y52" s="7"/>
      <c r="Z52" s="7"/>
    </row>
    <row r="53" ht="14.25" customHeight="1">
      <c r="A53" s="78"/>
      <c r="B53" s="189" t="s">
        <v>359</v>
      </c>
      <c r="C53" s="190" t="s">
        <v>344</v>
      </c>
      <c r="D53" s="191">
        <f t="shared" ref="D53:D54" si="39">$D$51+L53</f>
        <v>2600</v>
      </c>
      <c r="E53" s="193">
        <f t="shared" ref="E53:E54" si="40">$E$51+M53</f>
        <v>5050</v>
      </c>
      <c r="F53" s="194">
        <f t="shared" ref="F53:F54" si="41">E53</f>
        <v>5050</v>
      </c>
      <c r="G53" s="191">
        <f t="shared" si="35"/>
        <v>2700</v>
      </c>
      <c r="H53" s="194">
        <f t="shared" si="36"/>
        <v>5250</v>
      </c>
      <c r="I53" s="195"/>
      <c r="J53" s="195"/>
      <c r="K53" s="7"/>
      <c r="L53" s="7">
        <v>200.0</v>
      </c>
      <c r="M53" s="7">
        <v>250.0</v>
      </c>
      <c r="N53" s="7">
        <v>250.0</v>
      </c>
      <c r="O53" s="7"/>
      <c r="P53" s="117" t="s">
        <v>358</v>
      </c>
      <c r="Q53" s="7"/>
      <c r="R53" s="76"/>
      <c r="S53" s="76"/>
      <c r="T53" s="7"/>
      <c r="U53" s="7"/>
      <c r="V53" s="7"/>
      <c r="W53" s="7"/>
      <c r="X53" s="7"/>
      <c r="Y53" s="7"/>
      <c r="Z53" s="7"/>
    </row>
    <row r="54" ht="14.25" customHeight="1">
      <c r="A54" s="144"/>
      <c r="B54" s="196" t="s">
        <v>360</v>
      </c>
      <c r="C54" s="190" t="s">
        <v>344</v>
      </c>
      <c r="D54" s="197">
        <f t="shared" si="39"/>
        <v>2600</v>
      </c>
      <c r="E54" s="199">
        <f t="shared" si="40"/>
        <v>5050</v>
      </c>
      <c r="F54" s="200">
        <f t="shared" si="41"/>
        <v>5050</v>
      </c>
      <c r="G54" s="197">
        <f t="shared" si="35"/>
        <v>2700</v>
      </c>
      <c r="H54" s="200">
        <f t="shared" si="36"/>
        <v>5250</v>
      </c>
      <c r="I54" s="201"/>
      <c r="J54" s="201"/>
      <c r="K54" s="7"/>
      <c r="L54" s="7">
        <v>200.0</v>
      </c>
      <c r="M54" s="7">
        <v>250.0</v>
      </c>
      <c r="N54" s="7">
        <v>250.0</v>
      </c>
      <c r="O54" s="7"/>
      <c r="P54" s="117" t="s">
        <v>358</v>
      </c>
      <c r="Q54" s="7"/>
      <c r="R54" s="76"/>
      <c r="S54" s="76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13" t="s">
        <v>361</v>
      </c>
      <c r="B56" s="203" t="s">
        <v>362</v>
      </c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7"/>
      <c r="U56" s="7"/>
      <c r="V56" s="7"/>
      <c r="W56" s="7"/>
      <c r="X56" s="7"/>
      <c r="Y56" s="7"/>
      <c r="Z56" s="7"/>
    </row>
    <row r="57" ht="14.25" customHeight="1">
      <c r="A57" s="113" t="s">
        <v>363</v>
      </c>
      <c r="B57" s="113" t="s">
        <v>364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205" t="s">
        <v>365</v>
      </c>
      <c r="B59" s="206"/>
      <c r="C59" s="206"/>
      <c r="D59" s="206"/>
      <c r="E59" s="206"/>
      <c r="F59" s="206"/>
      <c r="G59" s="206"/>
      <c r="H59" s="206"/>
      <c r="I59" s="206"/>
      <c r="J59" s="20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208"/>
      <c r="B60" s="209"/>
      <c r="C60" s="209"/>
      <c r="D60" s="210" t="s">
        <v>83</v>
      </c>
      <c r="E60" s="210" t="s">
        <v>88</v>
      </c>
      <c r="F60" s="211" t="s">
        <v>93</v>
      </c>
      <c r="G60" s="212" t="s">
        <v>366</v>
      </c>
      <c r="H60" s="210" t="s">
        <v>367</v>
      </c>
      <c r="I60" s="210" t="s">
        <v>102</v>
      </c>
      <c r="J60" s="213" t="s">
        <v>107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hidden="1" customHeight="1">
      <c r="A61" s="214" t="s">
        <v>368</v>
      </c>
      <c r="B61" s="215" t="s">
        <v>369</v>
      </c>
      <c r="C61" s="216"/>
      <c r="D61" s="217" t="s">
        <v>370</v>
      </c>
      <c r="E61" s="217" t="s">
        <v>371</v>
      </c>
      <c r="F61" s="217" t="s">
        <v>371</v>
      </c>
      <c r="G61" s="217" t="s">
        <v>372</v>
      </c>
      <c r="H61" s="217" t="s">
        <v>373</v>
      </c>
      <c r="I61" s="217" t="s">
        <v>370</v>
      </c>
      <c r="J61" s="217" t="s">
        <v>371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214" t="s">
        <v>368</v>
      </c>
      <c r="B62" s="215" t="s">
        <v>369</v>
      </c>
      <c r="C62" s="216"/>
      <c r="D62" s="217" t="s">
        <v>374</v>
      </c>
      <c r="E62" s="217" t="s">
        <v>374</v>
      </c>
      <c r="F62" s="217" t="s">
        <v>374</v>
      </c>
      <c r="G62" s="217" t="s">
        <v>374</v>
      </c>
      <c r="H62" s="217" t="s">
        <v>374</v>
      </c>
      <c r="I62" s="217" t="s">
        <v>374</v>
      </c>
      <c r="J62" s="217" t="s">
        <v>374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0" hidden="1" customHeight="1">
      <c r="A63" s="218" t="s">
        <v>375</v>
      </c>
      <c r="B63" s="219" t="s">
        <v>376</v>
      </c>
      <c r="C63" s="216"/>
      <c r="D63" s="221" t="s">
        <v>377</v>
      </c>
      <c r="E63" s="221" t="s">
        <v>377</v>
      </c>
      <c r="F63" s="221" t="s">
        <v>377</v>
      </c>
      <c r="G63" s="221" t="s">
        <v>377</v>
      </c>
      <c r="H63" s="221" t="s">
        <v>377</v>
      </c>
      <c r="I63" s="221" t="s">
        <v>377</v>
      </c>
      <c r="J63" s="221" t="s">
        <v>377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0" hidden="1" customHeight="1">
      <c r="A64" s="218" t="s">
        <v>378</v>
      </c>
      <c r="B64" s="219" t="s">
        <v>376</v>
      </c>
      <c r="C64" s="216"/>
      <c r="D64" s="221" t="s">
        <v>377</v>
      </c>
      <c r="E64" s="221" t="s">
        <v>377</v>
      </c>
      <c r="F64" s="221" t="s">
        <v>377</v>
      </c>
      <c r="G64" s="221" t="s">
        <v>377</v>
      </c>
      <c r="H64" s="221" t="s">
        <v>377</v>
      </c>
      <c r="I64" s="221" t="s">
        <v>377</v>
      </c>
      <c r="J64" s="221" t="s">
        <v>377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0" customHeight="1">
      <c r="A65" s="223" t="s">
        <v>379</v>
      </c>
      <c r="B65" s="224" t="s">
        <v>380</v>
      </c>
      <c r="C65" s="216"/>
      <c r="D65" s="221" t="s">
        <v>377</v>
      </c>
      <c r="E65" s="221" t="s">
        <v>377</v>
      </c>
      <c r="F65" s="221" t="s">
        <v>377</v>
      </c>
      <c r="G65" s="221" t="s">
        <v>377</v>
      </c>
      <c r="H65" s="221" t="s">
        <v>377</v>
      </c>
      <c r="I65" s="221" t="s">
        <v>377</v>
      </c>
      <c r="J65" s="221" t="s">
        <v>377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0" customHeight="1">
      <c r="A66" s="223" t="s">
        <v>381</v>
      </c>
      <c r="B66" s="224" t="s">
        <v>382</v>
      </c>
      <c r="C66" s="216"/>
      <c r="D66" s="221" t="s">
        <v>377</v>
      </c>
      <c r="E66" s="221" t="s">
        <v>377</v>
      </c>
      <c r="F66" s="221" t="s">
        <v>377</v>
      </c>
      <c r="G66" s="221" t="s">
        <v>377</v>
      </c>
      <c r="H66" s="221" t="s">
        <v>377</v>
      </c>
      <c r="I66" s="221" t="s">
        <v>377</v>
      </c>
      <c r="J66" s="221" t="s">
        <v>377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0" customHeight="1">
      <c r="A67" s="223" t="s">
        <v>383</v>
      </c>
      <c r="B67" s="224" t="s">
        <v>384</v>
      </c>
      <c r="C67" s="216"/>
      <c r="D67" s="221" t="s">
        <v>377</v>
      </c>
      <c r="E67" s="221" t="s">
        <v>377</v>
      </c>
      <c r="F67" s="221" t="s">
        <v>377</v>
      </c>
      <c r="G67" s="221" t="s">
        <v>377</v>
      </c>
      <c r="H67" s="221" t="s">
        <v>377</v>
      </c>
      <c r="I67" s="221" t="s">
        <v>377</v>
      </c>
      <c r="J67" s="221" t="s">
        <v>377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0" customHeight="1">
      <c r="A68" s="223" t="s">
        <v>385</v>
      </c>
      <c r="B68" s="224" t="s">
        <v>386</v>
      </c>
      <c r="C68" s="216"/>
      <c r="D68" s="221" t="s">
        <v>377</v>
      </c>
      <c r="E68" s="221" t="s">
        <v>377</v>
      </c>
      <c r="F68" s="221" t="s">
        <v>377</v>
      </c>
      <c r="G68" s="221" t="s">
        <v>377</v>
      </c>
      <c r="H68" s="221" t="s">
        <v>377</v>
      </c>
      <c r="I68" s="221" t="s">
        <v>377</v>
      </c>
      <c r="J68" s="221" t="s">
        <v>377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0" customHeight="1">
      <c r="A69" s="223" t="s">
        <v>387</v>
      </c>
      <c r="B69" s="224" t="s">
        <v>388</v>
      </c>
      <c r="C69" s="216"/>
      <c r="D69" s="221" t="s">
        <v>377</v>
      </c>
      <c r="E69" s="221" t="s">
        <v>377</v>
      </c>
      <c r="F69" s="221" t="s">
        <v>377</v>
      </c>
      <c r="G69" s="221" t="s">
        <v>377</v>
      </c>
      <c r="H69" s="221" t="s">
        <v>377</v>
      </c>
      <c r="I69" s="221" t="s">
        <v>377</v>
      </c>
      <c r="J69" s="228" t="s">
        <v>377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0" customHeight="1">
      <c r="A70" s="229" t="s">
        <v>389</v>
      </c>
      <c r="B70" s="230" t="s">
        <v>390</v>
      </c>
      <c r="C70" s="231"/>
      <c r="D70" s="232" t="s">
        <v>377</v>
      </c>
      <c r="E70" s="232" t="s">
        <v>377</v>
      </c>
      <c r="F70" s="232" t="s">
        <v>377</v>
      </c>
      <c r="G70" s="232" t="s">
        <v>377</v>
      </c>
      <c r="H70" s="232" t="s">
        <v>377</v>
      </c>
      <c r="I70" s="232" t="s">
        <v>377</v>
      </c>
      <c r="J70" s="234" t="s">
        <v>377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235" t="s">
        <v>391</v>
      </c>
      <c r="B72" s="235"/>
      <c r="C72" s="235"/>
      <c r="D72" s="235"/>
      <c r="E72" s="235"/>
      <c r="F72" s="235"/>
      <c r="G72" s="235"/>
      <c r="H72" s="235"/>
      <c r="I72" s="235"/>
      <c r="J72" s="235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239" t="s">
        <v>392</v>
      </c>
      <c r="B73" s="240"/>
      <c r="C73" s="240"/>
      <c r="D73" s="240"/>
      <c r="E73" s="240"/>
      <c r="F73" s="235"/>
      <c r="G73" s="235"/>
      <c r="H73" s="235"/>
      <c r="I73" s="235"/>
      <c r="J73" s="235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241" t="s">
        <v>393</v>
      </c>
      <c r="B74" s="242"/>
      <c r="C74" s="242"/>
      <c r="D74" s="242"/>
      <c r="E74" s="240"/>
      <c r="F74" s="235"/>
      <c r="G74" s="235"/>
      <c r="H74" s="235"/>
      <c r="I74" s="235"/>
      <c r="J74" s="235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243" t="s">
        <v>394</v>
      </c>
      <c r="B75" s="243"/>
      <c r="C75" s="243"/>
      <c r="D75" s="243"/>
      <c r="E75" s="243"/>
      <c r="F75" s="235"/>
      <c r="G75" s="235"/>
      <c r="H75" s="235"/>
      <c r="I75" s="235"/>
      <c r="J75" s="235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235" t="s">
        <v>395</v>
      </c>
      <c r="B76" s="235"/>
      <c r="C76" s="235"/>
      <c r="D76" s="235"/>
      <c r="E76" s="235"/>
      <c r="F76" s="235"/>
      <c r="G76" s="235"/>
      <c r="H76" s="235"/>
      <c r="I76" s="235"/>
      <c r="J76" s="23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235" t="s">
        <v>396</v>
      </c>
      <c r="B77" s="235"/>
      <c r="C77" s="235"/>
      <c r="D77" s="235"/>
      <c r="E77" s="235"/>
      <c r="F77" s="235"/>
      <c r="G77" s="235"/>
      <c r="H77" s="235"/>
      <c r="I77" s="235"/>
      <c r="J77" s="23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235" t="s">
        <v>397</v>
      </c>
      <c r="B78" s="235"/>
      <c r="C78" s="235"/>
      <c r="D78" s="235"/>
      <c r="E78" s="235"/>
      <c r="F78" s="235"/>
      <c r="G78" s="235"/>
      <c r="H78" s="235"/>
      <c r="I78" s="235"/>
      <c r="J78" s="235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235" t="s">
        <v>398</v>
      </c>
      <c r="B79" s="235"/>
      <c r="C79" s="235"/>
      <c r="D79" s="235"/>
      <c r="E79" s="235"/>
      <c r="F79" s="235"/>
      <c r="G79" s="235"/>
      <c r="H79" s="235"/>
      <c r="I79" s="235"/>
      <c r="J79" s="23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235" t="s">
        <v>399</v>
      </c>
      <c r="B80" s="235"/>
      <c r="C80" s="235"/>
      <c r="D80" s="235"/>
      <c r="E80" s="235"/>
      <c r="F80" s="235"/>
      <c r="G80" s="235"/>
      <c r="H80" s="235"/>
      <c r="I80" s="235"/>
      <c r="J80" s="235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245" t="s">
        <v>400</v>
      </c>
      <c r="B83" s="246"/>
      <c r="C83" s="246"/>
      <c r="D83" s="246"/>
      <c r="E83" s="247"/>
      <c r="F83" s="247"/>
      <c r="G83" s="248"/>
      <c r="H83" s="248"/>
      <c r="I83" s="24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249" t="s">
        <v>401</v>
      </c>
      <c r="B84" s="247"/>
      <c r="C84" s="247"/>
      <c r="D84" s="247"/>
      <c r="E84" s="247"/>
      <c r="F84" s="247"/>
      <c r="G84" s="248"/>
      <c r="H84" s="248"/>
      <c r="I84" s="24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249" t="s">
        <v>402</v>
      </c>
      <c r="B85" s="247"/>
      <c r="C85" s="247"/>
      <c r="D85" s="247"/>
      <c r="E85" s="247"/>
      <c r="F85" s="247"/>
      <c r="G85" s="248"/>
      <c r="H85" s="248"/>
      <c r="I85" s="24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253"/>
      <c r="B86" s="253"/>
      <c r="C86" s="253"/>
      <c r="D86" s="253"/>
      <c r="E86" s="253"/>
      <c r="F86" s="253"/>
      <c r="G86" s="248"/>
      <c r="H86" s="248"/>
      <c r="I86" s="24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254" t="s">
        <v>403</v>
      </c>
      <c r="B87" s="255" t="s">
        <v>404</v>
      </c>
      <c r="C87" s="255" t="s">
        <v>405</v>
      </c>
      <c r="D87" s="256" t="s">
        <v>406</v>
      </c>
      <c r="E87" s="256" t="s">
        <v>407</v>
      </c>
      <c r="F87" s="256" t="s">
        <v>10</v>
      </c>
      <c r="G87" s="248"/>
      <c r="H87" s="248"/>
      <c r="I87" s="24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257" t="s">
        <v>408</v>
      </c>
      <c r="B88" s="258" t="s">
        <v>409</v>
      </c>
      <c r="C88" s="259" t="s">
        <v>410</v>
      </c>
      <c r="D88" s="33"/>
      <c r="E88" s="35"/>
      <c r="F88" s="260"/>
      <c r="G88" s="248"/>
      <c r="H88" s="248"/>
      <c r="I88" s="24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261"/>
      <c r="B89" s="258" t="s">
        <v>411</v>
      </c>
      <c r="C89" s="262" t="s">
        <v>412</v>
      </c>
      <c r="D89" s="262" t="s">
        <v>413</v>
      </c>
      <c r="E89" s="262" t="s">
        <v>413</v>
      </c>
      <c r="F89" s="260"/>
      <c r="G89" s="248"/>
      <c r="H89" s="248"/>
      <c r="I89" s="24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261"/>
      <c r="B90" s="258" t="s">
        <v>414</v>
      </c>
      <c r="C90" s="262" t="s">
        <v>415</v>
      </c>
      <c r="D90" s="262" t="s">
        <v>412</v>
      </c>
      <c r="E90" s="262" t="s">
        <v>412</v>
      </c>
      <c r="F90" s="260"/>
      <c r="G90" s="248"/>
      <c r="H90" s="248"/>
      <c r="I90" s="24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261"/>
      <c r="B91" s="258" t="s">
        <v>416</v>
      </c>
      <c r="C91" s="262" t="s">
        <v>415</v>
      </c>
      <c r="D91" s="262" t="s">
        <v>412</v>
      </c>
      <c r="E91" s="262" t="s">
        <v>412</v>
      </c>
      <c r="F91" s="260"/>
      <c r="G91" s="248"/>
      <c r="H91" s="248"/>
      <c r="I91" s="24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261"/>
      <c r="B92" s="258" t="s">
        <v>417</v>
      </c>
      <c r="C92" s="265" t="s">
        <v>412</v>
      </c>
      <c r="D92" s="265" t="s">
        <v>413</v>
      </c>
      <c r="E92" s="265" t="s">
        <v>413</v>
      </c>
      <c r="F92" s="260"/>
      <c r="G92" s="248"/>
      <c r="H92" s="248"/>
      <c r="I92" s="24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261"/>
      <c r="B93" s="258" t="s">
        <v>418</v>
      </c>
      <c r="C93" s="262" t="s">
        <v>415</v>
      </c>
      <c r="D93" s="262" t="s">
        <v>412</v>
      </c>
      <c r="E93" s="262" t="s">
        <v>412</v>
      </c>
      <c r="F93" s="260"/>
      <c r="G93" s="248"/>
      <c r="H93" s="248"/>
      <c r="I93" s="24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261"/>
      <c r="B94" s="258" t="s">
        <v>419</v>
      </c>
      <c r="C94" s="259" t="s">
        <v>410</v>
      </c>
      <c r="D94" s="33"/>
      <c r="E94" s="35"/>
      <c r="F94" s="260"/>
      <c r="G94" s="248"/>
      <c r="H94" s="248"/>
      <c r="I94" s="24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261"/>
      <c r="B95" s="258" t="s">
        <v>420</v>
      </c>
      <c r="C95" s="262" t="s">
        <v>415</v>
      </c>
      <c r="D95" s="262" t="s">
        <v>412</v>
      </c>
      <c r="E95" s="262" t="s">
        <v>412</v>
      </c>
      <c r="F95" s="260"/>
      <c r="G95" s="248"/>
      <c r="H95" s="248"/>
      <c r="I95" s="24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268"/>
      <c r="B96" s="258" t="s">
        <v>421</v>
      </c>
      <c r="C96" s="262" t="s">
        <v>415</v>
      </c>
      <c r="D96" s="262" t="s">
        <v>412</v>
      </c>
      <c r="E96" s="262" t="s">
        <v>412</v>
      </c>
      <c r="F96" s="260"/>
      <c r="G96" s="248"/>
      <c r="H96" s="248"/>
      <c r="I96" s="24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269" t="s">
        <v>422</v>
      </c>
      <c r="B97" s="270"/>
      <c r="C97" s="270"/>
      <c r="D97" s="270"/>
      <c r="E97" s="270"/>
      <c r="F97" s="271"/>
      <c r="G97" s="248"/>
      <c r="H97" s="248"/>
      <c r="I97" s="24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253"/>
      <c r="B98" s="253"/>
      <c r="C98" s="272"/>
      <c r="D98" s="273"/>
      <c r="E98" s="253"/>
      <c r="F98" s="253"/>
      <c r="G98" s="248"/>
      <c r="H98" s="248"/>
      <c r="I98" s="24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254" t="s">
        <v>423</v>
      </c>
      <c r="B99" s="255" t="s">
        <v>424</v>
      </c>
      <c r="C99" s="255" t="s">
        <v>405</v>
      </c>
      <c r="D99" s="256" t="s">
        <v>406</v>
      </c>
      <c r="E99" s="256" t="s">
        <v>407</v>
      </c>
      <c r="F99" s="256" t="s">
        <v>10</v>
      </c>
      <c r="G99" s="248"/>
      <c r="H99" s="248"/>
      <c r="I99" s="24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274" t="s">
        <v>425</v>
      </c>
      <c r="B100" s="258" t="s">
        <v>426</v>
      </c>
      <c r="C100" s="275" t="s">
        <v>427</v>
      </c>
      <c r="D100" s="275" t="s">
        <v>428</v>
      </c>
      <c r="E100" s="275" t="s">
        <v>428</v>
      </c>
      <c r="F100" s="260"/>
      <c r="G100" s="248"/>
      <c r="H100" s="248"/>
      <c r="I100" s="24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261"/>
      <c r="B101" s="258" t="s">
        <v>429</v>
      </c>
      <c r="C101" s="275" t="s">
        <v>430</v>
      </c>
      <c r="D101" s="275" t="s">
        <v>427</v>
      </c>
      <c r="E101" s="275" t="s">
        <v>427</v>
      </c>
      <c r="F101" s="260"/>
      <c r="G101" s="248"/>
      <c r="H101" s="248"/>
      <c r="I101" s="24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261"/>
      <c r="B102" s="258" t="s">
        <v>431</v>
      </c>
      <c r="C102" s="275" t="s">
        <v>432</v>
      </c>
      <c r="D102" s="275" t="s">
        <v>433</v>
      </c>
      <c r="E102" s="275" t="s">
        <v>433</v>
      </c>
      <c r="F102" s="260"/>
      <c r="G102" s="248"/>
      <c r="H102" s="248"/>
      <c r="I102" s="24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268"/>
      <c r="B103" s="258" t="s">
        <v>434</v>
      </c>
      <c r="C103" s="275" t="s">
        <v>435</v>
      </c>
      <c r="D103" s="275" t="s">
        <v>435</v>
      </c>
      <c r="E103" s="275" t="s">
        <v>435</v>
      </c>
      <c r="F103" s="260"/>
      <c r="G103" s="248"/>
      <c r="H103" s="248"/>
      <c r="I103" s="24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269" t="s">
        <v>422</v>
      </c>
      <c r="B104" s="270"/>
      <c r="C104" s="270"/>
      <c r="D104" s="270"/>
      <c r="E104" s="270"/>
      <c r="F104" s="271"/>
      <c r="G104" s="248"/>
      <c r="H104" s="248"/>
      <c r="I104" s="24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248"/>
      <c r="B105" s="248"/>
      <c r="C105" s="248"/>
      <c r="D105" s="248"/>
      <c r="E105" s="248"/>
      <c r="F105" s="248"/>
      <c r="G105" s="248"/>
      <c r="H105" s="248"/>
      <c r="I105" s="24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278" t="s">
        <v>436</v>
      </c>
      <c r="B106" s="242"/>
      <c r="C106" s="248"/>
      <c r="D106" s="248"/>
      <c r="E106" s="248"/>
      <c r="F106" s="248"/>
      <c r="G106" s="248"/>
      <c r="H106" s="248"/>
      <c r="I106" s="24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248"/>
      <c r="B107" s="248"/>
      <c r="C107" s="248"/>
      <c r="D107" s="248"/>
      <c r="E107" s="248"/>
      <c r="F107" s="248"/>
      <c r="G107" s="248"/>
      <c r="H107" s="248"/>
      <c r="I107" s="24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279" t="s">
        <v>437</v>
      </c>
      <c r="B108" s="280"/>
      <c r="C108" s="280"/>
      <c r="D108" s="280"/>
      <c r="E108" s="248"/>
      <c r="F108" s="281"/>
      <c r="H108" s="281"/>
      <c r="I108" s="282" t="s">
        <v>438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248"/>
      <c r="B109" s="248"/>
      <c r="C109" s="248"/>
      <c r="D109" s="248"/>
      <c r="E109" s="248"/>
      <c r="F109" s="281"/>
      <c r="H109" s="28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283" t="s">
        <v>439</v>
      </c>
      <c r="B110" s="284"/>
      <c r="C110" s="285" t="s">
        <v>440</v>
      </c>
      <c r="D110" s="216"/>
      <c r="E110" s="248"/>
      <c r="F110" s="283" t="s">
        <v>441</v>
      </c>
      <c r="G110" s="286"/>
      <c r="H110" s="286"/>
      <c r="I110" s="21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287" t="s">
        <v>442</v>
      </c>
      <c r="B111" s="216"/>
      <c r="C111" s="288" t="s">
        <v>443</v>
      </c>
      <c r="D111" s="216"/>
      <c r="E111" s="248"/>
      <c r="F111" s="287" t="s">
        <v>442</v>
      </c>
      <c r="G111" s="216"/>
      <c r="H111" s="289" t="s">
        <v>444</v>
      </c>
      <c r="I111" s="21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287" t="s">
        <v>445</v>
      </c>
      <c r="B112" s="216"/>
      <c r="C112" s="290" t="s">
        <v>445</v>
      </c>
      <c r="D112" s="216"/>
      <c r="E112" s="248"/>
      <c r="F112" s="287" t="s">
        <v>445</v>
      </c>
      <c r="G112" s="216"/>
      <c r="H112" s="287" t="s">
        <v>445</v>
      </c>
      <c r="I112" s="21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291" t="s">
        <v>446</v>
      </c>
      <c r="B113" s="286"/>
      <c r="C113" s="292">
        <v>600.0</v>
      </c>
      <c r="D113" s="216"/>
      <c r="E113" s="248"/>
      <c r="F113" s="291" t="s">
        <v>447</v>
      </c>
      <c r="G113" s="286"/>
      <c r="H113" s="286"/>
      <c r="I113" s="21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291" t="s">
        <v>448</v>
      </c>
      <c r="B114" s="216"/>
      <c r="C114" s="293" t="s">
        <v>449</v>
      </c>
      <c r="D114" s="216"/>
      <c r="E114" s="248"/>
      <c r="F114" s="291" t="s">
        <v>450</v>
      </c>
      <c r="G114" s="216"/>
      <c r="H114" s="294">
        <v>10500.0</v>
      </c>
      <c r="I114" s="21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291" t="s">
        <v>451</v>
      </c>
      <c r="B115" s="216"/>
      <c r="C115" s="293" t="s">
        <v>449</v>
      </c>
      <c r="D115" s="216"/>
      <c r="E115" s="248"/>
      <c r="F115" s="291" t="s">
        <v>452</v>
      </c>
      <c r="G115" s="216"/>
      <c r="H115" s="294">
        <v>9000.0</v>
      </c>
      <c r="I115" s="21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291" t="s">
        <v>453</v>
      </c>
      <c r="B116" s="216"/>
      <c r="C116" s="293" t="s">
        <v>449</v>
      </c>
      <c r="D116" s="216"/>
      <c r="E116" s="248"/>
      <c r="F116" s="291" t="s">
        <v>454</v>
      </c>
      <c r="G116" s="216"/>
      <c r="H116" s="294">
        <v>7500.0</v>
      </c>
      <c r="I116" s="21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248"/>
      <c r="B117" s="248"/>
      <c r="C117" s="248"/>
      <c r="D117" s="248"/>
      <c r="E117" s="248"/>
      <c r="F117" s="291" t="s">
        <v>455</v>
      </c>
      <c r="G117" s="216"/>
      <c r="H117" s="294">
        <v>6000.0</v>
      </c>
      <c r="I117" s="21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248"/>
      <c r="B118" s="248"/>
      <c r="C118" s="248"/>
      <c r="D118" s="248"/>
      <c r="E118" s="248"/>
      <c r="F118" s="291" t="s">
        <v>456</v>
      </c>
      <c r="G118" s="216"/>
      <c r="H118" s="294">
        <v>4600.0</v>
      </c>
      <c r="I118" s="21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248"/>
      <c r="B119" s="248"/>
      <c r="C119" s="248"/>
      <c r="D119" s="248"/>
      <c r="E119" s="248"/>
      <c r="F119" s="291" t="s">
        <v>457</v>
      </c>
      <c r="G119" s="216"/>
      <c r="H119" s="294">
        <v>3100.0</v>
      </c>
      <c r="I119" s="21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248"/>
      <c r="B120" s="248"/>
      <c r="C120" s="248"/>
      <c r="D120" s="248"/>
      <c r="E120" s="248"/>
      <c r="F120" s="297" t="s">
        <v>458</v>
      </c>
      <c r="G120" s="216"/>
      <c r="H120" s="298">
        <v>2600.0</v>
      </c>
      <c r="I120" s="21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248"/>
      <c r="B121" s="248"/>
      <c r="C121" s="248"/>
      <c r="D121" s="248"/>
      <c r="E121" s="248"/>
      <c r="F121" s="297" t="s">
        <v>459</v>
      </c>
      <c r="G121" s="216"/>
      <c r="H121" s="298">
        <v>600.0</v>
      </c>
      <c r="I121" s="21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248"/>
      <c r="B122" s="248"/>
      <c r="C122" s="248"/>
      <c r="D122" s="248"/>
      <c r="E122" s="248"/>
      <c r="F122" s="248"/>
      <c r="G122" s="248"/>
      <c r="H122" s="281"/>
      <c r="I122" s="301" t="s">
        <v>460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</sheetData>
  <mergeCells count="67">
    <mergeCell ref="C111:D111"/>
    <mergeCell ref="F111:G111"/>
    <mergeCell ref="F112:G112"/>
    <mergeCell ref="H112:I112"/>
    <mergeCell ref="F113:I113"/>
    <mergeCell ref="F114:G114"/>
    <mergeCell ref="H114:I114"/>
    <mergeCell ref="A111:B111"/>
    <mergeCell ref="A112:B112"/>
    <mergeCell ref="C112:D112"/>
    <mergeCell ref="A113:B113"/>
    <mergeCell ref="C113:D113"/>
    <mergeCell ref="A114:B114"/>
    <mergeCell ref="C114:D114"/>
    <mergeCell ref="A1:J2"/>
    <mergeCell ref="D4:F4"/>
    <mergeCell ref="G4:H4"/>
    <mergeCell ref="I4:J4"/>
    <mergeCell ref="B5:B6"/>
    <mergeCell ref="C5:C6"/>
    <mergeCell ref="A7:A38"/>
    <mergeCell ref="A39:A42"/>
    <mergeCell ref="A43:A49"/>
    <mergeCell ref="L44:N44"/>
    <mergeCell ref="A51:A54"/>
    <mergeCell ref="A59:J59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A88:A96"/>
    <mergeCell ref="C88:E88"/>
    <mergeCell ref="C94:E94"/>
    <mergeCell ref="A97:F97"/>
    <mergeCell ref="C98:D98"/>
    <mergeCell ref="A100:A103"/>
    <mergeCell ref="A104:F104"/>
    <mergeCell ref="F108:G108"/>
    <mergeCell ref="F109:G109"/>
    <mergeCell ref="H109:I109"/>
    <mergeCell ref="C110:D110"/>
    <mergeCell ref="F110:I110"/>
    <mergeCell ref="H111:I111"/>
    <mergeCell ref="A115:B115"/>
    <mergeCell ref="C115:D115"/>
    <mergeCell ref="F115:G115"/>
    <mergeCell ref="H115:I115"/>
    <mergeCell ref="F118:G118"/>
    <mergeCell ref="F119:G119"/>
    <mergeCell ref="H119:I119"/>
    <mergeCell ref="F120:G120"/>
    <mergeCell ref="H120:I120"/>
    <mergeCell ref="F121:G121"/>
    <mergeCell ref="H121:I121"/>
    <mergeCell ref="A116:B116"/>
    <mergeCell ref="C116:D116"/>
    <mergeCell ref="F116:G116"/>
    <mergeCell ref="H116:I116"/>
    <mergeCell ref="F117:G117"/>
    <mergeCell ref="H117:I117"/>
    <mergeCell ref="H118:I118"/>
  </mergeCells>
  <printOptions/>
  <pageMargins bottom="0.35433070866141736" footer="0.0" header="0.0" left="0.31496062992125984" right="0.31496062992125984" top="0.3543307086614173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22.57"/>
    <col customWidth="1" min="2" max="2" width="39.57"/>
    <col customWidth="1" min="3" max="3" width="25.86"/>
    <col customWidth="1" min="4" max="6" width="15.43"/>
    <col customWidth="1" min="7" max="7" width="21.43"/>
    <col customWidth="1" min="8" max="8" width="17.57"/>
    <col customWidth="1" min="9" max="9" width="21.0"/>
    <col customWidth="1" min="10" max="10" width="23.14"/>
    <col customWidth="1" min="11" max="11" width="3.43"/>
    <col customWidth="1" hidden="1" min="12" max="14" width="8.86"/>
    <col customWidth="1" hidden="1" min="15" max="15" width="2.43"/>
    <col customWidth="1" hidden="1" min="16" max="16" width="5.57"/>
    <col customWidth="1" hidden="1" min="17" max="17" width="8.86"/>
    <col customWidth="1" min="18" max="18" width="8.86"/>
    <col customWidth="1" min="19" max="19" width="1.57"/>
    <col customWidth="1" min="20" max="26" width="8.86"/>
  </cols>
  <sheetData>
    <row r="1" ht="23.2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1.5" customHeight="1">
      <c r="A2" s="10"/>
      <c r="B2" s="11"/>
      <c r="C2" s="11"/>
      <c r="D2" s="11"/>
      <c r="E2" s="11"/>
      <c r="F2" s="11"/>
      <c r="G2" s="11"/>
      <c r="H2" s="11"/>
      <c r="I2" s="11"/>
      <c r="J2" s="1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0.25" customHeight="1">
      <c r="A3" s="16"/>
      <c r="B3" s="18"/>
      <c r="C3" s="18"/>
      <c r="D3" s="18"/>
      <c r="E3" s="18"/>
      <c r="F3" s="18"/>
      <c r="G3" s="18"/>
      <c r="H3" s="18"/>
      <c r="I3" s="23" t="s">
        <v>11</v>
      </c>
      <c r="J3" s="34">
        <f>'ex NEA to AUBNE_AUMEL'!J3</f>
        <v>46258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0" customHeight="1">
      <c r="A4" s="28" t="s">
        <v>35</v>
      </c>
      <c r="B4" s="38" t="str">
        <f>'ex NEA to AUBNE_AUMEL'!B4</f>
        <v>01 Sept to 14 Sept 2026</v>
      </c>
      <c r="C4" s="31"/>
      <c r="D4" s="32" t="s">
        <v>87</v>
      </c>
      <c r="E4" s="33"/>
      <c r="F4" s="35"/>
      <c r="G4" s="32" t="s">
        <v>87</v>
      </c>
      <c r="H4" s="35"/>
      <c r="I4" s="32" t="s">
        <v>87</v>
      </c>
      <c r="J4" s="3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75" customHeight="1">
      <c r="A5" s="36"/>
      <c r="B5" s="37" t="s">
        <v>75</v>
      </c>
      <c r="C5" s="39" t="s">
        <v>79</v>
      </c>
      <c r="D5" s="40" t="s">
        <v>83</v>
      </c>
      <c r="E5" s="41" t="s">
        <v>88</v>
      </c>
      <c r="F5" s="42" t="s">
        <v>93</v>
      </c>
      <c r="G5" s="43" t="s">
        <v>97</v>
      </c>
      <c r="H5" s="44" t="s">
        <v>100</v>
      </c>
      <c r="I5" s="58" t="s">
        <v>102</v>
      </c>
      <c r="J5" s="46" t="s">
        <v>107</v>
      </c>
      <c r="K5" s="47"/>
      <c r="L5" s="47" t="s">
        <v>116</v>
      </c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24.75" customHeight="1">
      <c r="A6" s="49"/>
      <c r="B6" s="50"/>
      <c r="C6" s="51"/>
      <c r="D6" s="52" t="s">
        <v>129</v>
      </c>
      <c r="E6" s="53" t="s">
        <v>129</v>
      </c>
      <c r="F6" s="54" t="s">
        <v>129</v>
      </c>
      <c r="G6" s="52" t="s">
        <v>129</v>
      </c>
      <c r="H6" s="54" t="s">
        <v>129</v>
      </c>
      <c r="I6" s="52" t="s">
        <v>129</v>
      </c>
      <c r="J6" s="54" t="s">
        <v>129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57" t="s">
        <v>147</v>
      </c>
      <c r="B7" s="59" t="s">
        <v>155</v>
      </c>
      <c r="C7" s="60" t="s">
        <v>159</v>
      </c>
      <c r="D7" s="80">
        <f>'ex NEA to AUBNE_AUMEL'!D7</f>
        <v>2400</v>
      </c>
      <c r="E7" s="84">
        <f>'ex NEA to AUBNE_AUMEL'!E7</f>
        <v>4800</v>
      </c>
      <c r="F7" s="87">
        <f t="shared" ref="F7:F9" si="1">E7</f>
        <v>4800</v>
      </c>
      <c r="G7" s="72">
        <f>D7+150</f>
        <v>2550</v>
      </c>
      <c r="H7" s="72">
        <f t="shared" ref="H7:H10" si="2">E7+300</f>
        <v>5100</v>
      </c>
      <c r="I7" s="97">
        <f>'ex NEA to AUBNE_AUMEL'!I7+50</f>
        <v>1800</v>
      </c>
      <c r="J7" s="102">
        <f>'ex NEA to AUBNE_AUMEL'!J7+100</f>
        <v>3600</v>
      </c>
      <c r="K7" s="7"/>
      <c r="L7" s="7"/>
      <c r="M7" s="7"/>
      <c r="N7" s="7"/>
      <c r="O7" s="7"/>
      <c r="P7" s="7"/>
      <c r="Q7" s="76"/>
      <c r="R7" s="76"/>
      <c r="S7" s="76"/>
      <c r="T7" s="76"/>
      <c r="U7" s="7"/>
      <c r="V7" s="7"/>
      <c r="W7" s="7"/>
      <c r="X7" s="7"/>
      <c r="Y7" s="7"/>
      <c r="Z7" s="7"/>
    </row>
    <row r="8" ht="14.25" customHeight="1">
      <c r="A8" s="78"/>
      <c r="B8" s="79" t="s">
        <v>212</v>
      </c>
      <c r="C8" s="81" t="s">
        <v>215</v>
      </c>
      <c r="D8" s="68">
        <f>D7</f>
        <v>2400</v>
      </c>
      <c r="E8" s="100">
        <f>'ex NEA to AUBNE_AUMEL'!E8</f>
        <v>4800</v>
      </c>
      <c r="F8" s="72">
        <f t="shared" si="1"/>
        <v>4800</v>
      </c>
      <c r="G8" s="72">
        <f>G7</f>
        <v>2550</v>
      </c>
      <c r="H8" s="72">
        <f t="shared" si="2"/>
        <v>5100</v>
      </c>
      <c r="I8" s="119">
        <f>'ex NEA to AUBNE_AUMEL'!I8+50</f>
        <v>1800</v>
      </c>
      <c r="J8" s="123">
        <f>'ex NEA to AUBNE_AUMEL'!J8+100</f>
        <v>3600</v>
      </c>
      <c r="K8" s="7"/>
      <c r="L8" s="7"/>
      <c r="M8" s="7"/>
      <c r="N8" s="7"/>
      <c r="O8" s="7"/>
      <c r="P8" s="7"/>
      <c r="Q8" s="76"/>
      <c r="R8" s="76"/>
      <c r="S8" s="76"/>
      <c r="T8" s="7"/>
      <c r="U8" s="7"/>
      <c r="V8" s="7"/>
      <c r="W8" s="7"/>
      <c r="X8" s="7"/>
      <c r="Y8" s="7"/>
      <c r="Z8" s="7"/>
    </row>
    <row r="9" ht="14.25" customHeight="1">
      <c r="A9" s="78"/>
      <c r="B9" s="79" t="s">
        <v>249</v>
      </c>
      <c r="C9" s="94" t="s">
        <v>251</v>
      </c>
      <c r="D9" s="68">
        <f>D7</f>
        <v>2400</v>
      </c>
      <c r="E9" s="100">
        <f>'ex NEA to AUBNE_AUMEL'!E9</f>
        <v>4800</v>
      </c>
      <c r="F9" s="72">
        <f t="shared" si="1"/>
        <v>4800</v>
      </c>
      <c r="G9" s="72">
        <f>G7</f>
        <v>2550</v>
      </c>
      <c r="H9" s="72">
        <f t="shared" si="2"/>
        <v>5100</v>
      </c>
      <c r="I9" s="119">
        <f>'ex NEA to AUBNE_AUMEL'!I9+50</f>
        <v>1800</v>
      </c>
      <c r="J9" s="123">
        <f>'ex NEA to AUBNE_AUMEL'!J9+100</f>
        <v>3600</v>
      </c>
      <c r="K9" s="7"/>
      <c r="L9" s="7"/>
      <c r="M9" s="7"/>
      <c r="N9" s="7"/>
      <c r="O9" s="7"/>
      <c r="P9" s="7"/>
      <c r="Q9" s="76"/>
      <c r="R9" s="76"/>
      <c r="S9" s="76"/>
      <c r="T9" s="7"/>
      <c r="U9" s="7"/>
      <c r="V9" s="7"/>
      <c r="W9" s="7"/>
      <c r="X9" s="7"/>
      <c r="Y9" s="7"/>
      <c r="Z9" s="7"/>
    </row>
    <row r="10" ht="14.25" customHeight="1">
      <c r="A10" s="78"/>
      <c r="B10" s="79" t="s">
        <v>271</v>
      </c>
      <c r="C10" s="98" t="s">
        <v>159</v>
      </c>
      <c r="D10" s="103">
        <f t="shared" ref="D10:F10" si="3">D7+L10</f>
        <v>2600</v>
      </c>
      <c r="E10" s="104">
        <f t="shared" si="3"/>
        <v>5100</v>
      </c>
      <c r="F10" s="105">
        <f t="shared" si="3"/>
        <v>5100</v>
      </c>
      <c r="G10" s="72">
        <f>D10+150</f>
        <v>2750</v>
      </c>
      <c r="H10" s="72">
        <f t="shared" si="2"/>
        <v>5400</v>
      </c>
      <c r="I10" s="136">
        <f>'ex NEA to AUBNE_AUMEL'!I10+50</f>
        <v>2000</v>
      </c>
      <c r="J10" s="137">
        <f>'ex NEA to AUBNE_AUMEL'!J10+100</f>
        <v>3900</v>
      </c>
      <c r="K10" s="7"/>
      <c r="L10" s="113">
        <v>200.0</v>
      </c>
      <c r="M10" s="113">
        <v>300.0</v>
      </c>
      <c r="N10" s="113">
        <v>300.0</v>
      </c>
      <c r="O10" s="92"/>
      <c r="P10" s="117" t="s">
        <v>304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8"/>
      <c r="B11" s="79" t="s">
        <v>306</v>
      </c>
      <c r="C11" s="98" t="s">
        <v>159</v>
      </c>
      <c r="D11" s="103">
        <f t="shared" ref="D11:F11" si="4">D7+L11</f>
        <v>2600</v>
      </c>
      <c r="E11" s="104">
        <f t="shared" si="4"/>
        <v>5100</v>
      </c>
      <c r="F11" s="105">
        <f t="shared" si="4"/>
        <v>5100</v>
      </c>
      <c r="G11" s="120"/>
      <c r="H11" s="121"/>
      <c r="I11" s="138"/>
      <c r="J11" s="139"/>
      <c r="K11" s="7"/>
      <c r="L11" s="113">
        <v>200.0</v>
      </c>
      <c r="M11" s="113">
        <v>300.0</v>
      </c>
      <c r="N11" s="113">
        <v>300.0</v>
      </c>
      <c r="O11" s="125"/>
      <c r="P11" s="117" t="s">
        <v>304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outlineLevel="1">
      <c r="A12" s="78"/>
      <c r="B12" s="128" t="s">
        <v>307</v>
      </c>
      <c r="C12" s="98" t="s">
        <v>215</v>
      </c>
      <c r="D12" s="103">
        <f t="shared" ref="D12:D15" si="5">$D$8+L12</f>
        <v>2800</v>
      </c>
      <c r="E12" s="104">
        <f t="shared" ref="E12:E15" si="6">$E$8+M12</f>
        <v>5500</v>
      </c>
      <c r="F12" s="105">
        <f t="shared" ref="F12:F21" si="7">E12</f>
        <v>5500</v>
      </c>
      <c r="G12" s="120"/>
      <c r="H12" s="121"/>
      <c r="I12" s="138"/>
      <c r="J12" s="139"/>
      <c r="K12" s="7"/>
      <c r="L12" s="125">
        <v>400.0</v>
      </c>
      <c r="M12" s="125">
        <v>700.0</v>
      </c>
      <c r="N12" s="125">
        <v>700.0</v>
      </c>
      <c r="O12" s="135"/>
      <c r="P12" s="117" t="s">
        <v>308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outlineLevel="1">
      <c r="A13" s="78"/>
      <c r="B13" s="128" t="s">
        <v>309</v>
      </c>
      <c r="C13" s="98" t="s">
        <v>215</v>
      </c>
      <c r="D13" s="103">
        <f t="shared" si="5"/>
        <v>2600</v>
      </c>
      <c r="E13" s="104">
        <f t="shared" si="6"/>
        <v>5100</v>
      </c>
      <c r="F13" s="105">
        <f t="shared" si="7"/>
        <v>5100</v>
      </c>
      <c r="G13" s="120"/>
      <c r="H13" s="121"/>
      <c r="I13" s="138"/>
      <c r="J13" s="139"/>
      <c r="K13" s="7"/>
      <c r="L13" s="113">
        <v>200.0</v>
      </c>
      <c r="M13" s="113">
        <v>300.0</v>
      </c>
      <c r="N13" s="113">
        <v>300.0</v>
      </c>
      <c r="O13" s="135"/>
      <c r="P13" s="117" t="s">
        <v>308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outlineLevel="1">
      <c r="A14" s="78"/>
      <c r="B14" s="128" t="s">
        <v>310</v>
      </c>
      <c r="C14" s="98" t="s">
        <v>215</v>
      </c>
      <c r="D14" s="103">
        <f t="shared" si="5"/>
        <v>2650</v>
      </c>
      <c r="E14" s="104">
        <f t="shared" si="6"/>
        <v>5200</v>
      </c>
      <c r="F14" s="105">
        <f t="shared" si="7"/>
        <v>5200</v>
      </c>
      <c r="G14" s="120"/>
      <c r="H14" s="121"/>
      <c r="I14" s="138"/>
      <c r="J14" s="139"/>
      <c r="K14" s="7"/>
      <c r="L14" s="125">
        <v>250.0</v>
      </c>
      <c r="M14" s="125">
        <v>400.0</v>
      </c>
      <c r="N14" s="125">
        <v>400.0</v>
      </c>
      <c r="O14" s="135"/>
      <c r="P14" s="117" t="s">
        <v>308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outlineLevel="1">
      <c r="A15" s="78"/>
      <c r="B15" s="128" t="s">
        <v>311</v>
      </c>
      <c r="C15" s="98" t="s">
        <v>215</v>
      </c>
      <c r="D15" s="103">
        <f t="shared" si="5"/>
        <v>3600</v>
      </c>
      <c r="E15" s="104">
        <f t="shared" si="6"/>
        <v>6700</v>
      </c>
      <c r="F15" s="105">
        <f t="shared" si="7"/>
        <v>6700</v>
      </c>
      <c r="G15" s="120"/>
      <c r="H15" s="121"/>
      <c r="I15" s="138"/>
      <c r="J15" s="139"/>
      <c r="K15" s="7"/>
      <c r="L15" s="125">
        <v>1200.0</v>
      </c>
      <c r="M15" s="125">
        <v>1900.0</v>
      </c>
      <c r="N15" s="125">
        <v>1900.0</v>
      </c>
      <c r="O15" s="125"/>
      <c r="P15" s="117" t="s">
        <v>308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outlineLevel="1">
      <c r="A16" s="78"/>
      <c r="B16" s="130" t="s">
        <v>312</v>
      </c>
      <c r="C16" s="98" t="s">
        <v>159</v>
      </c>
      <c r="D16" s="131"/>
      <c r="E16" s="133">
        <f>E44+M16</f>
        <v>5850</v>
      </c>
      <c r="F16" s="134">
        <f t="shared" si="7"/>
        <v>5850</v>
      </c>
      <c r="G16" s="120"/>
      <c r="H16" s="121"/>
      <c r="I16" s="138"/>
      <c r="J16" s="139"/>
      <c r="K16" s="7"/>
      <c r="L16" s="125"/>
      <c r="M16" s="125">
        <v>1050.0</v>
      </c>
      <c r="N16" s="125">
        <v>1050.0</v>
      </c>
      <c r="O16" s="125"/>
      <c r="P16" s="11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outlineLevel="1">
      <c r="A17" s="78"/>
      <c r="B17" s="128" t="s">
        <v>314</v>
      </c>
      <c r="C17" s="98" t="s">
        <v>215</v>
      </c>
      <c r="D17" s="103">
        <f>$D$8+L17</f>
        <v>2750</v>
      </c>
      <c r="E17" s="104">
        <f>$E$8+M17</f>
        <v>5700</v>
      </c>
      <c r="F17" s="105">
        <f t="shared" si="7"/>
        <v>5700</v>
      </c>
      <c r="G17" s="120"/>
      <c r="H17" s="121"/>
      <c r="I17" s="138"/>
      <c r="J17" s="139"/>
      <c r="K17" s="7"/>
      <c r="L17" s="125">
        <v>350.0</v>
      </c>
      <c r="M17" s="125">
        <v>900.0</v>
      </c>
      <c r="N17" s="125">
        <v>900.0</v>
      </c>
      <c r="O17" s="135"/>
      <c r="P17" s="117" t="s">
        <v>308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outlineLevel="1">
      <c r="A18" s="78"/>
      <c r="B18" s="130" t="s">
        <v>315</v>
      </c>
      <c r="C18" s="98" t="s">
        <v>159</v>
      </c>
      <c r="D18" s="103">
        <f>D44+1000</f>
        <v>3400</v>
      </c>
      <c r="E18" s="104">
        <f>E44+950</f>
        <v>5750</v>
      </c>
      <c r="F18" s="105">
        <f t="shared" si="7"/>
        <v>5750</v>
      </c>
      <c r="G18" s="120"/>
      <c r="H18" s="121"/>
      <c r="I18" s="138"/>
      <c r="J18" s="139"/>
      <c r="K18" s="7"/>
      <c r="L18" s="125"/>
      <c r="M18" s="125"/>
      <c r="N18" s="125"/>
      <c r="O18" s="135"/>
      <c r="P18" s="11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outlineLevel="1">
      <c r="A19" s="78"/>
      <c r="B19" s="130" t="s">
        <v>316</v>
      </c>
      <c r="C19" s="98" t="s">
        <v>159</v>
      </c>
      <c r="D19" s="103">
        <f>D44+900</f>
        <v>3300</v>
      </c>
      <c r="E19" s="104">
        <f>E44+1000</f>
        <v>5800</v>
      </c>
      <c r="F19" s="105">
        <f t="shared" si="7"/>
        <v>5800</v>
      </c>
      <c r="G19" s="120"/>
      <c r="H19" s="121"/>
      <c r="I19" s="138"/>
      <c r="J19" s="139"/>
      <c r="K19" s="7"/>
      <c r="L19" s="125"/>
      <c r="M19" s="125"/>
      <c r="N19" s="125"/>
      <c r="O19" s="135"/>
      <c r="P19" s="11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outlineLevel="1">
      <c r="A20" s="78"/>
      <c r="B20" s="128" t="s">
        <v>317</v>
      </c>
      <c r="C20" s="98" t="s">
        <v>215</v>
      </c>
      <c r="D20" s="103">
        <f t="shared" ref="D20:D21" si="8">$D$8+L20</f>
        <v>2600</v>
      </c>
      <c r="E20" s="104">
        <f t="shared" ref="E20:E21" si="9">$E$8+M20</f>
        <v>5100</v>
      </c>
      <c r="F20" s="105">
        <f t="shared" si="7"/>
        <v>5100</v>
      </c>
      <c r="G20" s="120"/>
      <c r="H20" s="121"/>
      <c r="I20" s="138"/>
      <c r="J20" s="139"/>
      <c r="K20" s="7"/>
      <c r="L20" s="113">
        <v>200.0</v>
      </c>
      <c r="M20" s="113">
        <v>300.0</v>
      </c>
      <c r="N20" s="113">
        <v>300.0</v>
      </c>
      <c r="O20" s="135"/>
      <c r="P20" s="117" t="s">
        <v>308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outlineLevel="1">
      <c r="A21" s="78"/>
      <c r="B21" s="128" t="s">
        <v>318</v>
      </c>
      <c r="C21" s="98" t="s">
        <v>215</v>
      </c>
      <c r="D21" s="103">
        <f t="shared" si="8"/>
        <v>2750</v>
      </c>
      <c r="E21" s="104">
        <f t="shared" si="9"/>
        <v>5350</v>
      </c>
      <c r="F21" s="105">
        <f t="shared" si="7"/>
        <v>5350</v>
      </c>
      <c r="G21" s="120"/>
      <c r="H21" s="121"/>
      <c r="I21" s="138"/>
      <c r="J21" s="139"/>
      <c r="K21" s="7"/>
      <c r="L21" s="140">
        <v>350.0</v>
      </c>
      <c r="M21" s="125">
        <v>550.0</v>
      </c>
      <c r="N21" s="125">
        <v>550.0</v>
      </c>
      <c r="O21" s="125"/>
      <c r="P21" s="117" t="s">
        <v>308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outlineLevel="1">
      <c r="A22" s="78"/>
      <c r="B22" s="130" t="s">
        <v>319</v>
      </c>
      <c r="C22" s="98" t="s">
        <v>215</v>
      </c>
      <c r="D22" s="103">
        <f>D7+100</f>
        <v>2500</v>
      </c>
      <c r="E22" s="104">
        <f t="shared" ref="E22:F22" si="10">E7+150</f>
        <v>4950</v>
      </c>
      <c r="F22" s="105">
        <f t="shared" si="10"/>
        <v>4950</v>
      </c>
      <c r="G22" s="120"/>
      <c r="H22" s="121"/>
      <c r="I22" s="138"/>
      <c r="J22" s="139"/>
      <c r="K22" s="7"/>
      <c r="L22" s="125">
        <v>200.0</v>
      </c>
      <c r="M22" s="125">
        <v>350.0</v>
      </c>
      <c r="N22" s="125">
        <v>350.0</v>
      </c>
      <c r="O22" s="135"/>
      <c r="P22" s="117" t="s">
        <v>304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outlineLevel="1">
      <c r="A23" s="78"/>
      <c r="B23" s="128" t="s">
        <v>320</v>
      </c>
      <c r="C23" s="98" t="s">
        <v>215</v>
      </c>
      <c r="D23" s="103">
        <f>$D$8+L23</f>
        <v>2785</v>
      </c>
      <c r="E23" s="104">
        <f>$E$8+M23</f>
        <v>5450</v>
      </c>
      <c r="F23" s="105">
        <f>E23</f>
        <v>5450</v>
      </c>
      <c r="G23" s="120"/>
      <c r="H23" s="121"/>
      <c r="I23" s="138"/>
      <c r="J23" s="139"/>
      <c r="K23" s="7"/>
      <c r="L23" s="125">
        <v>385.0</v>
      </c>
      <c r="M23" s="125">
        <v>650.0</v>
      </c>
      <c r="N23" s="125">
        <v>650.0</v>
      </c>
      <c r="O23" s="135"/>
      <c r="P23" s="117" t="s">
        <v>308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outlineLevel="1">
      <c r="A24" s="78"/>
      <c r="B24" s="130" t="s">
        <v>321</v>
      </c>
      <c r="C24" s="98" t="s">
        <v>159</v>
      </c>
      <c r="D24" s="104">
        <f>D44+645</f>
        <v>3045</v>
      </c>
      <c r="E24" s="104">
        <f t="shared" ref="E24:F24" si="11">E44+825</f>
        <v>5625</v>
      </c>
      <c r="F24" s="104">
        <f t="shared" si="11"/>
        <v>5625</v>
      </c>
      <c r="G24" s="120"/>
      <c r="H24" s="121"/>
      <c r="I24" s="138"/>
      <c r="J24" s="139"/>
      <c r="K24" s="7"/>
      <c r="L24" s="125"/>
      <c r="M24" s="125"/>
      <c r="N24" s="125"/>
      <c r="O24" s="135"/>
      <c r="P24" s="11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outlineLevel="1">
      <c r="A25" s="78"/>
      <c r="B25" s="130" t="s">
        <v>322</v>
      </c>
      <c r="C25" s="98" t="s">
        <v>215</v>
      </c>
      <c r="D25" s="103">
        <f t="shared" ref="D25:F25" si="12">D7+L25</f>
        <v>2650</v>
      </c>
      <c r="E25" s="104">
        <f t="shared" si="12"/>
        <v>5200</v>
      </c>
      <c r="F25" s="105">
        <f t="shared" si="12"/>
        <v>5200</v>
      </c>
      <c r="G25" s="120"/>
      <c r="H25" s="121"/>
      <c r="I25" s="138"/>
      <c r="J25" s="139"/>
      <c r="K25" s="7"/>
      <c r="L25" s="125">
        <v>250.0</v>
      </c>
      <c r="M25" s="125">
        <v>400.0</v>
      </c>
      <c r="N25" s="125">
        <v>400.0</v>
      </c>
      <c r="O25" s="125"/>
      <c r="P25" s="117" t="s">
        <v>308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outlineLevel="1">
      <c r="A26" s="78"/>
      <c r="B26" s="128" t="s">
        <v>323</v>
      </c>
      <c r="C26" s="98" t="s">
        <v>215</v>
      </c>
      <c r="D26" s="103">
        <f>$D$8+L26</f>
        <v>2650</v>
      </c>
      <c r="E26" s="104">
        <f>$E$8+M26</f>
        <v>5200</v>
      </c>
      <c r="F26" s="105">
        <f t="shared" ref="F26:F44" si="13">E26</f>
        <v>5200</v>
      </c>
      <c r="G26" s="120"/>
      <c r="H26" s="121"/>
      <c r="I26" s="138"/>
      <c r="J26" s="139"/>
      <c r="K26" s="7"/>
      <c r="L26" s="125">
        <v>250.0</v>
      </c>
      <c r="M26" s="125">
        <v>400.0</v>
      </c>
      <c r="N26" s="125">
        <v>400.0</v>
      </c>
      <c r="O26" s="135"/>
      <c r="P26" s="117" t="s">
        <v>308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outlineLevel="1">
      <c r="A27" s="78"/>
      <c r="B27" s="128" t="s">
        <v>324</v>
      </c>
      <c r="C27" s="98" t="s">
        <v>159</v>
      </c>
      <c r="D27" s="129">
        <f>$D$7+L27</f>
        <v>2600</v>
      </c>
      <c r="E27" s="132">
        <f>$E$7+M27</f>
        <v>5100</v>
      </c>
      <c r="F27" s="105">
        <f t="shared" si="13"/>
        <v>5100</v>
      </c>
      <c r="G27" s="120"/>
      <c r="H27" s="121"/>
      <c r="I27" s="138"/>
      <c r="J27" s="139"/>
      <c r="K27" s="7"/>
      <c r="L27" s="113">
        <v>200.0</v>
      </c>
      <c r="M27" s="113">
        <v>300.0</v>
      </c>
      <c r="N27" s="113">
        <v>300.0</v>
      </c>
      <c r="O27" s="125"/>
      <c r="P27" s="117" t="s">
        <v>304</v>
      </c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outlineLevel="1">
      <c r="A28" s="78"/>
      <c r="B28" s="128" t="s">
        <v>325</v>
      </c>
      <c r="C28" s="98" t="s">
        <v>215</v>
      </c>
      <c r="D28" s="129">
        <f t="shared" ref="D28:D29" si="14">$D$8+L28</f>
        <v>2600</v>
      </c>
      <c r="E28" s="132">
        <f t="shared" ref="E28:E29" si="15">$E$8+M28</f>
        <v>5100</v>
      </c>
      <c r="F28" s="105">
        <f t="shared" si="13"/>
        <v>5100</v>
      </c>
      <c r="G28" s="120"/>
      <c r="H28" s="121"/>
      <c r="I28" s="138"/>
      <c r="J28" s="139"/>
      <c r="K28" s="7"/>
      <c r="L28" s="113">
        <v>200.0</v>
      </c>
      <c r="M28" s="113">
        <v>300.0</v>
      </c>
      <c r="N28" s="113">
        <v>300.0</v>
      </c>
      <c r="O28" s="125"/>
      <c r="P28" s="117" t="s">
        <v>308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outlineLevel="1">
      <c r="A29" s="78"/>
      <c r="B29" s="128" t="s">
        <v>326</v>
      </c>
      <c r="C29" s="98" t="s">
        <v>215</v>
      </c>
      <c r="D29" s="129">
        <f t="shared" si="14"/>
        <v>2650</v>
      </c>
      <c r="E29" s="132">
        <f t="shared" si="15"/>
        <v>5200</v>
      </c>
      <c r="F29" s="105">
        <f t="shared" si="13"/>
        <v>5200</v>
      </c>
      <c r="G29" s="120"/>
      <c r="H29" s="121"/>
      <c r="I29" s="138"/>
      <c r="J29" s="139"/>
      <c r="K29" s="7"/>
      <c r="L29" s="125">
        <v>250.0</v>
      </c>
      <c r="M29" s="125">
        <v>400.0</v>
      </c>
      <c r="N29" s="125">
        <v>400.0</v>
      </c>
      <c r="O29" s="125"/>
      <c r="P29" s="117" t="s">
        <v>308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outlineLevel="1">
      <c r="A30" s="78"/>
      <c r="B30" s="128" t="s">
        <v>327</v>
      </c>
      <c r="C30" s="98" t="s">
        <v>159</v>
      </c>
      <c r="D30" s="129">
        <f>$D$9+L30</f>
        <v>2600</v>
      </c>
      <c r="E30" s="132">
        <f>$E$9+M30</f>
        <v>5100</v>
      </c>
      <c r="F30" s="105">
        <f t="shared" si="13"/>
        <v>5100</v>
      </c>
      <c r="G30" s="120"/>
      <c r="H30" s="121"/>
      <c r="I30" s="138"/>
      <c r="J30" s="139"/>
      <c r="K30" s="7"/>
      <c r="L30" s="113">
        <v>200.0</v>
      </c>
      <c r="M30" s="113">
        <v>300.0</v>
      </c>
      <c r="N30" s="113">
        <v>300.0</v>
      </c>
      <c r="O30" s="125"/>
      <c r="P30" s="117" t="s">
        <v>328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outlineLevel="1">
      <c r="A31" s="78"/>
      <c r="B31" s="128" t="s">
        <v>329</v>
      </c>
      <c r="C31" s="98" t="s">
        <v>215</v>
      </c>
      <c r="D31" s="129">
        <f t="shared" ref="D31:D33" si="16">$D$8+L31</f>
        <v>2700</v>
      </c>
      <c r="E31" s="132">
        <f t="shared" ref="E31:E33" si="17">$E$8+M31</f>
        <v>5375</v>
      </c>
      <c r="F31" s="105">
        <f t="shared" si="13"/>
        <v>5375</v>
      </c>
      <c r="G31" s="120"/>
      <c r="H31" s="121"/>
      <c r="I31" s="138"/>
      <c r="J31" s="139"/>
      <c r="K31" s="7"/>
      <c r="L31" s="125">
        <v>300.0</v>
      </c>
      <c r="M31" s="125">
        <v>575.0</v>
      </c>
      <c r="N31" s="125">
        <v>575.0</v>
      </c>
      <c r="O31" s="135"/>
      <c r="P31" s="117" t="s">
        <v>308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outlineLevel="1">
      <c r="A32" s="78"/>
      <c r="B32" s="128" t="s">
        <v>330</v>
      </c>
      <c r="C32" s="98" t="s">
        <v>215</v>
      </c>
      <c r="D32" s="129">
        <f t="shared" si="16"/>
        <v>2700</v>
      </c>
      <c r="E32" s="132">
        <f t="shared" si="17"/>
        <v>5175</v>
      </c>
      <c r="F32" s="105">
        <f t="shared" si="13"/>
        <v>5175</v>
      </c>
      <c r="G32" s="120"/>
      <c r="H32" s="121"/>
      <c r="I32" s="138"/>
      <c r="J32" s="139"/>
      <c r="K32" s="7"/>
      <c r="L32" s="125">
        <v>300.0</v>
      </c>
      <c r="M32" s="125">
        <v>375.0</v>
      </c>
      <c r="N32" s="125">
        <v>375.0</v>
      </c>
      <c r="O32" s="125"/>
      <c r="P32" s="117" t="s">
        <v>308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outlineLevel="1">
      <c r="A33" s="78"/>
      <c r="B33" s="128" t="s">
        <v>331</v>
      </c>
      <c r="C33" s="98" t="s">
        <v>215</v>
      </c>
      <c r="D33" s="129">
        <f t="shared" si="16"/>
        <v>2675</v>
      </c>
      <c r="E33" s="132">
        <f t="shared" si="17"/>
        <v>5175</v>
      </c>
      <c r="F33" s="105">
        <f t="shared" si="13"/>
        <v>5175</v>
      </c>
      <c r="G33" s="120"/>
      <c r="H33" s="121"/>
      <c r="I33" s="138"/>
      <c r="J33" s="139"/>
      <c r="K33" s="7"/>
      <c r="L33" s="125">
        <v>275.0</v>
      </c>
      <c r="M33" s="125">
        <v>375.0</v>
      </c>
      <c r="N33" s="125">
        <v>375.0</v>
      </c>
      <c r="O33" s="125"/>
      <c r="P33" s="117" t="s">
        <v>308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outlineLevel="1">
      <c r="A34" s="78"/>
      <c r="B34" s="128" t="s">
        <v>332</v>
      </c>
      <c r="C34" s="98" t="s">
        <v>159</v>
      </c>
      <c r="D34" s="129">
        <f>$D$7+L34</f>
        <v>2600</v>
      </c>
      <c r="E34" s="132">
        <f>$E$7+M34</f>
        <v>5100</v>
      </c>
      <c r="F34" s="105">
        <f t="shared" si="13"/>
        <v>5100</v>
      </c>
      <c r="G34" s="120"/>
      <c r="H34" s="121"/>
      <c r="I34" s="138"/>
      <c r="J34" s="139"/>
      <c r="K34" s="7"/>
      <c r="L34" s="113">
        <v>200.0</v>
      </c>
      <c r="M34" s="113">
        <v>300.0</v>
      </c>
      <c r="N34" s="113">
        <v>300.0</v>
      </c>
      <c r="O34" s="135"/>
      <c r="P34" s="117" t="s">
        <v>304</v>
      </c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outlineLevel="1">
      <c r="A35" s="78"/>
      <c r="B35" s="128" t="s">
        <v>333</v>
      </c>
      <c r="C35" s="98" t="s">
        <v>215</v>
      </c>
      <c r="D35" s="129">
        <f t="shared" ref="D35:D37" si="18">$D$8+L35</f>
        <v>2675</v>
      </c>
      <c r="E35" s="132">
        <f t="shared" ref="E35:E37" si="19">$E$8+M35</f>
        <v>5475</v>
      </c>
      <c r="F35" s="105">
        <f t="shared" si="13"/>
        <v>5475</v>
      </c>
      <c r="G35" s="120"/>
      <c r="H35" s="121"/>
      <c r="I35" s="138"/>
      <c r="J35" s="139"/>
      <c r="K35" s="7"/>
      <c r="L35" s="125">
        <v>275.0</v>
      </c>
      <c r="M35" s="125">
        <v>675.0</v>
      </c>
      <c r="N35" s="125">
        <v>675.0</v>
      </c>
      <c r="O35" s="135"/>
      <c r="P35" s="117" t="s">
        <v>308</v>
      </c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outlineLevel="1">
      <c r="A36" s="78"/>
      <c r="B36" s="128" t="s">
        <v>334</v>
      </c>
      <c r="C36" s="98" t="s">
        <v>215</v>
      </c>
      <c r="D36" s="129">
        <f t="shared" si="18"/>
        <v>2675</v>
      </c>
      <c r="E36" s="132">
        <f t="shared" si="19"/>
        <v>5175</v>
      </c>
      <c r="F36" s="105">
        <f t="shared" si="13"/>
        <v>5175</v>
      </c>
      <c r="G36" s="120"/>
      <c r="H36" s="121"/>
      <c r="I36" s="138"/>
      <c r="J36" s="139"/>
      <c r="K36" s="7"/>
      <c r="L36" s="125">
        <v>275.0</v>
      </c>
      <c r="M36" s="125">
        <v>375.0</v>
      </c>
      <c r="N36" s="125">
        <v>375.0</v>
      </c>
      <c r="O36" s="125"/>
      <c r="P36" s="117" t="s">
        <v>308</v>
      </c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outlineLevel="1">
      <c r="A37" s="78"/>
      <c r="B37" s="128" t="s">
        <v>335</v>
      </c>
      <c r="C37" s="98" t="s">
        <v>215</v>
      </c>
      <c r="D37" s="129">
        <f t="shared" si="18"/>
        <v>2650</v>
      </c>
      <c r="E37" s="132">
        <f t="shared" si="19"/>
        <v>5150</v>
      </c>
      <c r="F37" s="105">
        <f t="shared" si="13"/>
        <v>5150</v>
      </c>
      <c r="G37" s="120"/>
      <c r="H37" s="121"/>
      <c r="I37" s="138"/>
      <c r="J37" s="139"/>
      <c r="K37" s="7"/>
      <c r="L37" s="125">
        <v>250.0</v>
      </c>
      <c r="M37" s="125">
        <v>350.0</v>
      </c>
      <c r="N37" s="125">
        <v>350.0</v>
      </c>
      <c r="O37" s="135"/>
      <c r="P37" s="117" t="s">
        <v>308</v>
      </c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outlineLevel="1">
      <c r="A38" s="144"/>
      <c r="B38" s="145" t="s">
        <v>336</v>
      </c>
      <c r="C38" s="146" t="s">
        <v>159</v>
      </c>
      <c r="D38" s="147">
        <f>$D$9+L38</f>
        <v>2475</v>
      </c>
      <c r="E38" s="148">
        <f>$E$9+M38</f>
        <v>4925</v>
      </c>
      <c r="F38" s="149">
        <f t="shared" si="13"/>
        <v>4925</v>
      </c>
      <c r="G38" s="150"/>
      <c r="H38" s="151"/>
      <c r="I38" s="138"/>
      <c r="J38" s="139"/>
      <c r="K38" s="7"/>
      <c r="L38" s="125">
        <v>75.0</v>
      </c>
      <c r="M38" s="125">
        <v>125.0</v>
      </c>
      <c r="N38" s="125">
        <v>125.0</v>
      </c>
      <c r="O38" s="125"/>
      <c r="P38" s="117" t="s">
        <v>328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53" t="s">
        <v>337</v>
      </c>
      <c r="B39" s="59" t="s">
        <v>338</v>
      </c>
      <c r="C39" s="154" t="s">
        <v>159</v>
      </c>
      <c r="D39" s="68">
        <f>'ex NEA to AUBNE_AUMEL'!D39</f>
        <v>2550</v>
      </c>
      <c r="E39" s="100">
        <f>'ex NEA to AUBNE_AUMEL'!E39</f>
        <v>5000</v>
      </c>
      <c r="F39" s="87">
        <f t="shared" si="13"/>
        <v>5000</v>
      </c>
      <c r="G39" s="136">
        <f>D39+150</f>
        <v>2700</v>
      </c>
      <c r="H39" s="72">
        <f>E39+300</f>
        <v>5300</v>
      </c>
      <c r="I39" s="119">
        <f>'ex NEA to AUBNE_AUMEL'!I39+50</f>
        <v>1950</v>
      </c>
      <c r="J39" s="123">
        <f>'ex NEA to AUBNE_AUMEL'!J39+100</f>
        <v>3800</v>
      </c>
      <c r="K39" s="7"/>
      <c r="L39" s="7">
        <v>150.0</v>
      </c>
      <c r="M39" s="7">
        <v>200.0</v>
      </c>
      <c r="N39" s="7">
        <v>200.0</v>
      </c>
      <c r="O39" s="7"/>
      <c r="P39" s="7"/>
      <c r="Q39" s="76"/>
      <c r="R39" s="76"/>
      <c r="S39" s="76"/>
      <c r="T39" s="7"/>
      <c r="U39" s="7"/>
      <c r="V39" s="7"/>
      <c r="W39" s="7"/>
      <c r="X39" s="7"/>
      <c r="Y39" s="7"/>
      <c r="Z39" s="7"/>
    </row>
    <row r="40" ht="14.25" customHeight="1" outlineLevel="1">
      <c r="A40" s="78"/>
      <c r="B40" s="128" t="s">
        <v>339</v>
      </c>
      <c r="C40" s="156" t="s">
        <v>159</v>
      </c>
      <c r="D40" s="157">
        <f t="shared" ref="D40:D42" si="20">$D$39+L40</f>
        <v>2650</v>
      </c>
      <c r="E40" s="158">
        <f t="shared" ref="E40:E42" si="21">$E$39+M40</f>
        <v>5200</v>
      </c>
      <c r="F40" s="159">
        <f t="shared" si="13"/>
        <v>5200</v>
      </c>
      <c r="G40" s="160"/>
      <c r="H40" s="161"/>
      <c r="I40" s="138"/>
      <c r="J40" s="139"/>
      <c r="K40" s="7"/>
      <c r="L40" s="125">
        <v>100.0</v>
      </c>
      <c r="M40" s="125">
        <v>200.0</v>
      </c>
      <c r="N40" s="125">
        <v>200.0</v>
      </c>
      <c r="O40" s="125"/>
      <c r="P40" s="11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outlineLevel="1">
      <c r="A41" s="78"/>
      <c r="B41" s="128" t="s">
        <v>340</v>
      </c>
      <c r="C41" s="156" t="s">
        <v>159</v>
      </c>
      <c r="D41" s="157">
        <f t="shared" si="20"/>
        <v>2800</v>
      </c>
      <c r="E41" s="158">
        <f t="shared" si="21"/>
        <v>5500</v>
      </c>
      <c r="F41" s="159">
        <f t="shared" si="13"/>
        <v>5500</v>
      </c>
      <c r="G41" s="160"/>
      <c r="H41" s="161"/>
      <c r="I41" s="138"/>
      <c r="J41" s="139"/>
      <c r="K41" s="7"/>
      <c r="L41" s="125">
        <v>250.0</v>
      </c>
      <c r="M41" s="125">
        <v>500.0</v>
      </c>
      <c r="N41" s="125">
        <v>500.0</v>
      </c>
      <c r="O41" s="125"/>
      <c r="P41" s="11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outlineLevel="1">
      <c r="A42" s="144"/>
      <c r="B42" s="145" t="s">
        <v>341</v>
      </c>
      <c r="C42" s="164" t="s">
        <v>159</v>
      </c>
      <c r="D42" s="147">
        <f t="shared" si="20"/>
        <v>2800</v>
      </c>
      <c r="E42" s="148">
        <f t="shared" si="21"/>
        <v>5500</v>
      </c>
      <c r="F42" s="149">
        <f t="shared" si="13"/>
        <v>5500</v>
      </c>
      <c r="G42" s="150"/>
      <c r="H42" s="151"/>
      <c r="I42" s="138"/>
      <c r="J42" s="139"/>
      <c r="K42" s="7"/>
      <c r="L42" s="125">
        <v>250.0</v>
      </c>
      <c r="M42" s="125">
        <v>500.0</v>
      </c>
      <c r="N42" s="125">
        <v>500.0</v>
      </c>
      <c r="O42" s="125"/>
      <c r="P42" s="11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53" t="s">
        <v>342</v>
      </c>
      <c r="B43" s="95" t="s">
        <v>343</v>
      </c>
      <c r="C43" s="96" t="s">
        <v>344</v>
      </c>
      <c r="D43" s="68">
        <f>'ex NEA to AUBNE_AUMEL'!D43</f>
        <v>2400</v>
      </c>
      <c r="E43" s="100">
        <f>'ex NEA to AUBNE_AUMEL'!E43</f>
        <v>4800</v>
      </c>
      <c r="F43" s="72">
        <f t="shared" si="13"/>
        <v>4800</v>
      </c>
      <c r="G43" s="72">
        <f t="shared" ref="G43:G44" si="22">D43+150</f>
        <v>2550</v>
      </c>
      <c r="H43" s="72">
        <f t="shared" ref="H43:H44" si="23">E43+300</f>
        <v>5100</v>
      </c>
      <c r="I43" s="119">
        <f>'ex NEA to AUBNE_AUMEL'!I43+50</f>
        <v>1800</v>
      </c>
      <c r="J43" s="123">
        <f>'ex NEA to AUBNE_AUMEL'!J43+100</f>
        <v>3600</v>
      </c>
      <c r="K43" s="7"/>
      <c r="L43" s="7"/>
      <c r="M43" s="7"/>
      <c r="N43" s="7"/>
      <c r="O43" s="7"/>
      <c r="P43" s="7"/>
      <c r="Q43" s="76"/>
      <c r="R43" s="76"/>
      <c r="S43" s="76"/>
      <c r="T43" s="7"/>
      <c r="U43" s="7"/>
      <c r="V43" s="7"/>
      <c r="W43" s="7"/>
      <c r="X43" s="7"/>
      <c r="Y43" s="7"/>
      <c r="Z43" s="7"/>
    </row>
    <row r="44" ht="14.25" customHeight="1">
      <c r="A44" s="78"/>
      <c r="B44" s="79" t="s">
        <v>345</v>
      </c>
      <c r="C44" s="96" t="s">
        <v>159</v>
      </c>
      <c r="D44" s="68">
        <f>'ex NEA to AUBNE_AUMEL'!D44</f>
        <v>2400</v>
      </c>
      <c r="E44" s="100">
        <f>'ex NEA to AUBNE_AUMEL'!E44</f>
        <v>4800</v>
      </c>
      <c r="F44" s="72">
        <f t="shared" si="13"/>
        <v>4800</v>
      </c>
      <c r="G44" s="72">
        <f t="shared" si="22"/>
        <v>2550</v>
      </c>
      <c r="H44" s="72">
        <f t="shared" si="23"/>
        <v>5100</v>
      </c>
      <c r="I44" s="119">
        <f>'ex NEA to AUBNE_AUMEL'!I44+50</f>
        <v>1800</v>
      </c>
      <c r="J44" s="123">
        <f>'ex NEA to AUBNE_AUMEL'!J44+100</f>
        <v>3600</v>
      </c>
      <c r="K44" s="7"/>
      <c r="L44" s="165"/>
      <c r="O44" s="7"/>
      <c r="P44" s="7"/>
      <c r="Q44" s="76"/>
      <c r="R44" s="76"/>
      <c r="S44" s="76"/>
      <c r="T44" s="7"/>
      <c r="U44" s="7"/>
      <c r="V44" s="7"/>
      <c r="W44" s="7"/>
      <c r="X44" s="7"/>
      <c r="Y44" s="7"/>
      <c r="Z44" s="7"/>
    </row>
    <row r="45" ht="14.25" customHeight="1">
      <c r="A45" s="78"/>
      <c r="B45" s="79" t="s">
        <v>346</v>
      </c>
      <c r="C45" s="166" t="s">
        <v>344</v>
      </c>
      <c r="D45" s="103">
        <f>D44+460</f>
        <v>2860</v>
      </c>
      <c r="E45" s="104">
        <f t="shared" ref="E45:F45" si="24">E44+600</f>
        <v>5400</v>
      </c>
      <c r="F45" s="104">
        <f t="shared" si="24"/>
        <v>5400</v>
      </c>
      <c r="G45" s="129"/>
      <c r="H45" s="250"/>
      <c r="I45" s="251"/>
      <c r="J45" s="252"/>
      <c r="K45" s="7"/>
      <c r="L45" s="165"/>
      <c r="M45" s="165"/>
      <c r="N45" s="165"/>
      <c r="O45" s="7"/>
      <c r="P45" s="7"/>
      <c r="Q45" s="76"/>
      <c r="R45" s="76"/>
      <c r="S45" s="76"/>
      <c r="T45" s="7"/>
      <c r="U45" s="7"/>
      <c r="V45" s="7"/>
      <c r="W45" s="7"/>
      <c r="X45" s="7"/>
      <c r="Y45" s="7"/>
      <c r="Z45" s="7"/>
    </row>
    <row r="46" ht="14.25" customHeight="1">
      <c r="A46" s="78"/>
      <c r="B46" s="79" t="s">
        <v>347</v>
      </c>
      <c r="C46" s="166" t="s">
        <v>344</v>
      </c>
      <c r="D46" s="103">
        <f>D44+500</f>
        <v>2900</v>
      </c>
      <c r="E46" s="104">
        <f t="shared" ref="E46:F46" si="25">E44+650</f>
        <v>5450</v>
      </c>
      <c r="F46" s="167">
        <f t="shared" si="25"/>
        <v>5450</v>
      </c>
      <c r="G46" s="129"/>
      <c r="H46" s="161"/>
      <c r="I46" s="251"/>
      <c r="J46" s="252"/>
      <c r="K46" s="7"/>
      <c r="L46" s="165"/>
      <c r="M46" s="165"/>
      <c r="N46" s="165"/>
      <c r="O46" s="7"/>
      <c r="P46" s="7"/>
      <c r="Q46" s="76"/>
      <c r="R46" s="76"/>
      <c r="S46" s="76"/>
      <c r="T46" s="7"/>
      <c r="U46" s="7"/>
      <c r="V46" s="7"/>
      <c r="W46" s="7"/>
      <c r="X46" s="7"/>
      <c r="Y46" s="7"/>
      <c r="Z46" s="7"/>
    </row>
    <row r="47" ht="14.25" customHeight="1">
      <c r="A47" s="78"/>
      <c r="B47" s="79" t="s">
        <v>348</v>
      </c>
      <c r="C47" s="118" t="s">
        <v>349</v>
      </c>
      <c r="D47" s="103">
        <f t="shared" ref="D47:F47" si="26">D43+L47</f>
        <v>2500</v>
      </c>
      <c r="E47" s="104">
        <f t="shared" si="26"/>
        <v>5000</v>
      </c>
      <c r="F47" s="105">
        <f t="shared" si="26"/>
        <v>5000</v>
      </c>
      <c r="G47" s="129"/>
      <c r="H47" s="161"/>
      <c r="I47" s="263"/>
      <c r="J47" s="264"/>
      <c r="K47" s="7"/>
      <c r="L47" s="113">
        <v>100.0</v>
      </c>
      <c r="M47" s="113">
        <v>200.0</v>
      </c>
      <c r="N47" s="113">
        <v>200.0</v>
      </c>
      <c r="O47" s="7"/>
      <c r="P47" s="117" t="s">
        <v>350</v>
      </c>
      <c r="Q47" s="76"/>
      <c r="R47" s="76"/>
      <c r="S47" s="76"/>
      <c r="T47" s="7"/>
      <c r="U47" s="7"/>
      <c r="V47" s="7"/>
      <c r="W47" s="7"/>
      <c r="X47" s="7"/>
      <c r="Y47" s="7"/>
      <c r="Z47" s="7"/>
    </row>
    <row r="48" ht="14.25" customHeight="1">
      <c r="A48" s="78"/>
      <c r="B48" s="130" t="s">
        <v>351</v>
      </c>
      <c r="C48" s="156" t="s">
        <v>349</v>
      </c>
      <c r="D48" s="103">
        <f t="shared" ref="D48:F48" si="27">D43+L48</f>
        <v>2600</v>
      </c>
      <c r="E48" s="104">
        <f t="shared" si="27"/>
        <v>5100</v>
      </c>
      <c r="F48" s="105">
        <f t="shared" si="27"/>
        <v>5100</v>
      </c>
      <c r="G48" s="160"/>
      <c r="H48" s="161"/>
      <c r="I48" s="266"/>
      <c r="J48" s="267"/>
      <c r="K48" s="7"/>
      <c r="L48" s="113">
        <v>200.0</v>
      </c>
      <c r="M48" s="113">
        <v>300.0</v>
      </c>
      <c r="N48" s="113">
        <v>300.0</v>
      </c>
      <c r="O48" s="7"/>
      <c r="P48" s="117" t="s">
        <v>350</v>
      </c>
      <c r="Q48" s="76"/>
      <c r="R48" s="76"/>
      <c r="S48" s="76"/>
      <c r="T48" s="7"/>
      <c r="U48" s="7"/>
      <c r="V48" s="7"/>
      <c r="W48" s="7"/>
      <c r="X48" s="7"/>
      <c r="Y48" s="7"/>
      <c r="Z48" s="7"/>
    </row>
    <row r="49" ht="14.25" customHeight="1">
      <c r="A49" s="171"/>
      <c r="B49" s="128" t="s">
        <v>352</v>
      </c>
      <c r="C49" s="156" t="s">
        <v>344</v>
      </c>
      <c r="D49" s="157">
        <f>$D$43+L49</f>
        <v>2700</v>
      </c>
      <c r="E49" s="158">
        <f>$E$43+M49</f>
        <v>5300</v>
      </c>
      <c r="F49" s="159">
        <f t="shared" ref="F49:F54" si="28">E49</f>
        <v>5300</v>
      </c>
      <c r="G49" s="160"/>
      <c r="H49" s="161"/>
      <c r="I49" s="266"/>
      <c r="J49" s="267"/>
      <c r="K49" s="7"/>
      <c r="L49" s="113">
        <v>300.0</v>
      </c>
      <c r="M49" s="113">
        <v>500.0</v>
      </c>
      <c r="N49" s="113">
        <v>500.0</v>
      </c>
      <c r="O49" s="7"/>
      <c r="P49" s="117" t="s">
        <v>350</v>
      </c>
      <c r="Q49" s="76"/>
      <c r="R49" s="76"/>
      <c r="S49" s="76"/>
      <c r="T49" s="7"/>
      <c r="U49" s="7"/>
      <c r="V49" s="7"/>
      <c r="W49" s="7"/>
      <c r="X49" s="7"/>
      <c r="Y49" s="7"/>
      <c r="Z49" s="7"/>
    </row>
    <row r="50" ht="14.25" customHeight="1">
      <c r="A50" s="172" t="s">
        <v>353</v>
      </c>
      <c r="B50" s="173" t="s">
        <v>354</v>
      </c>
      <c r="C50" s="174" t="s">
        <v>159</v>
      </c>
      <c r="D50" s="178">
        <f>'ex NEA to AUBNE_AUMEL'!D50</f>
        <v>2300</v>
      </c>
      <c r="E50" s="198">
        <f>'ex NEA to AUBNE_AUMEL'!E50</f>
        <v>4600</v>
      </c>
      <c r="F50" s="179">
        <f t="shared" si="28"/>
        <v>4600</v>
      </c>
      <c r="G50" s="276">
        <f t="shared" ref="G50:G54" si="29">D50+150</f>
        <v>2450</v>
      </c>
      <c r="H50" s="179">
        <f t="shared" ref="H50:H54" si="30">E50+300</f>
        <v>4900</v>
      </c>
      <c r="I50" s="276">
        <f>'ex NEA to AUBNE_AUMEL'!I50+50</f>
        <v>1700</v>
      </c>
      <c r="J50" s="277">
        <f>'ex NEA to AUBNE_AUMEL'!J50+100</f>
        <v>3400</v>
      </c>
      <c r="K50" s="7"/>
      <c r="L50" s="7"/>
      <c r="M50" s="7"/>
      <c r="N50" s="7"/>
      <c r="O50" s="7"/>
      <c r="P50" s="7"/>
      <c r="Q50" s="76"/>
      <c r="R50" s="76"/>
      <c r="S50" s="76"/>
      <c r="T50" s="7"/>
      <c r="U50" s="7"/>
      <c r="V50" s="7"/>
      <c r="W50" s="7"/>
      <c r="X50" s="7"/>
      <c r="Y50" s="7"/>
      <c r="Z50" s="7"/>
    </row>
    <row r="51" ht="14.25" customHeight="1">
      <c r="A51" s="181" t="s">
        <v>355</v>
      </c>
      <c r="B51" s="169" t="s">
        <v>356</v>
      </c>
      <c r="C51" s="170" t="str">
        <f>'ex NEA to AUBNE_AUMEL'!C51</f>
        <v>AUN</v>
      </c>
      <c r="D51" s="112">
        <f>'ex NEA to AUBNE_AUMEL'!D51</f>
        <v>2400</v>
      </c>
      <c r="E51" s="188">
        <f>'ex NEA to AUBNE_AUMEL'!E51</f>
        <v>4800</v>
      </c>
      <c r="F51" s="185">
        <f t="shared" si="28"/>
        <v>4800</v>
      </c>
      <c r="G51" s="72">
        <f t="shared" si="29"/>
        <v>2550</v>
      </c>
      <c r="H51" s="185">
        <f t="shared" si="30"/>
        <v>5100</v>
      </c>
      <c r="I51" s="119">
        <f>'ex NEA to AUBNE_AUMEL'!I51+50</f>
        <v>1800</v>
      </c>
      <c r="J51" s="123">
        <f>'ex NEA to AUBNE_AUMEL'!J51+100</f>
        <v>3600</v>
      </c>
      <c r="K51" s="7"/>
      <c r="L51" s="7"/>
      <c r="M51" s="7"/>
      <c r="N51" s="7"/>
      <c r="O51" s="7"/>
      <c r="P51" s="7"/>
      <c r="Q51" s="76"/>
      <c r="R51" s="76"/>
      <c r="S51" s="76"/>
      <c r="T51" s="7"/>
      <c r="U51" s="7"/>
      <c r="V51" s="7"/>
      <c r="W51" s="7"/>
      <c r="X51" s="7"/>
      <c r="Y51" s="7"/>
      <c r="Z51" s="7"/>
    </row>
    <row r="52" ht="14.25" customHeight="1">
      <c r="A52" s="78"/>
      <c r="B52" s="169" t="s">
        <v>357</v>
      </c>
      <c r="C52" s="170" t="str">
        <f>'ex NEA to AUBNE_AUMEL'!C52</f>
        <v>AUN</v>
      </c>
      <c r="D52" s="112">
        <f>'ex NEA to AUBNE_AUMEL'!D52</f>
        <v>2400</v>
      </c>
      <c r="E52" s="188">
        <f t="shared" ref="E52:E54" si="31">$E$51+M52</f>
        <v>4800</v>
      </c>
      <c r="F52" s="185">
        <f t="shared" si="28"/>
        <v>4800</v>
      </c>
      <c r="G52" s="72">
        <f t="shared" si="29"/>
        <v>2550</v>
      </c>
      <c r="H52" s="185">
        <f t="shared" si="30"/>
        <v>5100</v>
      </c>
      <c r="I52" s="119">
        <f>'ex NEA to AUBNE_AUMEL'!I52+50</f>
        <v>1800</v>
      </c>
      <c r="J52" s="123">
        <f>'ex NEA to AUBNE_AUMEL'!J52+100</f>
        <v>3600</v>
      </c>
      <c r="K52" s="7"/>
      <c r="L52" s="7"/>
      <c r="M52" s="7"/>
      <c r="N52" s="7"/>
      <c r="O52" s="7"/>
      <c r="P52" s="117" t="s">
        <v>358</v>
      </c>
      <c r="Q52" s="7"/>
      <c r="R52" s="76"/>
      <c r="S52" s="76"/>
      <c r="T52" s="7"/>
      <c r="U52" s="7"/>
      <c r="V52" s="7"/>
      <c r="W52" s="7"/>
      <c r="X52" s="7"/>
      <c r="Y52" s="7"/>
      <c r="Z52" s="7"/>
    </row>
    <row r="53" ht="14.25" customHeight="1">
      <c r="A53" s="78"/>
      <c r="B53" s="189" t="s">
        <v>359</v>
      </c>
      <c r="C53" s="190" t="str">
        <f>'ex NEA to AUBNE_AUMEL'!C53</f>
        <v>AUN</v>
      </c>
      <c r="D53" s="191">
        <f t="shared" ref="D53:D54" si="32">$D$51+L53</f>
        <v>2600</v>
      </c>
      <c r="E53" s="193">
        <f t="shared" si="31"/>
        <v>5050</v>
      </c>
      <c r="F53" s="194">
        <f t="shared" si="28"/>
        <v>5050</v>
      </c>
      <c r="G53" s="191">
        <f t="shared" si="29"/>
        <v>2750</v>
      </c>
      <c r="H53" s="194">
        <f t="shared" si="30"/>
        <v>5350</v>
      </c>
      <c r="I53" s="295"/>
      <c r="J53" s="296"/>
      <c r="K53" s="7"/>
      <c r="L53" s="7">
        <v>200.0</v>
      </c>
      <c r="M53" s="7">
        <v>250.0</v>
      </c>
      <c r="N53" s="7">
        <v>250.0</v>
      </c>
      <c r="O53" s="7"/>
      <c r="P53" s="117" t="s">
        <v>358</v>
      </c>
      <c r="Q53" s="7"/>
      <c r="R53" s="76"/>
      <c r="S53" s="76"/>
      <c r="T53" s="7"/>
      <c r="U53" s="7"/>
      <c r="V53" s="7"/>
      <c r="W53" s="7"/>
      <c r="X53" s="7"/>
      <c r="Y53" s="7"/>
      <c r="Z53" s="7"/>
    </row>
    <row r="54" ht="14.25" customHeight="1">
      <c r="A54" s="144"/>
      <c r="B54" s="196" t="s">
        <v>360</v>
      </c>
      <c r="C54" s="190" t="str">
        <f>'ex NEA to AUBNE_AUMEL'!C54</f>
        <v>AUN</v>
      </c>
      <c r="D54" s="197">
        <f t="shared" si="32"/>
        <v>2600</v>
      </c>
      <c r="E54" s="199">
        <f t="shared" si="31"/>
        <v>5050</v>
      </c>
      <c r="F54" s="200">
        <f t="shared" si="28"/>
        <v>5050</v>
      </c>
      <c r="G54" s="197">
        <f t="shared" si="29"/>
        <v>2750</v>
      </c>
      <c r="H54" s="200">
        <f t="shared" si="30"/>
        <v>5350</v>
      </c>
      <c r="I54" s="299"/>
      <c r="J54" s="300"/>
      <c r="K54" s="7"/>
      <c r="L54" s="7">
        <v>200.0</v>
      </c>
      <c r="M54" s="7">
        <v>250.0</v>
      </c>
      <c r="N54" s="7">
        <v>250.0</v>
      </c>
      <c r="O54" s="7"/>
      <c r="P54" s="117" t="s">
        <v>358</v>
      </c>
      <c r="Q54" s="7"/>
      <c r="R54" s="76"/>
      <c r="S54" s="76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13" t="s">
        <v>361</v>
      </c>
      <c r="B56" s="203" t="s">
        <v>362</v>
      </c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7"/>
      <c r="U56" s="7"/>
      <c r="V56" s="7"/>
      <c r="W56" s="7"/>
      <c r="X56" s="7"/>
      <c r="Y56" s="7"/>
      <c r="Z56" s="7"/>
    </row>
    <row r="57" ht="14.25" customHeight="1">
      <c r="A57" s="113" t="s">
        <v>363</v>
      </c>
      <c r="B57" s="113" t="s">
        <v>364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205" t="s">
        <v>365</v>
      </c>
      <c r="B59" s="206"/>
      <c r="C59" s="206"/>
      <c r="D59" s="206"/>
      <c r="E59" s="206"/>
      <c r="F59" s="206"/>
      <c r="G59" s="206"/>
      <c r="H59" s="206"/>
      <c r="I59" s="206"/>
      <c r="J59" s="20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208"/>
      <c r="B60" s="209"/>
      <c r="C60" s="209"/>
      <c r="D60" s="210" t="s">
        <v>83</v>
      </c>
      <c r="E60" s="210" t="s">
        <v>88</v>
      </c>
      <c r="F60" s="211" t="s">
        <v>93</v>
      </c>
      <c r="G60" s="212" t="s">
        <v>366</v>
      </c>
      <c r="H60" s="210" t="s">
        <v>367</v>
      </c>
      <c r="I60" s="210" t="s">
        <v>102</v>
      </c>
      <c r="J60" s="213" t="s">
        <v>107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hidden="1" customHeight="1">
      <c r="A61" s="214" t="s">
        <v>368</v>
      </c>
      <c r="B61" s="215" t="s">
        <v>369</v>
      </c>
      <c r="C61" s="216"/>
      <c r="D61" s="217" t="str">
        <f>'ex NEA to AUBNE_AUMEL'!D61</f>
        <v>USD301</v>
      </c>
      <c r="E61" s="217" t="str">
        <f>'ex NEA to AUBNE_AUMEL'!E61</f>
        <v>USD602</v>
      </c>
      <c r="F61" s="217" t="str">
        <f>'ex NEA to AUBNE_AUMEL'!F61</f>
        <v>USD602</v>
      </c>
      <c r="G61" s="217" t="str">
        <f>'ex NEA to AUBNE_AUMEL'!G61</f>
        <v>USD403</v>
      </c>
      <c r="H61" s="217" t="str">
        <f>'ex NEA to AUBNE_AUMEL'!H61</f>
        <v>USD806</v>
      </c>
      <c r="I61" s="217" t="str">
        <f>'ex NEA to AUBNE_AUMEL'!I61</f>
        <v>USD301</v>
      </c>
      <c r="J61" s="217" t="str">
        <f>'ex NEA to AUBNE_AUMEL'!J61</f>
        <v>USD602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214" t="s">
        <v>368</v>
      </c>
      <c r="B62" s="215" t="s">
        <v>369</v>
      </c>
      <c r="C62" s="216"/>
      <c r="D62" s="217" t="str">
        <f>'ex NEA to AUBNE_AUMEL'!D62</f>
        <v>included</v>
      </c>
      <c r="E62" s="217" t="str">
        <f>'ex NEA to AUBNE_AUMEL'!E62</f>
        <v>included</v>
      </c>
      <c r="F62" s="217" t="str">
        <f>'ex NEA to AUBNE_AUMEL'!F62</f>
        <v>included</v>
      </c>
      <c r="G62" s="217" t="str">
        <f>'ex NEA to AUBNE_AUMEL'!G62</f>
        <v>included</v>
      </c>
      <c r="H62" s="217" t="str">
        <f>'ex NEA to AUBNE_AUMEL'!H62</f>
        <v>included</v>
      </c>
      <c r="I62" s="217" t="str">
        <f>'ex NEA to AUBNE_AUMEL'!I62</f>
        <v>included</v>
      </c>
      <c r="J62" s="217" t="str">
        <f>'ex NEA to AUBNE_AUMEL'!J62</f>
        <v>included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0" hidden="1" customHeight="1">
      <c r="A63" s="218" t="s">
        <v>375</v>
      </c>
      <c r="B63" s="219" t="s">
        <v>376</v>
      </c>
      <c r="C63" s="216"/>
      <c r="D63" s="221" t="s">
        <v>377</v>
      </c>
      <c r="E63" s="221" t="s">
        <v>377</v>
      </c>
      <c r="F63" s="221" t="s">
        <v>377</v>
      </c>
      <c r="G63" s="221" t="s">
        <v>377</v>
      </c>
      <c r="H63" s="221" t="s">
        <v>377</v>
      </c>
      <c r="I63" s="221" t="s">
        <v>377</v>
      </c>
      <c r="J63" s="221" t="s">
        <v>377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0" hidden="1" customHeight="1">
      <c r="A64" s="218" t="s">
        <v>378</v>
      </c>
      <c r="B64" s="219" t="s">
        <v>376</v>
      </c>
      <c r="C64" s="216"/>
      <c r="D64" s="221" t="s">
        <v>377</v>
      </c>
      <c r="E64" s="221" t="s">
        <v>377</v>
      </c>
      <c r="F64" s="221" t="s">
        <v>377</v>
      </c>
      <c r="G64" s="221" t="s">
        <v>377</v>
      </c>
      <c r="H64" s="221" t="s">
        <v>377</v>
      </c>
      <c r="I64" s="221" t="s">
        <v>377</v>
      </c>
      <c r="J64" s="221" t="s">
        <v>377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0" customHeight="1">
      <c r="A65" s="223" t="s">
        <v>379</v>
      </c>
      <c r="B65" s="224" t="s">
        <v>380</v>
      </c>
      <c r="C65" s="216"/>
      <c r="D65" s="221" t="s">
        <v>377</v>
      </c>
      <c r="E65" s="221" t="s">
        <v>377</v>
      </c>
      <c r="F65" s="221" t="s">
        <v>377</v>
      </c>
      <c r="G65" s="221" t="s">
        <v>377</v>
      </c>
      <c r="H65" s="221" t="s">
        <v>377</v>
      </c>
      <c r="I65" s="221" t="s">
        <v>377</v>
      </c>
      <c r="J65" s="221" t="s">
        <v>377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0" customHeight="1">
      <c r="A66" s="223" t="s">
        <v>381</v>
      </c>
      <c r="B66" s="224" t="s">
        <v>382</v>
      </c>
      <c r="C66" s="216"/>
      <c r="D66" s="221" t="s">
        <v>377</v>
      </c>
      <c r="E66" s="221" t="s">
        <v>377</v>
      </c>
      <c r="F66" s="221" t="s">
        <v>377</v>
      </c>
      <c r="G66" s="221" t="s">
        <v>377</v>
      </c>
      <c r="H66" s="221" t="s">
        <v>377</v>
      </c>
      <c r="I66" s="221" t="s">
        <v>377</v>
      </c>
      <c r="J66" s="221" t="s">
        <v>377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0" customHeight="1">
      <c r="A67" s="223" t="s">
        <v>383</v>
      </c>
      <c r="B67" s="224" t="s">
        <v>384</v>
      </c>
      <c r="C67" s="216"/>
      <c r="D67" s="221" t="s">
        <v>377</v>
      </c>
      <c r="E67" s="221" t="s">
        <v>377</v>
      </c>
      <c r="F67" s="221" t="s">
        <v>377</v>
      </c>
      <c r="G67" s="221" t="s">
        <v>377</v>
      </c>
      <c r="H67" s="221" t="s">
        <v>377</v>
      </c>
      <c r="I67" s="221" t="s">
        <v>377</v>
      </c>
      <c r="J67" s="221" t="s">
        <v>377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0" customHeight="1">
      <c r="A68" s="223" t="s">
        <v>385</v>
      </c>
      <c r="B68" s="224" t="s">
        <v>386</v>
      </c>
      <c r="C68" s="216"/>
      <c r="D68" s="221" t="s">
        <v>377</v>
      </c>
      <c r="E68" s="221" t="s">
        <v>377</v>
      </c>
      <c r="F68" s="221" t="s">
        <v>377</v>
      </c>
      <c r="G68" s="221" t="s">
        <v>377</v>
      </c>
      <c r="H68" s="221" t="s">
        <v>377</v>
      </c>
      <c r="I68" s="221" t="s">
        <v>377</v>
      </c>
      <c r="J68" s="221" t="s">
        <v>377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0" customHeight="1">
      <c r="A69" s="223" t="s">
        <v>387</v>
      </c>
      <c r="B69" s="224" t="s">
        <v>388</v>
      </c>
      <c r="C69" s="216"/>
      <c r="D69" s="221" t="s">
        <v>377</v>
      </c>
      <c r="E69" s="221" t="s">
        <v>377</v>
      </c>
      <c r="F69" s="221" t="s">
        <v>377</v>
      </c>
      <c r="G69" s="221" t="s">
        <v>377</v>
      </c>
      <c r="H69" s="221" t="s">
        <v>377</v>
      </c>
      <c r="I69" s="221" t="s">
        <v>377</v>
      </c>
      <c r="J69" s="228" t="s">
        <v>377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0" customHeight="1">
      <c r="A70" s="229" t="s">
        <v>389</v>
      </c>
      <c r="B70" s="230" t="s">
        <v>390</v>
      </c>
      <c r="C70" s="231"/>
      <c r="D70" s="232" t="s">
        <v>377</v>
      </c>
      <c r="E70" s="232" t="s">
        <v>377</v>
      </c>
      <c r="F70" s="232" t="s">
        <v>377</v>
      </c>
      <c r="G70" s="232" t="s">
        <v>377</v>
      </c>
      <c r="H70" s="232" t="s">
        <v>377</v>
      </c>
      <c r="I70" s="232" t="s">
        <v>377</v>
      </c>
      <c r="J70" s="234" t="s">
        <v>377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235" t="s">
        <v>391</v>
      </c>
      <c r="B72" s="235"/>
      <c r="C72" s="235"/>
      <c r="D72" s="235"/>
      <c r="E72" s="235"/>
      <c r="F72" s="235"/>
      <c r="G72" s="235"/>
      <c r="H72" s="235"/>
      <c r="I72" s="235"/>
      <c r="J72" s="235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240" t="str">
        <f>'ex NEA to AUBNE_AUMEL'!A73</f>
        <v>Rate incl OBS, EFS (ex KR &amp; HK), PSS, subject to ISL/THL/THD/LND/DOC/DOF and local charges both ends</v>
      </c>
      <c r="B73" s="240"/>
      <c r="C73" s="240"/>
      <c r="D73" s="240"/>
      <c r="E73" s="240"/>
      <c r="F73" s="235"/>
      <c r="G73" s="235"/>
      <c r="H73" s="235"/>
      <c r="I73" s="235"/>
      <c r="J73" s="235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241" t="s">
        <v>393</v>
      </c>
      <c r="B74" s="242"/>
      <c r="C74" s="242"/>
      <c r="D74" s="242"/>
      <c r="E74" s="240"/>
      <c r="F74" s="235"/>
      <c r="G74" s="235"/>
      <c r="H74" s="235"/>
      <c r="I74" s="235"/>
      <c r="J74" s="235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243" t="s">
        <v>394</v>
      </c>
      <c r="B75" s="243"/>
      <c r="C75" s="243"/>
      <c r="D75" s="243"/>
      <c r="E75" s="243"/>
      <c r="F75" s="235"/>
      <c r="G75" s="235"/>
      <c r="H75" s="235"/>
      <c r="I75" s="235"/>
      <c r="J75" s="235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235" t="s">
        <v>395</v>
      </c>
      <c r="B76" s="235"/>
      <c r="C76" s="235"/>
      <c r="D76" s="235"/>
      <c r="E76" s="235"/>
      <c r="F76" s="235"/>
      <c r="G76" s="235"/>
      <c r="H76" s="235"/>
      <c r="I76" s="235"/>
      <c r="J76" s="23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235" t="s">
        <v>396</v>
      </c>
      <c r="B77" s="235"/>
      <c r="C77" s="235"/>
      <c r="D77" s="235"/>
      <c r="E77" s="235"/>
      <c r="F77" s="235"/>
      <c r="G77" s="235"/>
      <c r="H77" s="235"/>
      <c r="I77" s="235"/>
      <c r="J77" s="23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235" t="s">
        <v>397</v>
      </c>
      <c r="B78" s="235"/>
      <c r="C78" s="235"/>
      <c r="D78" s="235"/>
      <c r="E78" s="235"/>
      <c r="F78" s="235"/>
      <c r="G78" s="235"/>
      <c r="H78" s="235"/>
      <c r="I78" s="235"/>
      <c r="J78" s="235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235" t="s">
        <v>398</v>
      </c>
      <c r="B79" s="235"/>
      <c r="C79" s="235"/>
      <c r="D79" s="235"/>
      <c r="E79" s="235"/>
      <c r="F79" s="235"/>
      <c r="G79" s="235"/>
      <c r="H79" s="235"/>
      <c r="I79" s="235"/>
      <c r="J79" s="23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235" t="s">
        <v>399</v>
      </c>
      <c r="B80" s="235"/>
      <c r="C80" s="235"/>
      <c r="D80" s="235"/>
      <c r="E80" s="235"/>
      <c r="F80" s="235"/>
      <c r="G80" s="235"/>
      <c r="H80" s="235"/>
      <c r="I80" s="235"/>
      <c r="J80" s="235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245" t="s">
        <v>400</v>
      </c>
      <c r="B83" s="246"/>
      <c r="C83" s="246"/>
      <c r="D83" s="246"/>
      <c r="E83" s="247"/>
      <c r="F83" s="247"/>
      <c r="G83" s="248"/>
      <c r="H83" s="248"/>
      <c r="I83" s="24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249" t="s">
        <v>401</v>
      </c>
      <c r="B84" s="247"/>
      <c r="C84" s="247"/>
      <c r="D84" s="247"/>
      <c r="E84" s="247"/>
      <c r="F84" s="247"/>
      <c r="G84" s="248"/>
      <c r="H84" s="248"/>
      <c r="I84" s="24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249" t="s">
        <v>402</v>
      </c>
      <c r="B85" s="247"/>
      <c r="C85" s="247"/>
      <c r="D85" s="247"/>
      <c r="E85" s="247"/>
      <c r="F85" s="247"/>
      <c r="G85" s="248"/>
      <c r="H85" s="248"/>
      <c r="I85" s="24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253"/>
      <c r="B86" s="253"/>
      <c r="C86" s="253"/>
      <c r="D86" s="253"/>
      <c r="E86" s="253"/>
      <c r="F86" s="253"/>
      <c r="G86" s="248"/>
      <c r="H86" s="248"/>
      <c r="I86" s="24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254" t="s">
        <v>403</v>
      </c>
      <c r="B87" s="255" t="s">
        <v>404</v>
      </c>
      <c r="C87" s="255" t="s">
        <v>405</v>
      </c>
      <c r="D87" s="256" t="s">
        <v>406</v>
      </c>
      <c r="E87" s="256" t="s">
        <v>407</v>
      </c>
      <c r="F87" s="256" t="s">
        <v>10</v>
      </c>
      <c r="G87" s="248"/>
      <c r="H87" s="248"/>
      <c r="I87" s="24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257" t="s">
        <v>408</v>
      </c>
      <c r="B88" s="258" t="s">
        <v>409</v>
      </c>
      <c r="C88" s="259" t="s">
        <v>410</v>
      </c>
      <c r="D88" s="33"/>
      <c r="E88" s="35"/>
      <c r="F88" s="260"/>
      <c r="G88" s="248"/>
      <c r="H88" s="248"/>
      <c r="I88" s="24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261"/>
      <c r="B89" s="258" t="s">
        <v>411</v>
      </c>
      <c r="C89" s="262" t="s">
        <v>412</v>
      </c>
      <c r="D89" s="262" t="s">
        <v>413</v>
      </c>
      <c r="E89" s="262" t="s">
        <v>413</v>
      </c>
      <c r="F89" s="260"/>
      <c r="G89" s="248"/>
      <c r="H89" s="248"/>
      <c r="I89" s="24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261"/>
      <c r="B90" s="258" t="s">
        <v>414</v>
      </c>
      <c r="C90" s="262" t="s">
        <v>415</v>
      </c>
      <c r="D90" s="262" t="s">
        <v>412</v>
      </c>
      <c r="E90" s="262" t="s">
        <v>412</v>
      </c>
      <c r="F90" s="260"/>
      <c r="G90" s="248"/>
      <c r="H90" s="248"/>
      <c r="I90" s="24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261"/>
      <c r="B91" s="258" t="s">
        <v>416</v>
      </c>
      <c r="C91" s="262" t="s">
        <v>415</v>
      </c>
      <c r="D91" s="262" t="s">
        <v>412</v>
      </c>
      <c r="E91" s="262" t="s">
        <v>412</v>
      </c>
      <c r="F91" s="260"/>
      <c r="G91" s="248"/>
      <c r="H91" s="248"/>
      <c r="I91" s="24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261"/>
      <c r="B92" s="258" t="s">
        <v>417</v>
      </c>
      <c r="C92" s="265" t="s">
        <v>412</v>
      </c>
      <c r="D92" s="265" t="s">
        <v>413</v>
      </c>
      <c r="E92" s="265" t="s">
        <v>413</v>
      </c>
      <c r="F92" s="260"/>
      <c r="G92" s="248"/>
      <c r="H92" s="248"/>
      <c r="I92" s="24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261"/>
      <c r="B93" s="258" t="s">
        <v>418</v>
      </c>
      <c r="C93" s="262" t="s">
        <v>415</v>
      </c>
      <c r="D93" s="262" t="s">
        <v>412</v>
      </c>
      <c r="E93" s="262" t="s">
        <v>412</v>
      </c>
      <c r="F93" s="260"/>
      <c r="G93" s="248"/>
      <c r="H93" s="248"/>
      <c r="I93" s="24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261"/>
      <c r="B94" s="258" t="s">
        <v>419</v>
      </c>
      <c r="C94" s="259" t="s">
        <v>410</v>
      </c>
      <c r="D94" s="33"/>
      <c r="E94" s="35"/>
      <c r="F94" s="260"/>
      <c r="G94" s="248"/>
      <c r="H94" s="248"/>
      <c r="I94" s="24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261"/>
      <c r="B95" s="258" t="s">
        <v>420</v>
      </c>
      <c r="C95" s="262" t="s">
        <v>415</v>
      </c>
      <c r="D95" s="262" t="s">
        <v>412</v>
      </c>
      <c r="E95" s="262" t="s">
        <v>412</v>
      </c>
      <c r="F95" s="260"/>
      <c r="G95" s="248"/>
      <c r="H95" s="248"/>
      <c r="I95" s="24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268"/>
      <c r="B96" s="258" t="s">
        <v>421</v>
      </c>
      <c r="C96" s="262" t="s">
        <v>415</v>
      </c>
      <c r="D96" s="262" t="s">
        <v>412</v>
      </c>
      <c r="E96" s="262" t="s">
        <v>412</v>
      </c>
      <c r="F96" s="260"/>
      <c r="G96" s="248"/>
      <c r="H96" s="248"/>
      <c r="I96" s="24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269" t="s">
        <v>422</v>
      </c>
      <c r="B97" s="270"/>
      <c r="C97" s="270"/>
      <c r="D97" s="270"/>
      <c r="E97" s="270"/>
      <c r="F97" s="271"/>
      <c r="G97" s="248"/>
      <c r="H97" s="248"/>
      <c r="I97" s="24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253"/>
      <c r="B98" s="253"/>
      <c r="C98" s="272"/>
      <c r="D98" s="273"/>
      <c r="E98" s="253"/>
      <c r="F98" s="253"/>
      <c r="G98" s="248"/>
      <c r="H98" s="248"/>
      <c r="I98" s="24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254" t="s">
        <v>423</v>
      </c>
      <c r="B99" s="255" t="s">
        <v>424</v>
      </c>
      <c r="C99" s="255" t="s">
        <v>405</v>
      </c>
      <c r="D99" s="256" t="s">
        <v>406</v>
      </c>
      <c r="E99" s="256" t="s">
        <v>407</v>
      </c>
      <c r="F99" s="256" t="s">
        <v>10</v>
      </c>
      <c r="G99" s="248"/>
      <c r="H99" s="248"/>
      <c r="I99" s="24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274" t="s">
        <v>425</v>
      </c>
      <c r="B100" s="258" t="s">
        <v>426</v>
      </c>
      <c r="C100" s="275" t="s">
        <v>427</v>
      </c>
      <c r="D100" s="275" t="s">
        <v>428</v>
      </c>
      <c r="E100" s="275" t="s">
        <v>428</v>
      </c>
      <c r="F100" s="260"/>
      <c r="G100" s="248"/>
      <c r="H100" s="248"/>
      <c r="I100" s="24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261"/>
      <c r="B101" s="258" t="s">
        <v>429</v>
      </c>
      <c r="C101" s="275" t="s">
        <v>430</v>
      </c>
      <c r="D101" s="275" t="s">
        <v>427</v>
      </c>
      <c r="E101" s="275" t="s">
        <v>427</v>
      </c>
      <c r="F101" s="260"/>
      <c r="G101" s="248"/>
      <c r="H101" s="248"/>
      <c r="I101" s="24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261"/>
      <c r="B102" s="258" t="s">
        <v>431</v>
      </c>
      <c r="C102" s="275" t="s">
        <v>432</v>
      </c>
      <c r="D102" s="275" t="s">
        <v>433</v>
      </c>
      <c r="E102" s="275" t="s">
        <v>433</v>
      </c>
      <c r="F102" s="260"/>
      <c r="G102" s="248"/>
      <c r="H102" s="248"/>
      <c r="I102" s="24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268"/>
      <c r="B103" s="258" t="s">
        <v>434</v>
      </c>
      <c r="C103" s="275" t="s">
        <v>435</v>
      </c>
      <c r="D103" s="275" t="s">
        <v>435</v>
      </c>
      <c r="E103" s="275" t="s">
        <v>435</v>
      </c>
      <c r="F103" s="260"/>
      <c r="G103" s="248"/>
      <c r="H103" s="248"/>
      <c r="I103" s="24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269" t="s">
        <v>422</v>
      </c>
      <c r="B104" s="270"/>
      <c r="C104" s="270"/>
      <c r="D104" s="270"/>
      <c r="E104" s="270"/>
      <c r="F104" s="271"/>
      <c r="G104" s="248"/>
      <c r="H104" s="248"/>
      <c r="I104" s="24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248"/>
      <c r="B105" s="248"/>
      <c r="C105" s="248"/>
      <c r="D105" s="248"/>
      <c r="E105" s="248"/>
      <c r="F105" s="248"/>
      <c r="G105" s="248"/>
      <c r="H105" s="248"/>
      <c r="I105" s="24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278" t="s">
        <v>436</v>
      </c>
      <c r="B106" s="242"/>
      <c r="C106" s="248"/>
      <c r="D106" s="248"/>
      <c r="E106" s="248"/>
      <c r="F106" s="248"/>
      <c r="G106" s="248"/>
      <c r="H106" s="248"/>
      <c r="I106" s="24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248"/>
      <c r="B107" s="248"/>
      <c r="C107" s="248"/>
      <c r="D107" s="248"/>
      <c r="E107" s="248"/>
      <c r="F107" s="248"/>
      <c r="G107" s="248"/>
      <c r="H107" s="248"/>
      <c r="I107" s="24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279" t="s">
        <v>437</v>
      </c>
      <c r="B108" s="280"/>
      <c r="C108" s="280"/>
      <c r="D108" s="280"/>
      <c r="E108" s="248"/>
      <c r="F108" s="281"/>
      <c r="H108" s="281"/>
      <c r="I108" s="282" t="s">
        <v>438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248"/>
      <c r="B109" s="248"/>
      <c r="C109" s="248"/>
      <c r="D109" s="248"/>
      <c r="E109" s="248"/>
      <c r="F109" s="281"/>
      <c r="H109" s="28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283" t="s">
        <v>439</v>
      </c>
      <c r="B110" s="284"/>
      <c r="C110" s="285" t="s">
        <v>440</v>
      </c>
      <c r="D110" s="216"/>
      <c r="E110" s="248"/>
      <c r="F110" s="283" t="s">
        <v>441</v>
      </c>
      <c r="G110" s="286"/>
      <c r="H110" s="286"/>
      <c r="I110" s="21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287" t="s">
        <v>442</v>
      </c>
      <c r="B111" s="216"/>
      <c r="C111" s="288" t="s">
        <v>443</v>
      </c>
      <c r="D111" s="216"/>
      <c r="E111" s="248"/>
      <c r="F111" s="287" t="s">
        <v>442</v>
      </c>
      <c r="G111" s="216"/>
      <c r="H111" s="289" t="s">
        <v>444</v>
      </c>
      <c r="I111" s="21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287" t="s">
        <v>445</v>
      </c>
      <c r="B112" s="216"/>
      <c r="C112" s="290" t="s">
        <v>445</v>
      </c>
      <c r="D112" s="216"/>
      <c r="E112" s="248"/>
      <c r="F112" s="287" t="s">
        <v>445</v>
      </c>
      <c r="G112" s="216"/>
      <c r="H112" s="287" t="s">
        <v>445</v>
      </c>
      <c r="I112" s="21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291" t="s">
        <v>446</v>
      </c>
      <c r="B113" s="286"/>
      <c r="C113" s="292">
        <v>600.0</v>
      </c>
      <c r="D113" s="216"/>
      <c r="E113" s="248"/>
      <c r="F113" s="291" t="s">
        <v>447</v>
      </c>
      <c r="G113" s="286"/>
      <c r="H113" s="286"/>
      <c r="I113" s="21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291" t="s">
        <v>448</v>
      </c>
      <c r="B114" s="216"/>
      <c r="C114" s="293" t="s">
        <v>449</v>
      </c>
      <c r="D114" s="216"/>
      <c r="E114" s="248"/>
      <c r="F114" s="291" t="s">
        <v>450</v>
      </c>
      <c r="G114" s="216"/>
      <c r="H114" s="294">
        <v>10500.0</v>
      </c>
      <c r="I114" s="21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291" t="s">
        <v>451</v>
      </c>
      <c r="B115" s="216"/>
      <c r="C115" s="293" t="s">
        <v>449</v>
      </c>
      <c r="D115" s="216"/>
      <c r="E115" s="248"/>
      <c r="F115" s="291" t="s">
        <v>452</v>
      </c>
      <c r="G115" s="216"/>
      <c r="H115" s="294">
        <v>9000.0</v>
      </c>
      <c r="I115" s="21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291" t="s">
        <v>453</v>
      </c>
      <c r="B116" s="216"/>
      <c r="C116" s="293" t="s">
        <v>449</v>
      </c>
      <c r="D116" s="216"/>
      <c r="E116" s="248"/>
      <c r="F116" s="291" t="s">
        <v>454</v>
      </c>
      <c r="G116" s="216"/>
      <c r="H116" s="294">
        <v>7500.0</v>
      </c>
      <c r="I116" s="21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248"/>
      <c r="B117" s="248"/>
      <c r="C117" s="248"/>
      <c r="D117" s="248"/>
      <c r="E117" s="248"/>
      <c r="F117" s="291" t="s">
        <v>455</v>
      </c>
      <c r="G117" s="216"/>
      <c r="H117" s="294">
        <v>6000.0</v>
      </c>
      <c r="I117" s="21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248"/>
      <c r="B118" s="248"/>
      <c r="C118" s="248"/>
      <c r="D118" s="248"/>
      <c r="E118" s="248"/>
      <c r="F118" s="291" t="s">
        <v>456</v>
      </c>
      <c r="G118" s="216"/>
      <c r="H118" s="294">
        <v>4600.0</v>
      </c>
      <c r="I118" s="21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248"/>
      <c r="B119" s="248"/>
      <c r="C119" s="248"/>
      <c r="D119" s="248"/>
      <c r="E119" s="248"/>
      <c r="F119" s="291" t="s">
        <v>457</v>
      </c>
      <c r="G119" s="216"/>
      <c r="H119" s="294">
        <v>3100.0</v>
      </c>
      <c r="I119" s="21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248"/>
      <c r="B120" s="248"/>
      <c r="C120" s="248"/>
      <c r="D120" s="248"/>
      <c r="E120" s="248"/>
      <c r="F120" s="297" t="s">
        <v>458</v>
      </c>
      <c r="G120" s="216"/>
      <c r="H120" s="298">
        <v>2600.0</v>
      </c>
      <c r="I120" s="21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248"/>
      <c r="B121" s="248"/>
      <c r="C121" s="248"/>
      <c r="D121" s="248"/>
      <c r="E121" s="248"/>
      <c r="F121" s="297" t="s">
        <v>459</v>
      </c>
      <c r="G121" s="216"/>
      <c r="H121" s="298">
        <v>600.0</v>
      </c>
      <c r="I121" s="21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248"/>
      <c r="B122" s="248"/>
      <c r="C122" s="248"/>
      <c r="D122" s="248"/>
      <c r="E122" s="248"/>
      <c r="F122" s="248"/>
      <c r="G122" s="248"/>
      <c r="H122" s="281"/>
      <c r="I122" s="301" t="s">
        <v>460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</sheetData>
  <mergeCells count="67">
    <mergeCell ref="C111:D111"/>
    <mergeCell ref="F111:G111"/>
    <mergeCell ref="F112:G112"/>
    <mergeCell ref="H112:I112"/>
    <mergeCell ref="F113:I113"/>
    <mergeCell ref="F114:G114"/>
    <mergeCell ref="H114:I114"/>
    <mergeCell ref="A111:B111"/>
    <mergeCell ref="A112:B112"/>
    <mergeCell ref="C112:D112"/>
    <mergeCell ref="A113:B113"/>
    <mergeCell ref="C113:D113"/>
    <mergeCell ref="A114:B114"/>
    <mergeCell ref="C114:D114"/>
    <mergeCell ref="A1:J2"/>
    <mergeCell ref="D4:F4"/>
    <mergeCell ref="G4:H4"/>
    <mergeCell ref="I4:J4"/>
    <mergeCell ref="B5:B6"/>
    <mergeCell ref="C5:C6"/>
    <mergeCell ref="A7:A38"/>
    <mergeCell ref="A39:A42"/>
    <mergeCell ref="A43:A49"/>
    <mergeCell ref="L44:N44"/>
    <mergeCell ref="A51:A54"/>
    <mergeCell ref="A59:J59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A88:A96"/>
    <mergeCell ref="C88:E88"/>
    <mergeCell ref="C94:E94"/>
    <mergeCell ref="A97:F97"/>
    <mergeCell ref="C98:D98"/>
    <mergeCell ref="A100:A103"/>
    <mergeCell ref="A104:F104"/>
    <mergeCell ref="F108:G108"/>
    <mergeCell ref="F109:G109"/>
    <mergeCell ref="H109:I109"/>
    <mergeCell ref="C110:D110"/>
    <mergeCell ref="F110:I110"/>
    <mergeCell ref="H111:I111"/>
    <mergeCell ref="A115:B115"/>
    <mergeCell ref="C115:D115"/>
    <mergeCell ref="F115:G115"/>
    <mergeCell ref="H115:I115"/>
    <mergeCell ref="F118:G118"/>
    <mergeCell ref="F119:G119"/>
    <mergeCell ref="H119:I119"/>
    <mergeCell ref="F120:G120"/>
    <mergeCell ref="H120:I120"/>
    <mergeCell ref="F121:G121"/>
    <mergeCell ref="H121:I121"/>
    <mergeCell ref="A116:B116"/>
    <mergeCell ref="C116:D116"/>
    <mergeCell ref="F116:G116"/>
    <mergeCell ref="H116:I116"/>
    <mergeCell ref="F117:G117"/>
    <mergeCell ref="H117:I117"/>
    <mergeCell ref="H118:I118"/>
  </mergeCells>
  <printOptions/>
  <pageMargins bottom="0.35433070866141736" footer="0.0" header="0.0" left="0.31496062992125984" right="0.31496062992125984" top="0.35433070866141736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27.57"/>
    <col customWidth="1" min="2" max="2" width="44.57"/>
    <col customWidth="1" min="3" max="3" width="17.57"/>
    <col customWidth="1" min="4" max="8" width="14.57"/>
    <col customWidth="1" min="9" max="9" width="22.57"/>
    <col customWidth="1" min="10" max="10" width="20.43"/>
    <col customWidth="1" min="11" max="11" width="2.86"/>
    <col customWidth="1" min="12" max="12" width="3.43"/>
    <col customWidth="1" min="13" max="13" width="2.86"/>
    <col customWidth="1" hidden="1" min="14" max="15" width="8.86"/>
    <col customWidth="1" hidden="1" min="16" max="16" width="12.43"/>
    <col customWidth="1" hidden="1" min="17" max="17" width="18.57"/>
    <col customWidth="1" min="18" max="26" width="8.86"/>
  </cols>
  <sheetData>
    <row r="1" ht="23.25" customHeight="1">
      <c r="A1" s="15" t="s">
        <v>4</v>
      </c>
      <c r="B1" s="19"/>
      <c r="C1" s="19"/>
      <c r="D1" s="19"/>
      <c r="E1" s="19"/>
      <c r="F1" s="19"/>
      <c r="G1" s="19"/>
      <c r="H1" s="19"/>
      <c r="I1" s="19"/>
      <c r="J1" s="2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1.5" customHeight="1">
      <c r="A2" s="10"/>
      <c r="B2" s="11"/>
      <c r="C2" s="11"/>
      <c r="D2" s="11"/>
      <c r="E2" s="11"/>
      <c r="F2" s="11"/>
      <c r="G2" s="11"/>
      <c r="H2" s="11"/>
      <c r="I2" s="11"/>
      <c r="J2" s="1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16"/>
      <c r="B3" s="18"/>
      <c r="C3" s="18"/>
      <c r="D3" s="18"/>
      <c r="E3" s="18"/>
      <c r="F3" s="18"/>
      <c r="G3" s="18"/>
      <c r="H3" s="18"/>
      <c r="I3" s="23" t="s">
        <v>11</v>
      </c>
      <c r="J3" s="34">
        <f>'ex NEA to AUBNE_AUMEL'!J3</f>
        <v>46258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8.5" customHeight="1">
      <c r="A4" s="28" t="s">
        <v>35</v>
      </c>
      <c r="B4" s="38" t="str">
        <f>'ex NEA to AUBNE_AUMEL'!B4</f>
        <v>01 Sept to 14 Sept 2026</v>
      </c>
      <c r="C4" s="31"/>
      <c r="D4" s="48" t="s">
        <v>108</v>
      </c>
      <c r="E4" s="33"/>
      <c r="F4" s="35"/>
      <c r="G4" s="48" t="s">
        <v>108</v>
      </c>
      <c r="H4" s="35"/>
      <c r="I4" s="48" t="s">
        <v>108</v>
      </c>
      <c r="J4" s="3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1">
      <c r="A5" s="36"/>
      <c r="B5" s="37" t="s">
        <v>75</v>
      </c>
      <c r="C5" s="39" t="s">
        <v>145</v>
      </c>
      <c r="D5" s="40" t="s">
        <v>83</v>
      </c>
      <c r="E5" s="41" t="s">
        <v>88</v>
      </c>
      <c r="F5" s="42" t="s">
        <v>93</v>
      </c>
      <c r="G5" s="43" t="s">
        <v>97</v>
      </c>
      <c r="H5" s="44" t="s">
        <v>100</v>
      </c>
      <c r="I5" s="58" t="s">
        <v>102</v>
      </c>
      <c r="J5" s="46" t="s">
        <v>107</v>
      </c>
      <c r="K5" s="47"/>
      <c r="L5" s="47"/>
      <c r="M5" s="47"/>
      <c r="N5" s="47" t="s">
        <v>172</v>
      </c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4.25" customHeight="1">
      <c r="A6" s="64"/>
      <c r="B6" s="66"/>
      <c r="C6" s="67"/>
      <c r="D6" s="69" t="s">
        <v>129</v>
      </c>
      <c r="E6" s="70" t="s">
        <v>129</v>
      </c>
      <c r="F6" s="71" t="s">
        <v>129</v>
      </c>
      <c r="G6" s="69" t="s">
        <v>129</v>
      </c>
      <c r="H6" s="71" t="s">
        <v>129</v>
      </c>
      <c r="I6" s="69" t="s">
        <v>129</v>
      </c>
      <c r="J6" s="71" t="s">
        <v>129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3" t="s">
        <v>197</v>
      </c>
      <c r="B7" s="75" t="s">
        <v>155</v>
      </c>
      <c r="C7" s="77" t="s">
        <v>204</v>
      </c>
      <c r="D7" s="83">
        <f t="shared" ref="D7:F7" si="1">D8+N7</f>
        <v>2500</v>
      </c>
      <c r="E7" s="85">
        <f t="shared" si="1"/>
        <v>5000</v>
      </c>
      <c r="F7" s="88">
        <f t="shared" si="1"/>
        <v>5000</v>
      </c>
      <c r="G7" s="89"/>
      <c r="H7" s="90"/>
      <c r="I7" s="89"/>
      <c r="J7" s="89"/>
      <c r="K7" s="7"/>
      <c r="L7" s="7"/>
      <c r="M7" s="7"/>
      <c r="N7" s="92">
        <v>100.0</v>
      </c>
      <c r="O7" s="92">
        <v>200.0</v>
      </c>
      <c r="P7" s="92">
        <v>200.0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93"/>
      <c r="B8" s="95" t="s">
        <v>212</v>
      </c>
      <c r="C8" s="96" t="s">
        <v>204</v>
      </c>
      <c r="D8" s="68">
        <f>'ex NEA to AUBNE_AUMEL'!D8</f>
        <v>2400</v>
      </c>
      <c r="E8" s="100">
        <f>'ex NEA to AUBNE_AUMEL'!E8</f>
        <v>4800</v>
      </c>
      <c r="F8" s="72">
        <f>E8</f>
        <v>4800</v>
      </c>
      <c r="G8" s="68">
        <f>'ex NEA to AUBNE_AUMEL'!G8</f>
        <v>2500</v>
      </c>
      <c r="H8" s="72">
        <f>'ex NEA to AUBNE_AUMEL'!H8</f>
        <v>5000</v>
      </c>
      <c r="I8" s="108">
        <f>'ex NEA to AUBNE_AUMEL'!I8</f>
        <v>1750</v>
      </c>
      <c r="J8" s="112">
        <f>'ex NEA to AUBNE_AUMEL'!J8</f>
        <v>3500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6"/>
      <c r="W8" s="7"/>
      <c r="X8" s="7"/>
      <c r="Y8" s="7"/>
      <c r="Z8" s="7"/>
    </row>
    <row r="9" ht="14.25" customHeight="1">
      <c r="A9" s="93"/>
      <c r="B9" s="115" t="s">
        <v>249</v>
      </c>
      <c r="C9" s="118" t="s">
        <v>204</v>
      </c>
      <c r="D9" s="103">
        <f t="shared" ref="D9:F9" si="2">D8+N9</f>
        <v>2500</v>
      </c>
      <c r="E9" s="104">
        <f t="shared" si="2"/>
        <v>5000</v>
      </c>
      <c r="F9" s="105">
        <f t="shared" si="2"/>
        <v>5000</v>
      </c>
      <c r="G9" s="124"/>
      <c r="H9" s="126"/>
      <c r="I9" s="127"/>
      <c r="J9" s="127"/>
      <c r="K9" s="7"/>
      <c r="L9" s="7"/>
      <c r="M9" s="7"/>
      <c r="N9" s="92">
        <v>100.0</v>
      </c>
      <c r="O9" s="92">
        <v>200.0</v>
      </c>
      <c r="P9" s="92">
        <v>200.0</v>
      </c>
      <c r="Q9" s="7"/>
      <c r="R9" s="7"/>
      <c r="S9" s="7"/>
      <c r="T9" s="7"/>
      <c r="U9" s="7"/>
      <c r="V9" s="76"/>
      <c r="W9" s="7"/>
      <c r="X9" s="7"/>
      <c r="Y9" s="7"/>
      <c r="Z9" s="7"/>
    </row>
    <row r="10" ht="14.25" customHeight="1">
      <c r="A10" s="93"/>
      <c r="B10" s="115" t="s">
        <v>271</v>
      </c>
      <c r="C10" s="118" t="s">
        <v>204</v>
      </c>
      <c r="D10" s="103">
        <f t="shared" ref="D10:F10" si="3">D7+N10</f>
        <v>2700</v>
      </c>
      <c r="E10" s="104">
        <f t="shared" si="3"/>
        <v>5300</v>
      </c>
      <c r="F10" s="105">
        <f t="shared" si="3"/>
        <v>5300</v>
      </c>
      <c r="G10" s="120"/>
      <c r="H10" s="121"/>
      <c r="I10" s="120"/>
      <c r="J10" s="120"/>
      <c r="K10" s="7"/>
      <c r="L10" s="7"/>
      <c r="M10" s="7"/>
      <c r="N10" s="113">
        <v>200.0</v>
      </c>
      <c r="O10" s="113">
        <v>300.0</v>
      </c>
      <c r="P10" s="113">
        <v>300.0</v>
      </c>
      <c r="Q10" s="117" t="s">
        <v>304</v>
      </c>
      <c r="R10" s="7"/>
      <c r="S10" s="7"/>
      <c r="T10" s="7"/>
      <c r="U10" s="7"/>
      <c r="V10" s="76"/>
      <c r="W10" s="7"/>
      <c r="X10" s="7"/>
      <c r="Y10" s="7"/>
      <c r="Z10" s="7"/>
    </row>
    <row r="11" ht="14.25" customHeight="1">
      <c r="A11" s="93"/>
      <c r="B11" s="115" t="s">
        <v>306</v>
      </c>
      <c r="C11" s="118" t="s">
        <v>204</v>
      </c>
      <c r="D11" s="103">
        <f t="shared" ref="D11:F11" si="4">D7+N11</f>
        <v>2700</v>
      </c>
      <c r="E11" s="104">
        <f t="shared" si="4"/>
        <v>5300</v>
      </c>
      <c r="F11" s="105">
        <f t="shared" si="4"/>
        <v>5300</v>
      </c>
      <c r="G11" s="120"/>
      <c r="H11" s="121"/>
      <c r="I11" s="120"/>
      <c r="J11" s="120"/>
      <c r="K11" s="7"/>
      <c r="L11" s="7"/>
      <c r="M11" s="7"/>
      <c r="N11" s="113">
        <v>200.0</v>
      </c>
      <c r="O11" s="113">
        <v>300.0</v>
      </c>
      <c r="P11" s="113">
        <v>300.0</v>
      </c>
      <c r="Q11" s="117" t="s">
        <v>304</v>
      </c>
      <c r="R11" s="7"/>
      <c r="S11" s="7"/>
      <c r="T11" s="7"/>
      <c r="U11" s="7"/>
      <c r="V11" s="76"/>
      <c r="W11" s="7"/>
      <c r="X11" s="7"/>
      <c r="Y11" s="7"/>
      <c r="Z11" s="7"/>
    </row>
    <row r="12" ht="14.25" customHeight="1" outlineLevel="1">
      <c r="A12" s="93"/>
      <c r="B12" s="128" t="s">
        <v>307</v>
      </c>
      <c r="C12" s="118" t="s">
        <v>204</v>
      </c>
      <c r="D12" s="129">
        <f t="shared" ref="D12:D15" si="5">$D$8+N12</f>
        <v>2800</v>
      </c>
      <c r="E12" s="132">
        <f t="shared" ref="E12:E15" si="6">$E$8+O12</f>
        <v>5500</v>
      </c>
      <c r="F12" s="105">
        <f t="shared" ref="F12:F21" si="7">E12</f>
        <v>5500</v>
      </c>
      <c r="G12" s="120"/>
      <c r="H12" s="121"/>
      <c r="I12" s="120"/>
      <c r="J12" s="120"/>
      <c r="K12" s="7"/>
      <c r="L12" s="7"/>
      <c r="M12" s="7"/>
      <c r="N12" s="125">
        <v>400.0</v>
      </c>
      <c r="O12" s="125">
        <v>700.0</v>
      </c>
      <c r="P12" s="125">
        <v>700.0</v>
      </c>
      <c r="Q12" s="117" t="s">
        <v>308</v>
      </c>
      <c r="R12" s="7"/>
      <c r="S12" s="7"/>
      <c r="T12" s="7"/>
      <c r="U12" s="7"/>
      <c r="V12" s="76"/>
      <c r="W12" s="7"/>
      <c r="X12" s="7"/>
      <c r="Y12" s="7"/>
      <c r="Z12" s="7"/>
    </row>
    <row r="13" ht="14.25" customHeight="1" outlineLevel="1">
      <c r="A13" s="93"/>
      <c r="B13" s="128" t="s">
        <v>309</v>
      </c>
      <c r="C13" s="118" t="s">
        <v>204</v>
      </c>
      <c r="D13" s="129">
        <f t="shared" si="5"/>
        <v>2600</v>
      </c>
      <c r="E13" s="132">
        <f t="shared" si="6"/>
        <v>5100</v>
      </c>
      <c r="F13" s="105">
        <f t="shared" si="7"/>
        <v>5100</v>
      </c>
      <c r="G13" s="120"/>
      <c r="H13" s="121"/>
      <c r="I13" s="120"/>
      <c r="J13" s="120"/>
      <c r="K13" s="7"/>
      <c r="L13" s="7"/>
      <c r="M13" s="7"/>
      <c r="N13" s="113">
        <v>200.0</v>
      </c>
      <c r="O13" s="113">
        <v>300.0</v>
      </c>
      <c r="P13" s="113">
        <v>300.0</v>
      </c>
      <c r="Q13" s="117" t="s">
        <v>308</v>
      </c>
      <c r="R13" s="7"/>
      <c r="S13" s="7"/>
      <c r="T13" s="7"/>
      <c r="U13" s="7"/>
      <c r="V13" s="76"/>
      <c r="W13" s="7"/>
      <c r="X13" s="7"/>
      <c r="Y13" s="7"/>
      <c r="Z13" s="7"/>
    </row>
    <row r="14" ht="14.25" customHeight="1" outlineLevel="1">
      <c r="A14" s="93"/>
      <c r="B14" s="128" t="s">
        <v>310</v>
      </c>
      <c r="C14" s="118" t="s">
        <v>204</v>
      </c>
      <c r="D14" s="129">
        <f t="shared" si="5"/>
        <v>2650</v>
      </c>
      <c r="E14" s="132">
        <f t="shared" si="6"/>
        <v>5200</v>
      </c>
      <c r="F14" s="105">
        <f t="shared" si="7"/>
        <v>5200</v>
      </c>
      <c r="G14" s="120"/>
      <c r="H14" s="121"/>
      <c r="I14" s="120"/>
      <c r="J14" s="120"/>
      <c r="K14" s="7"/>
      <c r="L14" s="7"/>
      <c r="M14" s="7"/>
      <c r="N14" s="125">
        <v>250.0</v>
      </c>
      <c r="O14" s="125">
        <v>400.0</v>
      </c>
      <c r="P14" s="125">
        <v>400.0</v>
      </c>
      <c r="Q14" s="117" t="s">
        <v>308</v>
      </c>
      <c r="R14" s="7"/>
      <c r="S14" s="7"/>
      <c r="T14" s="7"/>
      <c r="U14" s="7"/>
      <c r="V14" s="76"/>
      <c r="W14" s="7"/>
      <c r="X14" s="7"/>
      <c r="Y14" s="7"/>
      <c r="Z14" s="7"/>
    </row>
    <row r="15" ht="14.25" customHeight="1" outlineLevel="1">
      <c r="A15" s="93"/>
      <c r="B15" s="128" t="s">
        <v>311</v>
      </c>
      <c r="C15" s="118" t="s">
        <v>204</v>
      </c>
      <c r="D15" s="129">
        <f t="shared" si="5"/>
        <v>3600</v>
      </c>
      <c r="E15" s="132">
        <f t="shared" si="6"/>
        <v>6700</v>
      </c>
      <c r="F15" s="105">
        <f t="shared" si="7"/>
        <v>6700</v>
      </c>
      <c r="G15" s="120"/>
      <c r="H15" s="121"/>
      <c r="I15" s="120"/>
      <c r="J15" s="120"/>
      <c r="K15" s="7"/>
      <c r="L15" s="7"/>
      <c r="M15" s="7"/>
      <c r="N15" s="125">
        <v>1200.0</v>
      </c>
      <c r="O15" s="125">
        <v>1900.0</v>
      </c>
      <c r="P15" s="125">
        <v>1900.0</v>
      </c>
      <c r="Q15" s="117" t="s">
        <v>308</v>
      </c>
      <c r="R15" s="7"/>
      <c r="S15" s="7"/>
      <c r="T15" s="7"/>
      <c r="U15" s="7"/>
      <c r="V15" s="76"/>
      <c r="W15" s="7"/>
      <c r="X15" s="7"/>
      <c r="Y15" s="7"/>
      <c r="Z15" s="7"/>
    </row>
    <row r="16" ht="14.25" customHeight="1" outlineLevel="1">
      <c r="A16" s="93"/>
      <c r="B16" s="130" t="s">
        <v>312</v>
      </c>
      <c r="C16" s="118" t="s">
        <v>204</v>
      </c>
      <c r="D16" s="129"/>
      <c r="E16" s="133">
        <f>$E$44+O16</f>
        <v>5850</v>
      </c>
      <c r="F16" s="134">
        <f t="shared" si="7"/>
        <v>5850</v>
      </c>
      <c r="G16" s="120"/>
      <c r="H16" s="121"/>
      <c r="I16" s="120"/>
      <c r="J16" s="120"/>
      <c r="K16" s="7"/>
      <c r="L16" s="7"/>
      <c r="M16" s="7"/>
      <c r="N16" s="125"/>
      <c r="O16" s="125">
        <v>1050.0</v>
      </c>
      <c r="P16" s="125">
        <v>1050.0</v>
      </c>
      <c r="Q16" s="117"/>
      <c r="R16" s="7"/>
      <c r="S16" s="7"/>
      <c r="T16" s="7"/>
      <c r="U16" s="7"/>
      <c r="V16" s="76"/>
      <c r="W16" s="7"/>
      <c r="X16" s="7"/>
      <c r="Y16" s="7"/>
      <c r="Z16" s="7"/>
    </row>
    <row r="17" ht="14.25" customHeight="1" outlineLevel="1">
      <c r="A17" s="93"/>
      <c r="B17" s="128" t="s">
        <v>314</v>
      </c>
      <c r="C17" s="118" t="s">
        <v>204</v>
      </c>
      <c r="D17" s="129">
        <f>$D$8+N17</f>
        <v>2750</v>
      </c>
      <c r="E17" s="132">
        <f>$E$8+O17</f>
        <v>5700</v>
      </c>
      <c r="F17" s="105">
        <f t="shared" si="7"/>
        <v>5700</v>
      </c>
      <c r="G17" s="120"/>
      <c r="H17" s="121"/>
      <c r="I17" s="120"/>
      <c r="J17" s="120"/>
      <c r="K17" s="7"/>
      <c r="L17" s="7"/>
      <c r="M17" s="7"/>
      <c r="N17" s="125">
        <v>350.0</v>
      </c>
      <c r="O17" s="125">
        <v>900.0</v>
      </c>
      <c r="P17" s="125">
        <v>900.0</v>
      </c>
      <c r="Q17" s="117" t="s">
        <v>308</v>
      </c>
      <c r="R17" s="7"/>
      <c r="S17" s="7"/>
      <c r="T17" s="7"/>
      <c r="U17" s="7"/>
      <c r="V17" s="76"/>
      <c r="W17" s="7"/>
      <c r="X17" s="7"/>
      <c r="Y17" s="7"/>
      <c r="Z17" s="7"/>
    </row>
    <row r="18" ht="14.25" customHeight="1" outlineLevel="1">
      <c r="A18" s="93"/>
      <c r="B18" s="130" t="s">
        <v>315</v>
      </c>
      <c r="C18" s="118" t="s">
        <v>204</v>
      </c>
      <c r="D18" s="103">
        <f>D44+1000</f>
        <v>3400</v>
      </c>
      <c r="E18" s="104">
        <f>E44+950</f>
        <v>5750</v>
      </c>
      <c r="F18" s="105">
        <f t="shared" si="7"/>
        <v>5750</v>
      </c>
      <c r="G18" s="120"/>
      <c r="H18" s="121"/>
      <c r="I18" s="120"/>
      <c r="J18" s="120"/>
      <c r="K18" s="7"/>
      <c r="L18" s="7"/>
      <c r="M18" s="7"/>
      <c r="N18" s="125"/>
      <c r="O18" s="125"/>
      <c r="P18" s="125"/>
      <c r="Q18" s="117"/>
      <c r="R18" s="7"/>
      <c r="S18" s="7"/>
      <c r="T18" s="7"/>
      <c r="U18" s="7"/>
      <c r="V18" s="76"/>
      <c r="W18" s="7"/>
      <c r="X18" s="7"/>
      <c r="Y18" s="7"/>
      <c r="Z18" s="7"/>
    </row>
    <row r="19" ht="14.25" customHeight="1" outlineLevel="1">
      <c r="A19" s="93"/>
      <c r="B19" s="130" t="s">
        <v>316</v>
      </c>
      <c r="C19" s="118" t="s">
        <v>204</v>
      </c>
      <c r="D19" s="103">
        <f>D44+900</f>
        <v>3300</v>
      </c>
      <c r="E19" s="104">
        <f>E44+1000</f>
        <v>5800</v>
      </c>
      <c r="F19" s="105">
        <f t="shared" si="7"/>
        <v>5800</v>
      </c>
      <c r="G19" s="120"/>
      <c r="H19" s="121"/>
      <c r="I19" s="120"/>
      <c r="J19" s="120"/>
      <c r="K19" s="7"/>
      <c r="L19" s="7"/>
      <c r="M19" s="7"/>
      <c r="N19" s="125"/>
      <c r="O19" s="125"/>
      <c r="P19" s="125"/>
      <c r="Q19" s="117"/>
      <c r="R19" s="7"/>
      <c r="S19" s="7"/>
      <c r="T19" s="7"/>
      <c r="U19" s="7"/>
      <c r="V19" s="76"/>
      <c r="W19" s="7"/>
      <c r="X19" s="7"/>
      <c r="Y19" s="7"/>
      <c r="Z19" s="7"/>
    </row>
    <row r="20" ht="14.25" customHeight="1" outlineLevel="1">
      <c r="A20" s="93"/>
      <c r="B20" s="128" t="s">
        <v>317</v>
      </c>
      <c r="C20" s="118" t="s">
        <v>204</v>
      </c>
      <c r="D20" s="129">
        <f t="shared" ref="D20:D21" si="8">$D$8+N20</f>
        <v>2600</v>
      </c>
      <c r="E20" s="132">
        <f t="shared" ref="E20:E21" si="9">$E$8+O20</f>
        <v>5100</v>
      </c>
      <c r="F20" s="105">
        <f t="shared" si="7"/>
        <v>5100</v>
      </c>
      <c r="G20" s="120"/>
      <c r="H20" s="121"/>
      <c r="I20" s="120"/>
      <c r="J20" s="120"/>
      <c r="K20" s="7"/>
      <c r="L20" s="7"/>
      <c r="M20" s="7"/>
      <c r="N20" s="113">
        <v>200.0</v>
      </c>
      <c r="O20" s="113">
        <v>300.0</v>
      </c>
      <c r="P20" s="113">
        <v>300.0</v>
      </c>
      <c r="Q20" s="117" t="s">
        <v>308</v>
      </c>
      <c r="R20" s="7"/>
      <c r="S20" s="7"/>
      <c r="T20" s="7"/>
      <c r="U20" s="7"/>
      <c r="V20" s="76"/>
      <c r="W20" s="7"/>
      <c r="X20" s="7"/>
      <c r="Y20" s="7"/>
      <c r="Z20" s="7"/>
    </row>
    <row r="21" ht="14.25" customHeight="1" outlineLevel="1">
      <c r="A21" s="93"/>
      <c r="B21" s="128" t="s">
        <v>318</v>
      </c>
      <c r="C21" s="118" t="s">
        <v>204</v>
      </c>
      <c r="D21" s="129">
        <f t="shared" si="8"/>
        <v>2750</v>
      </c>
      <c r="E21" s="132">
        <f t="shared" si="9"/>
        <v>5350</v>
      </c>
      <c r="F21" s="105">
        <f t="shared" si="7"/>
        <v>5350</v>
      </c>
      <c r="G21" s="120"/>
      <c r="H21" s="121"/>
      <c r="I21" s="120"/>
      <c r="J21" s="120"/>
      <c r="K21" s="7"/>
      <c r="L21" s="7"/>
      <c r="M21" s="7"/>
      <c r="N21" s="140">
        <v>350.0</v>
      </c>
      <c r="O21" s="125">
        <v>550.0</v>
      </c>
      <c r="P21" s="125">
        <v>550.0</v>
      </c>
      <c r="Q21" s="117" t="s">
        <v>308</v>
      </c>
      <c r="R21" s="7"/>
      <c r="S21" s="7"/>
      <c r="T21" s="7"/>
      <c r="U21" s="7"/>
      <c r="V21" s="76"/>
      <c r="W21" s="7"/>
      <c r="X21" s="7"/>
      <c r="Y21" s="7"/>
      <c r="Z21" s="7"/>
    </row>
    <row r="22" ht="14.25" customHeight="1" outlineLevel="1">
      <c r="A22" s="93"/>
      <c r="B22" s="130" t="s">
        <v>319</v>
      </c>
      <c r="C22" s="118" t="s">
        <v>204</v>
      </c>
      <c r="D22" s="103">
        <f>D7+100</f>
        <v>2600</v>
      </c>
      <c r="E22" s="104">
        <f t="shared" ref="E22:F22" si="10">E7+150</f>
        <v>5150</v>
      </c>
      <c r="F22" s="105">
        <f t="shared" si="10"/>
        <v>5150</v>
      </c>
      <c r="G22" s="120"/>
      <c r="H22" s="121"/>
      <c r="I22" s="120"/>
      <c r="J22" s="120"/>
      <c r="K22" s="7"/>
      <c r="L22" s="7"/>
      <c r="M22" s="7"/>
      <c r="N22" s="125">
        <v>200.0</v>
      </c>
      <c r="O22" s="125">
        <v>350.0</v>
      </c>
      <c r="P22" s="125">
        <v>350.0</v>
      </c>
      <c r="Q22" s="117" t="s">
        <v>304</v>
      </c>
      <c r="R22" s="7"/>
      <c r="S22" s="7"/>
      <c r="T22" s="7"/>
      <c r="U22" s="7"/>
      <c r="V22" s="76"/>
      <c r="W22" s="7"/>
      <c r="X22" s="7"/>
      <c r="Y22" s="7"/>
      <c r="Z22" s="7"/>
    </row>
    <row r="23" ht="14.25" customHeight="1" outlineLevel="1">
      <c r="A23" s="93"/>
      <c r="B23" s="128" t="s">
        <v>320</v>
      </c>
      <c r="C23" s="118" t="s">
        <v>204</v>
      </c>
      <c r="D23" s="129">
        <f>$D$8+N23</f>
        <v>2785</v>
      </c>
      <c r="E23" s="132">
        <f>$E$8+O23</f>
        <v>5450</v>
      </c>
      <c r="F23" s="105">
        <f>E23</f>
        <v>5450</v>
      </c>
      <c r="G23" s="120"/>
      <c r="H23" s="121"/>
      <c r="I23" s="120"/>
      <c r="J23" s="120"/>
      <c r="K23" s="7"/>
      <c r="L23" s="7"/>
      <c r="M23" s="7"/>
      <c r="N23" s="125">
        <v>385.0</v>
      </c>
      <c r="O23" s="125">
        <v>650.0</v>
      </c>
      <c r="P23" s="125">
        <v>650.0</v>
      </c>
      <c r="Q23" s="117" t="s">
        <v>308</v>
      </c>
      <c r="R23" s="7"/>
      <c r="S23" s="7"/>
      <c r="T23" s="7"/>
      <c r="U23" s="7"/>
      <c r="V23" s="76"/>
      <c r="W23" s="7"/>
      <c r="X23" s="7"/>
      <c r="Y23" s="7"/>
      <c r="Z23" s="7"/>
    </row>
    <row r="24" ht="14.25" customHeight="1" outlineLevel="1">
      <c r="A24" s="93"/>
      <c r="B24" s="130" t="s">
        <v>321</v>
      </c>
      <c r="C24" s="118" t="s">
        <v>204</v>
      </c>
      <c r="D24" s="132">
        <f>D44+645</f>
        <v>3045</v>
      </c>
      <c r="E24" s="132">
        <f t="shared" ref="E24:F24" si="11">E44+825</f>
        <v>5625</v>
      </c>
      <c r="F24" s="132">
        <f t="shared" si="11"/>
        <v>5625</v>
      </c>
      <c r="G24" s="120"/>
      <c r="H24" s="121"/>
      <c r="I24" s="120"/>
      <c r="J24" s="120"/>
      <c r="K24" s="7"/>
      <c r="L24" s="7"/>
      <c r="M24" s="7"/>
      <c r="N24" s="125"/>
      <c r="O24" s="125"/>
      <c r="P24" s="125"/>
      <c r="Q24" s="117"/>
      <c r="R24" s="7"/>
      <c r="S24" s="7"/>
      <c r="T24" s="7"/>
      <c r="U24" s="7"/>
      <c r="V24" s="76"/>
      <c r="W24" s="7"/>
      <c r="X24" s="7"/>
      <c r="Y24" s="7"/>
      <c r="Z24" s="7"/>
    </row>
    <row r="25" ht="14.25" customHeight="1" outlineLevel="1">
      <c r="A25" s="93"/>
      <c r="B25" s="141" t="s">
        <v>322</v>
      </c>
      <c r="C25" s="118" t="s">
        <v>204</v>
      </c>
      <c r="D25" s="103">
        <f t="shared" ref="D25:F25" si="12">D8+N25</f>
        <v>2650</v>
      </c>
      <c r="E25" s="104">
        <f t="shared" si="12"/>
        <v>5200</v>
      </c>
      <c r="F25" s="105">
        <f t="shared" si="12"/>
        <v>5200</v>
      </c>
      <c r="G25" s="120"/>
      <c r="H25" s="121"/>
      <c r="I25" s="120"/>
      <c r="J25" s="120"/>
      <c r="K25" s="7"/>
      <c r="L25" s="7"/>
      <c r="M25" s="7"/>
      <c r="N25" s="125">
        <v>250.0</v>
      </c>
      <c r="O25" s="125">
        <v>400.0</v>
      </c>
      <c r="P25" s="125">
        <v>400.0</v>
      </c>
      <c r="Q25" s="117" t="s">
        <v>308</v>
      </c>
      <c r="R25" s="7"/>
      <c r="S25" s="7"/>
      <c r="T25" s="7"/>
      <c r="U25" s="7"/>
      <c r="V25" s="76"/>
      <c r="W25" s="7"/>
      <c r="X25" s="7"/>
      <c r="Y25" s="7"/>
      <c r="Z25" s="7"/>
    </row>
    <row r="26" ht="14.25" customHeight="1" outlineLevel="1">
      <c r="A26" s="93"/>
      <c r="B26" s="128" t="s">
        <v>323</v>
      </c>
      <c r="C26" s="118" t="s">
        <v>204</v>
      </c>
      <c r="D26" s="129">
        <f>$D$8+N26</f>
        <v>2650</v>
      </c>
      <c r="E26" s="132">
        <f>$E$8+O26</f>
        <v>5200</v>
      </c>
      <c r="F26" s="105">
        <f>E26</f>
        <v>5200</v>
      </c>
      <c r="G26" s="120"/>
      <c r="H26" s="121"/>
      <c r="I26" s="120"/>
      <c r="J26" s="120"/>
      <c r="K26" s="7"/>
      <c r="L26" s="7"/>
      <c r="M26" s="7"/>
      <c r="N26" s="125">
        <v>250.0</v>
      </c>
      <c r="O26" s="125">
        <v>400.0</v>
      </c>
      <c r="P26" s="125">
        <v>400.0</v>
      </c>
      <c r="Q26" s="117" t="s">
        <v>308</v>
      </c>
      <c r="R26" s="7"/>
      <c r="S26" s="7"/>
      <c r="T26" s="7"/>
      <c r="U26" s="7"/>
      <c r="V26" s="76"/>
      <c r="W26" s="7"/>
      <c r="X26" s="7"/>
      <c r="Y26" s="7"/>
      <c r="Z26" s="7"/>
    </row>
    <row r="27" ht="14.25" customHeight="1" outlineLevel="1">
      <c r="A27" s="93"/>
      <c r="B27" s="128" t="s">
        <v>324</v>
      </c>
      <c r="C27" s="118" t="s">
        <v>204</v>
      </c>
      <c r="D27" s="142">
        <f t="shared" ref="D27:F27" si="13">D7+N27</f>
        <v>2700</v>
      </c>
      <c r="E27" s="132">
        <f t="shared" si="13"/>
        <v>5300</v>
      </c>
      <c r="F27" s="143">
        <f t="shared" si="13"/>
        <v>5300</v>
      </c>
      <c r="G27" s="120"/>
      <c r="H27" s="121"/>
      <c r="I27" s="120"/>
      <c r="J27" s="120"/>
      <c r="K27" s="7"/>
      <c r="L27" s="7"/>
      <c r="M27" s="7"/>
      <c r="N27" s="113">
        <v>200.0</v>
      </c>
      <c r="O27" s="113">
        <v>300.0</v>
      </c>
      <c r="P27" s="113">
        <v>300.0</v>
      </c>
      <c r="Q27" s="117" t="s">
        <v>304</v>
      </c>
      <c r="R27" s="7"/>
      <c r="S27" s="7"/>
      <c r="T27" s="7"/>
      <c r="U27" s="7"/>
      <c r="V27" s="76"/>
      <c r="W27" s="7"/>
      <c r="X27" s="7"/>
      <c r="Y27" s="7"/>
      <c r="Z27" s="7"/>
    </row>
    <row r="28" ht="14.25" customHeight="1" outlineLevel="1">
      <c r="A28" s="93"/>
      <c r="B28" s="128" t="s">
        <v>325</v>
      </c>
      <c r="C28" s="118" t="s">
        <v>204</v>
      </c>
      <c r="D28" s="129">
        <f t="shared" ref="D28:D29" si="14">$D$8+N28</f>
        <v>2600</v>
      </c>
      <c r="E28" s="132">
        <f t="shared" ref="E28:E29" si="15">$E$8+O28</f>
        <v>5100</v>
      </c>
      <c r="F28" s="105">
        <f t="shared" ref="F28:F29" si="16">E28</f>
        <v>5100</v>
      </c>
      <c r="G28" s="120"/>
      <c r="H28" s="121"/>
      <c r="I28" s="120"/>
      <c r="J28" s="120"/>
      <c r="K28" s="7"/>
      <c r="L28" s="7"/>
      <c r="M28" s="7"/>
      <c r="N28" s="113">
        <v>200.0</v>
      </c>
      <c r="O28" s="113">
        <v>300.0</v>
      </c>
      <c r="P28" s="113">
        <v>300.0</v>
      </c>
      <c r="Q28" s="117" t="s">
        <v>308</v>
      </c>
      <c r="R28" s="7"/>
      <c r="S28" s="7"/>
      <c r="T28" s="7"/>
      <c r="U28" s="7"/>
      <c r="V28" s="76"/>
      <c r="W28" s="7"/>
      <c r="X28" s="7"/>
      <c r="Y28" s="7"/>
      <c r="Z28" s="7"/>
    </row>
    <row r="29" ht="14.25" customHeight="1" outlineLevel="1">
      <c r="A29" s="93"/>
      <c r="B29" s="128" t="s">
        <v>326</v>
      </c>
      <c r="C29" s="118" t="s">
        <v>204</v>
      </c>
      <c r="D29" s="129">
        <f t="shared" si="14"/>
        <v>2650</v>
      </c>
      <c r="E29" s="132">
        <f t="shared" si="15"/>
        <v>5200</v>
      </c>
      <c r="F29" s="105">
        <f t="shared" si="16"/>
        <v>5200</v>
      </c>
      <c r="G29" s="120"/>
      <c r="H29" s="121"/>
      <c r="I29" s="120"/>
      <c r="J29" s="120"/>
      <c r="K29" s="7"/>
      <c r="L29" s="7"/>
      <c r="M29" s="7"/>
      <c r="N29" s="125">
        <v>250.0</v>
      </c>
      <c r="O29" s="125">
        <v>400.0</v>
      </c>
      <c r="P29" s="125">
        <v>400.0</v>
      </c>
      <c r="Q29" s="117" t="s">
        <v>308</v>
      </c>
      <c r="R29" s="7"/>
      <c r="S29" s="7"/>
      <c r="T29" s="7"/>
      <c r="U29" s="7"/>
      <c r="V29" s="76"/>
      <c r="W29" s="7"/>
      <c r="X29" s="7"/>
      <c r="Y29" s="7"/>
      <c r="Z29" s="7"/>
    </row>
    <row r="30" ht="14.25" customHeight="1" outlineLevel="1">
      <c r="A30" s="93"/>
      <c r="B30" s="128" t="s">
        <v>327</v>
      </c>
      <c r="C30" s="118" t="s">
        <v>204</v>
      </c>
      <c r="D30" s="129">
        <f t="shared" ref="D30:F30" si="17">D9+N30</f>
        <v>2700</v>
      </c>
      <c r="E30" s="132">
        <f t="shared" si="17"/>
        <v>5300</v>
      </c>
      <c r="F30" s="105">
        <f t="shared" si="17"/>
        <v>5300</v>
      </c>
      <c r="G30" s="120"/>
      <c r="H30" s="121"/>
      <c r="I30" s="120"/>
      <c r="J30" s="120"/>
      <c r="K30" s="7"/>
      <c r="L30" s="7"/>
      <c r="M30" s="7"/>
      <c r="N30" s="113">
        <v>200.0</v>
      </c>
      <c r="O30" s="113">
        <v>300.0</v>
      </c>
      <c r="P30" s="113">
        <v>300.0</v>
      </c>
      <c r="Q30" s="117" t="s">
        <v>328</v>
      </c>
      <c r="R30" s="7"/>
      <c r="S30" s="7"/>
      <c r="T30" s="7"/>
      <c r="U30" s="7"/>
      <c r="V30" s="76"/>
      <c r="W30" s="7"/>
      <c r="X30" s="7"/>
      <c r="Y30" s="7"/>
      <c r="Z30" s="7"/>
    </row>
    <row r="31" ht="14.25" customHeight="1" outlineLevel="1">
      <c r="A31" s="93"/>
      <c r="B31" s="128" t="s">
        <v>329</v>
      </c>
      <c r="C31" s="118" t="s">
        <v>204</v>
      </c>
      <c r="D31" s="129">
        <f t="shared" ref="D31:D33" si="18">$D$8+N31</f>
        <v>2700</v>
      </c>
      <c r="E31" s="132">
        <f t="shared" ref="E31:E33" si="19">$E$8+O31</f>
        <v>5375</v>
      </c>
      <c r="F31" s="105">
        <f t="shared" ref="F31:F33" si="20">E31</f>
        <v>5375</v>
      </c>
      <c r="G31" s="120"/>
      <c r="H31" s="121"/>
      <c r="I31" s="120"/>
      <c r="J31" s="120"/>
      <c r="K31" s="7"/>
      <c r="L31" s="7"/>
      <c r="M31" s="7"/>
      <c r="N31" s="125">
        <v>300.0</v>
      </c>
      <c r="O31" s="125">
        <v>575.0</v>
      </c>
      <c r="P31" s="125">
        <v>575.0</v>
      </c>
      <c r="Q31" s="117" t="s">
        <v>308</v>
      </c>
      <c r="R31" s="7"/>
      <c r="S31" s="7"/>
      <c r="T31" s="7"/>
      <c r="U31" s="7"/>
      <c r="V31" s="76"/>
      <c r="W31" s="7"/>
      <c r="X31" s="7"/>
      <c r="Y31" s="7"/>
      <c r="Z31" s="7"/>
    </row>
    <row r="32" ht="14.25" customHeight="1" outlineLevel="1">
      <c r="A32" s="93"/>
      <c r="B32" s="128" t="s">
        <v>330</v>
      </c>
      <c r="C32" s="118" t="s">
        <v>204</v>
      </c>
      <c r="D32" s="129">
        <f t="shared" si="18"/>
        <v>2700</v>
      </c>
      <c r="E32" s="132">
        <f t="shared" si="19"/>
        <v>5175</v>
      </c>
      <c r="F32" s="105">
        <f t="shared" si="20"/>
        <v>5175</v>
      </c>
      <c r="G32" s="120"/>
      <c r="H32" s="121"/>
      <c r="I32" s="120"/>
      <c r="J32" s="120"/>
      <c r="K32" s="7"/>
      <c r="L32" s="7"/>
      <c r="M32" s="7"/>
      <c r="N32" s="125">
        <v>300.0</v>
      </c>
      <c r="O32" s="125">
        <v>375.0</v>
      </c>
      <c r="P32" s="125">
        <v>375.0</v>
      </c>
      <c r="Q32" s="117" t="s">
        <v>308</v>
      </c>
      <c r="R32" s="7"/>
      <c r="S32" s="7"/>
      <c r="T32" s="7"/>
      <c r="U32" s="7"/>
      <c r="V32" s="76"/>
      <c r="W32" s="7"/>
      <c r="X32" s="7"/>
      <c r="Y32" s="7"/>
      <c r="Z32" s="7"/>
    </row>
    <row r="33" ht="14.25" customHeight="1" outlineLevel="1">
      <c r="A33" s="93"/>
      <c r="B33" s="128" t="s">
        <v>331</v>
      </c>
      <c r="C33" s="118" t="s">
        <v>204</v>
      </c>
      <c r="D33" s="129">
        <f t="shared" si="18"/>
        <v>2675</v>
      </c>
      <c r="E33" s="132">
        <f t="shared" si="19"/>
        <v>5175</v>
      </c>
      <c r="F33" s="105">
        <f t="shared" si="20"/>
        <v>5175</v>
      </c>
      <c r="G33" s="120"/>
      <c r="H33" s="121"/>
      <c r="I33" s="120"/>
      <c r="J33" s="120"/>
      <c r="K33" s="7"/>
      <c r="L33" s="7"/>
      <c r="M33" s="7"/>
      <c r="N33" s="125">
        <v>275.0</v>
      </c>
      <c r="O33" s="125">
        <v>375.0</v>
      </c>
      <c r="P33" s="125">
        <v>375.0</v>
      </c>
      <c r="Q33" s="117" t="s">
        <v>308</v>
      </c>
      <c r="R33" s="7"/>
      <c r="S33" s="7"/>
      <c r="T33" s="7"/>
      <c r="U33" s="7"/>
      <c r="V33" s="76"/>
      <c r="W33" s="7"/>
      <c r="X33" s="7"/>
      <c r="Y33" s="7"/>
      <c r="Z33" s="7"/>
    </row>
    <row r="34" ht="14.25" customHeight="1" outlineLevel="1">
      <c r="A34" s="93"/>
      <c r="B34" s="128" t="s">
        <v>332</v>
      </c>
      <c r="C34" s="118" t="s">
        <v>204</v>
      </c>
      <c r="D34" s="129">
        <f t="shared" ref="D34:F34" si="21">D7+N34</f>
        <v>2700</v>
      </c>
      <c r="E34" s="132">
        <f t="shared" si="21"/>
        <v>5300</v>
      </c>
      <c r="F34" s="143">
        <f t="shared" si="21"/>
        <v>5300</v>
      </c>
      <c r="G34" s="120"/>
      <c r="H34" s="121"/>
      <c r="I34" s="120"/>
      <c r="J34" s="120"/>
      <c r="K34" s="7"/>
      <c r="L34" s="7"/>
      <c r="M34" s="7"/>
      <c r="N34" s="113">
        <v>200.0</v>
      </c>
      <c r="O34" s="113">
        <v>300.0</v>
      </c>
      <c r="P34" s="113">
        <v>300.0</v>
      </c>
      <c r="Q34" s="117" t="s">
        <v>304</v>
      </c>
      <c r="R34" s="7"/>
      <c r="S34" s="7"/>
      <c r="T34" s="7"/>
      <c r="U34" s="7"/>
      <c r="V34" s="76"/>
      <c r="W34" s="7"/>
      <c r="X34" s="7"/>
      <c r="Y34" s="7"/>
      <c r="Z34" s="7"/>
    </row>
    <row r="35" ht="14.25" customHeight="1" outlineLevel="1">
      <c r="A35" s="93"/>
      <c r="B35" s="128" t="s">
        <v>333</v>
      </c>
      <c r="C35" s="118" t="s">
        <v>204</v>
      </c>
      <c r="D35" s="129">
        <f t="shared" ref="D35:D37" si="22">$D$8+N35</f>
        <v>2675</v>
      </c>
      <c r="E35" s="132">
        <f t="shared" ref="E35:E37" si="23">$E$8+O35</f>
        <v>5475</v>
      </c>
      <c r="F35" s="105">
        <f t="shared" ref="F35:F44" si="24">E35</f>
        <v>5475</v>
      </c>
      <c r="G35" s="120"/>
      <c r="H35" s="121"/>
      <c r="I35" s="120"/>
      <c r="J35" s="120"/>
      <c r="K35" s="7"/>
      <c r="L35" s="7"/>
      <c r="M35" s="7"/>
      <c r="N35" s="125">
        <v>275.0</v>
      </c>
      <c r="O35" s="125">
        <v>675.0</v>
      </c>
      <c r="P35" s="125">
        <v>675.0</v>
      </c>
      <c r="Q35" s="117" t="s">
        <v>308</v>
      </c>
      <c r="R35" s="7"/>
      <c r="S35" s="7"/>
      <c r="T35" s="7"/>
      <c r="U35" s="7"/>
      <c r="V35" s="76"/>
      <c r="W35" s="7"/>
      <c r="X35" s="7"/>
      <c r="Y35" s="7"/>
      <c r="Z35" s="7"/>
    </row>
    <row r="36" ht="14.25" customHeight="1" outlineLevel="1">
      <c r="A36" s="93"/>
      <c r="B36" s="128" t="s">
        <v>334</v>
      </c>
      <c r="C36" s="118" t="s">
        <v>204</v>
      </c>
      <c r="D36" s="129">
        <f t="shared" si="22"/>
        <v>2675</v>
      </c>
      <c r="E36" s="132">
        <f t="shared" si="23"/>
        <v>5175</v>
      </c>
      <c r="F36" s="105">
        <f t="shared" si="24"/>
        <v>5175</v>
      </c>
      <c r="G36" s="120"/>
      <c r="H36" s="121"/>
      <c r="I36" s="120"/>
      <c r="J36" s="120"/>
      <c r="K36" s="7"/>
      <c r="L36" s="7"/>
      <c r="M36" s="7"/>
      <c r="N36" s="125">
        <v>275.0</v>
      </c>
      <c r="O36" s="125">
        <v>375.0</v>
      </c>
      <c r="P36" s="125">
        <v>375.0</v>
      </c>
      <c r="Q36" s="117" t="s">
        <v>308</v>
      </c>
      <c r="R36" s="7"/>
      <c r="S36" s="7"/>
      <c r="T36" s="7"/>
      <c r="U36" s="7"/>
      <c r="V36" s="76"/>
      <c r="W36" s="7"/>
      <c r="X36" s="7"/>
      <c r="Y36" s="7"/>
      <c r="Z36" s="7"/>
    </row>
    <row r="37" ht="14.25" customHeight="1" outlineLevel="1">
      <c r="A37" s="93"/>
      <c r="B37" s="128" t="s">
        <v>335</v>
      </c>
      <c r="C37" s="118" t="s">
        <v>204</v>
      </c>
      <c r="D37" s="129">
        <f t="shared" si="22"/>
        <v>2650</v>
      </c>
      <c r="E37" s="132">
        <f t="shared" si="23"/>
        <v>5150</v>
      </c>
      <c r="F37" s="105">
        <f t="shared" si="24"/>
        <v>5150</v>
      </c>
      <c r="G37" s="120"/>
      <c r="H37" s="121"/>
      <c r="I37" s="120"/>
      <c r="J37" s="120"/>
      <c r="K37" s="7"/>
      <c r="L37" s="7"/>
      <c r="M37" s="7"/>
      <c r="N37" s="125">
        <v>250.0</v>
      </c>
      <c r="O37" s="125">
        <v>350.0</v>
      </c>
      <c r="P37" s="125">
        <v>350.0</v>
      </c>
      <c r="Q37" s="117" t="s">
        <v>308</v>
      </c>
      <c r="R37" s="7"/>
      <c r="S37" s="7"/>
      <c r="T37" s="7"/>
      <c r="U37" s="7"/>
      <c r="V37" s="76"/>
      <c r="W37" s="7"/>
      <c r="X37" s="7"/>
      <c r="Y37" s="7"/>
      <c r="Z37" s="7"/>
    </row>
    <row r="38" ht="14.25" customHeight="1" outlineLevel="1">
      <c r="A38" s="93"/>
      <c r="B38" s="163" t="s">
        <v>336</v>
      </c>
      <c r="C38" s="156" t="s">
        <v>204</v>
      </c>
      <c r="D38" s="157">
        <f t="shared" ref="D38:E38" si="25">D9+N38</f>
        <v>2575</v>
      </c>
      <c r="E38" s="158">
        <f t="shared" si="25"/>
        <v>5125</v>
      </c>
      <c r="F38" s="159">
        <f t="shared" si="24"/>
        <v>5125</v>
      </c>
      <c r="G38" s="160"/>
      <c r="H38" s="161"/>
      <c r="I38" s="160"/>
      <c r="J38" s="160"/>
      <c r="K38" s="7"/>
      <c r="L38" s="7"/>
      <c r="M38" s="7"/>
      <c r="N38" s="125">
        <v>75.0</v>
      </c>
      <c r="O38" s="125">
        <v>125.0</v>
      </c>
      <c r="P38" s="125">
        <v>125.0</v>
      </c>
      <c r="Q38" s="117" t="s">
        <v>328</v>
      </c>
      <c r="R38" s="7"/>
      <c r="S38" s="7"/>
      <c r="T38" s="7"/>
      <c r="U38" s="7"/>
      <c r="V38" s="76"/>
      <c r="W38" s="7"/>
      <c r="X38" s="7"/>
      <c r="Y38" s="7"/>
      <c r="Z38" s="7"/>
    </row>
    <row r="39" ht="14.25" customHeight="1">
      <c r="A39" s="153" t="s">
        <v>337</v>
      </c>
      <c r="B39" s="59" t="s">
        <v>338</v>
      </c>
      <c r="C39" s="154" t="s">
        <v>204</v>
      </c>
      <c r="D39" s="68">
        <f>'ex NEA to AUBNE_AUMEL'!D39</f>
        <v>2550</v>
      </c>
      <c r="E39" s="100">
        <f>'ex NEA to AUBNE_AUMEL'!E39</f>
        <v>5000</v>
      </c>
      <c r="F39" s="72">
        <f t="shared" si="24"/>
        <v>5000</v>
      </c>
      <c r="G39" s="68">
        <f>'ex NEA to AUBNE_AUMEL'!G39</f>
        <v>2650</v>
      </c>
      <c r="H39" s="72">
        <f>'ex NEA to AUBNE_AUMEL'!H39</f>
        <v>5200</v>
      </c>
      <c r="I39" s="155">
        <f>'ex NEA to AUBNE_AUMEL'!I39</f>
        <v>1900</v>
      </c>
      <c r="J39" s="155">
        <f>'ex NEA to AUBNE_AUMEL'!J39</f>
        <v>3700</v>
      </c>
      <c r="K39" s="7"/>
      <c r="L39" s="7"/>
      <c r="M39" s="7"/>
      <c r="N39" s="7">
        <v>150.0</v>
      </c>
      <c r="O39" s="7">
        <v>200.0</v>
      </c>
      <c r="P39" s="7">
        <v>200.0</v>
      </c>
      <c r="Q39" s="7"/>
      <c r="R39" s="7"/>
      <c r="S39" s="7"/>
      <c r="T39" s="7"/>
      <c r="U39" s="7"/>
      <c r="V39" s="76"/>
      <c r="W39" s="7"/>
      <c r="X39" s="7"/>
      <c r="Y39" s="7"/>
      <c r="Z39" s="7"/>
    </row>
    <row r="40" ht="14.25" customHeight="1">
      <c r="A40" s="78"/>
      <c r="B40" s="128" t="s">
        <v>339</v>
      </c>
      <c r="C40" s="156" t="s">
        <v>204</v>
      </c>
      <c r="D40" s="157">
        <f t="shared" ref="D40:D42" si="26">$D$39+N40</f>
        <v>2650</v>
      </c>
      <c r="E40" s="158">
        <f t="shared" ref="E40:E42" si="27">$E$39+O40</f>
        <v>5200</v>
      </c>
      <c r="F40" s="159">
        <f t="shared" si="24"/>
        <v>5200</v>
      </c>
      <c r="G40" s="120"/>
      <c r="H40" s="121"/>
      <c r="I40" s="162"/>
      <c r="J40" s="162"/>
      <c r="K40" s="7"/>
      <c r="L40" s="7"/>
      <c r="M40" s="7"/>
      <c r="N40" s="125">
        <v>100.0</v>
      </c>
      <c r="O40" s="125">
        <v>200.0</v>
      </c>
      <c r="P40" s="125">
        <v>200.0</v>
      </c>
      <c r="Q40" s="125"/>
      <c r="R40" s="7"/>
      <c r="S40" s="7"/>
      <c r="T40" s="7"/>
      <c r="U40" s="7"/>
      <c r="V40" s="76"/>
      <c r="W40" s="7"/>
      <c r="X40" s="7"/>
      <c r="Y40" s="7"/>
      <c r="Z40" s="7"/>
    </row>
    <row r="41" ht="14.25" customHeight="1">
      <c r="A41" s="78"/>
      <c r="B41" s="128" t="s">
        <v>340</v>
      </c>
      <c r="C41" s="156" t="s">
        <v>204</v>
      </c>
      <c r="D41" s="157">
        <f t="shared" si="26"/>
        <v>2800</v>
      </c>
      <c r="E41" s="158">
        <f t="shared" si="27"/>
        <v>5500</v>
      </c>
      <c r="F41" s="159">
        <f t="shared" si="24"/>
        <v>5500</v>
      </c>
      <c r="G41" s="120"/>
      <c r="H41" s="121"/>
      <c r="I41" s="162"/>
      <c r="J41" s="162"/>
      <c r="K41" s="7"/>
      <c r="L41" s="7"/>
      <c r="M41" s="7"/>
      <c r="N41" s="125">
        <v>250.0</v>
      </c>
      <c r="O41" s="125">
        <v>500.0</v>
      </c>
      <c r="P41" s="125">
        <v>500.0</v>
      </c>
      <c r="Q41" s="125"/>
      <c r="R41" s="7"/>
      <c r="S41" s="7"/>
      <c r="T41" s="7"/>
      <c r="U41" s="7"/>
      <c r="V41" s="76"/>
      <c r="W41" s="7"/>
      <c r="X41" s="7"/>
      <c r="Y41" s="7"/>
      <c r="Z41" s="7"/>
    </row>
    <row r="42" ht="14.25" customHeight="1" outlineLevel="1">
      <c r="A42" s="144"/>
      <c r="B42" s="145" t="s">
        <v>341</v>
      </c>
      <c r="C42" s="164" t="s">
        <v>204</v>
      </c>
      <c r="D42" s="147">
        <f t="shared" si="26"/>
        <v>2800</v>
      </c>
      <c r="E42" s="148">
        <f t="shared" si="27"/>
        <v>5500</v>
      </c>
      <c r="F42" s="149">
        <f t="shared" si="24"/>
        <v>5500</v>
      </c>
      <c r="G42" s="150"/>
      <c r="H42" s="151"/>
      <c r="I42" s="152"/>
      <c r="J42" s="152"/>
      <c r="K42" s="7"/>
      <c r="L42" s="7"/>
      <c r="M42" s="7"/>
      <c r="N42" s="125">
        <v>250.0</v>
      </c>
      <c r="O42" s="125">
        <v>500.0</v>
      </c>
      <c r="P42" s="125">
        <v>500.0</v>
      </c>
      <c r="Q42" s="125"/>
      <c r="R42" s="7"/>
      <c r="S42" s="7"/>
      <c r="T42" s="7"/>
      <c r="U42" s="7"/>
      <c r="V42" s="76"/>
      <c r="W42" s="7"/>
      <c r="X42" s="7"/>
      <c r="Y42" s="7"/>
      <c r="Z42" s="7"/>
    </row>
    <row r="43" ht="14.25" customHeight="1" outlineLevel="1">
      <c r="A43" s="168" t="s">
        <v>342</v>
      </c>
      <c r="B43" s="169" t="s">
        <v>343</v>
      </c>
      <c r="C43" s="170" t="s">
        <v>204</v>
      </c>
      <c r="D43" s="68">
        <f>'ex NEA to AUBNE_AUMEL'!D43</f>
        <v>2400</v>
      </c>
      <c r="E43" s="100">
        <f>'ex NEA to AUBNE_AUMEL'!E43</f>
        <v>4800</v>
      </c>
      <c r="F43" s="72">
        <f t="shared" si="24"/>
        <v>4800</v>
      </c>
      <c r="G43" s="68">
        <f>'ex NEA to AUBNE_AUMEL'!G43</f>
        <v>2500</v>
      </c>
      <c r="H43" s="72">
        <f>'ex NEA to AUBNE_AUMEL'!H43</f>
        <v>5000</v>
      </c>
      <c r="I43" s="108">
        <f>'ex NEA to AUBNE_AUMEL'!I43</f>
        <v>1750</v>
      </c>
      <c r="J43" s="108">
        <f>'ex NEA to AUBNE_AUMEL'!J43</f>
        <v>3500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6"/>
      <c r="W43" s="7"/>
      <c r="X43" s="7"/>
      <c r="Y43" s="7"/>
      <c r="Z43" s="7"/>
    </row>
    <row r="44" ht="14.25" customHeight="1" outlineLevel="1">
      <c r="A44" s="78"/>
      <c r="B44" s="79" t="s">
        <v>345</v>
      </c>
      <c r="C44" s="96" t="s">
        <v>204</v>
      </c>
      <c r="D44" s="68">
        <f>'ex NEA to AUBNE_AUMEL'!D44</f>
        <v>2400</v>
      </c>
      <c r="E44" s="100">
        <f>'ex NEA to AUBNE_AUMEL'!E44</f>
        <v>4800</v>
      </c>
      <c r="F44" s="72">
        <f t="shared" si="24"/>
        <v>4800</v>
      </c>
      <c r="G44" s="68">
        <f>'ex NEA to AUBNE_AUMEL'!G44</f>
        <v>2500</v>
      </c>
      <c r="H44" s="72">
        <f>'ex NEA to AUBNE_AUMEL'!H44</f>
        <v>5000</v>
      </c>
      <c r="I44" s="108">
        <f>'ex NEA to AUBNE_AUMEL'!I44</f>
        <v>1750</v>
      </c>
      <c r="J44" s="108">
        <f>'ex NEA to AUBNE_AUMEL'!J44</f>
        <v>3500</v>
      </c>
      <c r="K44" s="7"/>
      <c r="L44" s="7"/>
      <c r="M44" s="7"/>
      <c r="N44" s="165"/>
      <c r="Q44" s="7"/>
      <c r="R44" s="7"/>
      <c r="S44" s="7"/>
      <c r="T44" s="7"/>
      <c r="U44" s="7"/>
      <c r="V44" s="76"/>
      <c r="W44" s="7"/>
      <c r="X44" s="7"/>
      <c r="Y44" s="7"/>
      <c r="Z44" s="7"/>
    </row>
    <row r="45" ht="14.25" customHeight="1" outlineLevel="1">
      <c r="A45" s="78"/>
      <c r="B45" s="79" t="s">
        <v>346</v>
      </c>
      <c r="C45" s="118" t="s">
        <v>204</v>
      </c>
      <c r="D45" s="103">
        <f>D44+460</f>
        <v>2860</v>
      </c>
      <c r="E45" s="104">
        <f t="shared" ref="E45:F45" si="28">E44+600</f>
        <v>5400</v>
      </c>
      <c r="F45" s="104">
        <f t="shared" si="28"/>
        <v>5400</v>
      </c>
      <c r="G45" s="160"/>
      <c r="H45" s="161"/>
      <c r="I45" s="132"/>
      <c r="J45" s="132"/>
      <c r="K45" s="7"/>
      <c r="L45" s="7"/>
      <c r="M45" s="7"/>
      <c r="N45" s="165"/>
      <c r="O45" s="165"/>
      <c r="P45" s="165"/>
      <c r="Q45" s="7"/>
      <c r="R45" s="7"/>
      <c r="S45" s="7"/>
      <c r="T45" s="7"/>
      <c r="U45" s="7"/>
      <c r="V45" s="76"/>
      <c r="W45" s="7"/>
      <c r="X45" s="7"/>
      <c r="Y45" s="7"/>
      <c r="Z45" s="7"/>
    </row>
    <row r="46" ht="14.25" customHeight="1" outlineLevel="1">
      <c r="A46" s="78"/>
      <c r="B46" s="79" t="s">
        <v>347</v>
      </c>
      <c r="C46" s="118" t="s">
        <v>204</v>
      </c>
      <c r="D46" s="103">
        <f>D44+500</f>
        <v>2900</v>
      </c>
      <c r="E46" s="104">
        <f t="shared" ref="E46:F46" si="29">E44+650</f>
        <v>5450</v>
      </c>
      <c r="F46" s="167">
        <f t="shared" si="29"/>
        <v>5450</v>
      </c>
      <c r="G46" s="160"/>
      <c r="H46" s="161"/>
      <c r="I46" s="132"/>
      <c r="J46" s="132"/>
      <c r="K46" s="7"/>
      <c r="L46" s="7"/>
      <c r="M46" s="7"/>
      <c r="N46" s="165"/>
      <c r="O46" s="165"/>
      <c r="P46" s="165"/>
      <c r="Q46" s="7"/>
      <c r="R46" s="7"/>
      <c r="S46" s="7"/>
      <c r="T46" s="7"/>
      <c r="U46" s="7"/>
      <c r="V46" s="76"/>
      <c r="W46" s="7"/>
      <c r="X46" s="7"/>
      <c r="Y46" s="7"/>
      <c r="Z46" s="7"/>
    </row>
    <row r="47" ht="14.25" customHeight="1" outlineLevel="1">
      <c r="A47" s="78"/>
      <c r="B47" s="79" t="s">
        <v>348</v>
      </c>
      <c r="C47" s="118" t="s">
        <v>204</v>
      </c>
      <c r="D47" s="103">
        <f t="shared" ref="D47:F47" si="30">D43+N47</f>
        <v>2500</v>
      </c>
      <c r="E47" s="104">
        <f t="shared" si="30"/>
        <v>5000</v>
      </c>
      <c r="F47" s="105">
        <f t="shared" si="30"/>
        <v>5000</v>
      </c>
      <c r="G47" s="160"/>
      <c r="H47" s="161"/>
      <c r="I47" s="132"/>
      <c r="J47" s="132"/>
      <c r="K47" s="7"/>
      <c r="L47" s="7"/>
      <c r="M47" s="7"/>
      <c r="N47" s="113">
        <v>100.0</v>
      </c>
      <c r="O47" s="113">
        <v>200.0</v>
      </c>
      <c r="P47" s="113">
        <v>200.0</v>
      </c>
      <c r="Q47" s="117" t="s">
        <v>350</v>
      </c>
      <c r="R47" s="7"/>
      <c r="S47" s="7"/>
      <c r="T47" s="7"/>
      <c r="U47" s="7"/>
      <c r="V47" s="76"/>
      <c r="W47" s="7"/>
      <c r="X47" s="7"/>
      <c r="Y47" s="7"/>
      <c r="Z47" s="7"/>
    </row>
    <row r="48" ht="14.25" customHeight="1" outlineLevel="1">
      <c r="A48" s="78"/>
      <c r="B48" s="130" t="s">
        <v>351</v>
      </c>
      <c r="C48" s="156" t="s">
        <v>204</v>
      </c>
      <c r="D48" s="103">
        <f t="shared" ref="D48:F48" si="31">D43+N48</f>
        <v>2600</v>
      </c>
      <c r="E48" s="104">
        <f t="shared" si="31"/>
        <v>5100</v>
      </c>
      <c r="F48" s="105">
        <f t="shared" si="31"/>
        <v>5100</v>
      </c>
      <c r="G48" s="160"/>
      <c r="H48" s="161"/>
      <c r="I48" s="162"/>
      <c r="J48" s="162"/>
      <c r="K48" s="7"/>
      <c r="L48" s="7"/>
      <c r="M48" s="7"/>
      <c r="N48" s="113">
        <v>200.0</v>
      </c>
      <c r="O48" s="113">
        <v>300.0</v>
      </c>
      <c r="P48" s="113">
        <v>300.0</v>
      </c>
      <c r="Q48" s="117" t="s">
        <v>350</v>
      </c>
      <c r="R48" s="7"/>
      <c r="S48" s="7"/>
      <c r="T48" s="7"/>
      <c r="U48" s="7"/>
      <c r="V48" s="76"/>
      <c r="W48" s="7"/>
      <c r="X48" s="7"/>
      <c r="Y48" s="7"/>
      <c r="Z48" s="7"/>
    </row>
    <row r="49" ht="14.25" customHeight="1" outlineLevel="1">
      <c r="A49" s="192"/>
      <c r="B49" s="163" t="s">
        <v>352</v>
      </c>
      <c r="C49" s="156" t="s">
        <v>204</v>
      </c>
      <c r="D49" s="157">
        <f>$D$43+N49</f>
        <v>2700</v>
      </c>
      <c r="E49" s="158">
        <f>$E$43+O49</f>
        <v>5300</v>
      </c>
      <c r="F49" s="159">
        <f t="shared" ref="F49:F54" si="32">E49</f>
        <v>5300</v>
      </c>
      <c r="G49" s="160"/>
      <c r="H49" s="161"/>
      <c r="I49" s="162"/>
      <c r="J49" s="162"/>
      <c r="K49" s="7"/>
      <c r="L49" s="7"/>
      <c r="M49" s="7"/>
      <c r="N49" s="113">
        <v>300.0</v>
      </c>
      <c r="O49" s="113">
        <v>500.0</v>
      </c>
      <c r="P49" s="113">
        <v>500.0</v>
      </c>
      <c r="Q49" s="117" t="s">
        <v>350</v>
      </c>
      <c r="R49" s="7"/>
      <c r="S49" s="7"/>
      <c r="T49" s="7"/>
      <c r="U49" s="7"/>
      <c r="V49" s="76"/>
      <c r="W49" s="7"/>
      <c r="X49" s="7"/>
      <c r="Y49" s="7"/>
      <c r="Z49" s="7"/>
    </row>
    <row r="50" ht="14.25" customHeight="1" outlineLevel="1">
      <c r="A50" s="172" t="s">
        <v>353</v>
      </c>
      <c r="B50" s="173" t="s">
        <v>354</v>
      </c>
      <c r="C50" s="174" t="s">
        <v>204</v>
      </c>
      <c r="D50" s="178">
        <f>'ex NEA to AUBNE_AUMEL'!D50</f>
        <v>2300</v>
      </c>
      <c r="E50" s="198">
        <f>'ex NEA to AUBNE_AUMEL'!E50</f>
        <v>4600</v>
      </c>
      <c r="F50" s="179">
        <f t="shared" si="32"/>
        <v>4600</v>
      </c>
      <c r="G50" s="178">
        <f>'ex NEA to AUBNE_AUMEL'!G50</f>
        <v>2400</v>
      </c>
      <c r="H50" s="179">
        <f>'ex NEA to AUBNE_AUMEL'!H50</f>
        <v>4800</v>
      </c>
      <c r="I50" s="202">
        <f>'ex NEA to AUBNE_AUMEL'!I50</f>
        <v>1650</v>
      </c>
      <c r="J50" s="202">
        <f>'ex NEA to AUBNE_AUMEL'!J50</f>
        <v>3300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6"/>
      <c r="W50" s="7"/>
      <c r="X50" s="7"/>
      <c r="Y50" s="7"/>
      <c r="Z50" s="7"/>
    </row>
    <row r="51" ht="14.25" customHeight="1" outlineLevel="1">
      <c r="A51" s="204" t="s">
        <v>355</v>
      </c>
      <c r="B51" s="169" t="s">
        <v>356</v>
      </c>
      <c r="C51" s="170" t="s">
        <v>204</v>
      </c>
      <c r="D51" s="112">
        <f>'ex NEA to AUBNE_AUMEL'!D51</f>
        <v>2400</v>
      </c>
      <c r="E51" s="188">
        <f>'ex NEA to AUBNE_AUMEL'!E51</f>
        <v>4800</v>
      </c>
      <c r="F51" s="185">
        <f t="shared" si="32"/>
        <v>4800</v>
      </c>
      <c r="G51" s="112">
        <f>'ex NEA to AUBNE_AUMEL'!G51</f>
        <v>2500</v>
      </c>
      <c r="H51" s="185">
        <f>'ex NEA to AUBNE_AUMEL'!H51</f>
        <v>5000</v>
      </c>
      <c r="I51" s="108">
        <f>'ex NEA to AUBNE_AUMEL'!I51</f>
        <v>1750</v>
      </c>
      <c r="J51" s="108">
        <f>'ex NEA to AUBNE_AUMEL'!J51</f>
        <v>3500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6"/>
      <c r="W51" s="7"/>
      <c r="X51" s="7"/>
      <c r="Y51" s="7"/>
      <c r="Z51" s="7"/>
    </row>
    <row r="52" ht="14.25" customHeight="1" outlineLevel="1">
      <c r="A52" s="78"/>
      <c r="B52" s="169" t="s">
        <v>357</v>
      </c>
      <c r="C52" s="170" t="s">
        <v>204</v>
      </c>
      <c r="D52" s="112">
        <f>D51</f>
        <v>2400</v>
      </c>
      <c r="E52" s="188">
        <f>'ex NEA to AUBNE_AUMEL'!E52</f>
        <v>4800</v>
      </c>
      <c r="F52" s="185">
        <f t="shared" si="32"/>
        <v>4800</v>
      </c>
      <c r="G52" s="68">
        <f>'ex NEA to AUBNE_AUMEL'!G52</f>
        <v>2500</v>
      </c>
      <c r="H52" s="72">
        <f>'ex NEA to AUBNE_AUMEL'!H52</f>
        <v>5000</v>
      </c>
      <c r="I52" s="108">
        <f>'ex NEA to AUBNE_AUMEL'!I52</f>
        <v>1750</v>
      </c>
      <c r="J52" s="108">
        <f>'ex NEA to AUBNE_AUMEL'!J52</f>
        <v>3500</v>
      </c>
      <c r="K52" s="7"/>
      <c r="L52" s="7"/>
      <c r="M52" s="7"/>
      <c r="N52" s="7"/>
      <c r="O52" s="7"/>
      <c r="P52" s="7"/>
      <c r="Q52" s="117"/>
      <c r="R52" s="7"/>
      <c r="S52" s="7"/>
      <c r="T52" s="7"/>
      <c r="U52" s="7"/>
      <c r="V52" s="76"/>
      <c r="W52" s="7"/>
      <c r="X52" s="7"/>
      <c r="Y52" s="7"/>
      <c r="Z52" s="7"/>
    </row>
    <row r="53" ht="14.25" customHeight="1" outlineLevel="1">
      <c r="A53" s="78"/>
      <c r="B53" s="189" t="s">
        <v>359</v>
      </c>
      <c r="C53" s="190" t="s">
        <v>204</v>
      </c>
      <c r="D53" s="191">
        <f t="shared" ref="D53:D54" si="33">$D$51+N53</f>
        <v>2600</v>
      </c>
      <c r="E53" s="193">
        <f t="shared" ref="E53:E54" si="34">$E$51+O53</f>
        <v>5050</v>
      </c>
      <c r="F53" s="194">
        <f t="shared" si="32"/>
        <v>5050</v>
      </c>
      <c r="G53" s="220">
        <f>'ex NEA to AUBNE_AUMEL'!G53</f>
        <v>2700</v>
      </c>
      <c r="H53" s="159">
        <f>'ex NEA to AUBNE_AUMEL'!H53</f>
        <v>5250</v>
      </c>
      <c r="I53" s="195"/>
      <c r="J53" s="195"/>
      <c r="K53" s="7"/>
      <c r="L53" s="7"/>
      <c r="M53" s="7"/>
      <c r="N53" s="7">
        <v>200.0</v>
      </c>
      <c r="O53" s="7">
        <v>250.0</v>
      </c>
      <c r="P53" s="7">
        <v>250.0</v>
      </c>
      <c r="Q53" s="117" t="s">
        <v>358</v>
      </c>
      <c r="R53" s="7"/>
      <c r="S53" s="7"/>
      <c r="T53" s="7"/>
      <c r="U53" s="7"/>
      <c r="V53" s="76"/>
      <c r="W53" s="7"/>
      <c r="X53" s="7"/>
      <c r="Y53" s="7"/>
      <c r="Z53" s="7"/>
    </row>
    <row r="54" ht="14.25" customHeight="1" outlineLevel="1">
      <c r="A54" s="144"/>
      <c r="B54" s="196" t="s">
        <v>360</v>
      </c>
      <c r="C54" s="222" t="s">
        <v>204</v>
      </c>
      <c r="D54" s="197">
        <f t="shared" si="33"/>
        <v>2600</v>
      </c>
      <c r="E54" s="199">
        <f t="shared" si="34"/>
        <v>5050</v>
      </c>
      <c r="F54" s="200">
        <f t="shared" si="32"/>
        <v>5050</v>
      </c>
      <c r="G54" s="225">
        <f>'ex NEA to AUBNE_AUMEL'!G54</f>
        <v>2700</v>
      </c>
      <c r="H54" s="149">
        <f>'ex NEA to AUBNE_AUMEL'!H54</f>
        <v>5250</v>
      </c>
      <c r="I54" s="226"/>
      <c r="J54" s="226"/>
      <c r="K54" s="227"/>
      <c r="L54" s="7"/>
      <c r="M54" s="7"/>
      <c r="N54" s="7">
        <v>200.0</v>
      </c>
      <c r="O54" s="7">
        <v>250.0</v>
      </c>
      <c r="P54" s="7">
        <v>250.0</v>
      </c>
      <c r="Q54" s="117" t="s">
        <v>358</v>
      </c>
      <c r="R54" s="7"/>
      <c r="S54" s="7"/>
      <c r="T54" s="7"/>
      <c r="U54" s="7"/>
      <c r="V54" s="76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13" t="s">
        <v>361</v>
      </c>
      <c r="B56" s="203" t="s">
        <v>362</v>
      </c>
      <c r="C56" s="113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113" t="s">
        <v>363</v>
      </c>
      <c r="B57" s="113" t="s">
        <v>364</v>
      </c>
      <c r="C57" s="113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233" t="s">
        <v>365</v>
      </c>
      <c r="B59" s="33"/>
      <c r="C59" s="33"/>
      <c r="D59" s="33"/>
      <c r="E59" s="33"/>
      <c r="F59" s="33"/>
      <c r="G59" s="33"/>
      <c r="H59" s="33"/>
      <c r="I59" s="33"/>
      <c r="J59" s="35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208"/>
      <c r="B60" s="209"/>
      <c r="C60" s="209"/>
      <c r="D60" s="236" t="s">
        <v>83</v>
      </c>
      <c r="E60" s="236" t="s">
        <v>88</v>
      </c>
      <c r="F60" s="237" t="s">
        <v>93</v>
      </c>
      <c r="G60" s="238" t="s">
        <v>366</v>
      </c>
      <c r="H60" s="236" t="s">
        <v>367</v>
      </c>
      <c r="I60" s="210" t="s">
        <v>102</v>
      </c>
      <c r="J60" s="213" t="s">
        <v>107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hidden="1" customHeight="1">
      <c r="A61" s="214" t="s">
        <v>368</v>
      </c>
      <c r="B61" s="215" t="s">
        <v>369</v>
      </c>
      <c r="C61" s="216"/>
      <c r="D61" s="217" t="str">
        <f>'ex NEA to AUBNE_AUMEL'!D61</f>
        <v>USD301</v>
      </c>
      <c r="E61" s="217" t="str">
        <f>'ex NEA to AUBNE_AUMEL'!E61</f>
        <v>USD602</v>
      </c>
      <c r="F61" s="217" t="str">
        <f>'ex NEA to AUBNE_AUMEL'!F61</f>
        <v>USD602</v>
      </c>
      <c r="G61" s="217" t="str">
        <f>'ex NEA to AUBNE_AUMEL'!G61</f>
        <v>USD403</v>
      </c>
      <c r="H61" s="217" t="str">
        <f>'ex NEA to AUBNE_AUMEL'!H61</f>
        <v>USD806</v>
      </c>
      <c r="I61" s="217" t="str">
        <f>'ex NEA to AUBNE_AUMEL'!I61</f>
        <v>USD301</v>
      </c>
      <c r="J61" s="217" t="str">
        <f>'ex NEA to AUBNE_AUMEL'!J61</f>
        <v>USD602</v>
      </c>
      <c r="K61" s="7"/>
      <c r="L61" s="7"/>
      <c r="M61" s="7"/>
      <c r="N61" s="244"/>
      <c r="O61" s="244"/>
      <c r="P61" s="244"/>
      <c r="Q61" s="244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214" t="s">
        <v>368</v>
      </c>
      <c r="B62" s="215" t="s">
        <v>369</v>
      </c>
      <c r="C62" s="216"/>
      <c r="D62" s="217" t="str">
        <f>'ex NEA to AUBNE_AUMEL'!D62</f>
        <v>included</v>
      </c>
      <c r="E62" s="217" t="str">
        <f>'ex NEA to AUBNE_AUMEL'!E62</f>
        <v>included</v>
      </c>
      <c r="F62" s="217" t="str">
        <f>'ex NEA to AUBNE_AUMEL'!F62</f>
        <v>included</v>
      </c>
      <c r="G62" s="217" t="str">
        <f>'ex NEA to AUBNE_AUMEL'!G62</f>
        <v>included</v>
      </c>
      <c r="H62" s="217" t="str">
        <f>'ex NEA to AUBNE_AUMEL'!H62</f>
        <v>included</v>
      </c>
      <c r="I62" s="217" t="str">
        <f>'ex NEA to AUBNE_AUMEL'!I62</f>
        <v>included</v>
      </c>
      <c r="J62" s="217" t="str">
        <f>'ex NEA to AUBNE_AUMEL'!J62</f>
        <v>included</v>
      </c>
      <c r="K62" s="7"/>
      <c r="L62" s="7"/>
      <c r="M62" s="7"/>
      <c r="N62" s="244"/>
      <c r="O62" s="244"/>
      <c r="P62" s="244"/>
      <c r="Q62" s="244"/>
      <c r="R62" s="7"/>
      <c r="S62" s="7"/>
      <c r="T62" s="7"/>
      <c r="U62" s="7"/>
      <c r="V62" s="7"/>
      <c r="W62" s="7"/>
      <c r="X62" s="7"/>
      <c r="Y62" s="7"/>
      <c r="Z62" s="7"/>
    </row>
    <row r="63" ht="15.0" hidden="1" customHeight="1">
      <c r="A63" s="218" t="s">
        <v>375</v>
      </c>
      <c r="B63" s="219" t="s">
        <v>376</v>
      </c>
      <c r="C63" s="216"/>
      <c r="D63" s="221" t="s">
        <v>377</v>
      </c>
      <c r="E63" s="221" t="s">
        <v>377</v>
      </c>
      <c r="F63" s="221" t="s">
        <v>377</v>
      </c>
      <c r="G63" s="221" t="s">
        <v>377</v>
      </c>
      <c r="H63" s="221" t="s">
        <v>377</v>
      </c>
      <c r="I63" s="221" t="s">
        <v>377</v>
      </c>
      <c r="J63" s="221" t="s">
        <v>377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0" hidden="1" customHeight="1">
      <c r="A64" s="218" t="s">
        <v>378</v>
      </c>
      <c r="B64" s="219" t="s">
        <v>376</v>
      </c>
      <c r="C64" s="216"/>
      <c r="D64" s="221" t="s">
        <v>377</v>
      </c>
      <c r="E64" s="221" t="s">
        <v>377</v>
      </c>
      <c r="F64" s="221" t="s">
        <v>377</v>
      </c>
      <c r="G64" s="221" t="s">
        <v>377</v>
      </c>
      <c r="H64" s="221" t="s">
        <v>377</v>
      </c>
      <c r="I64" s="221" t="s">
        <v>377</v>
      </c>
      <c r="J64" s="221" t="s">
        <v>377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0" customHeight="1">
      <c r="A65" s="223" t="s">
        <v>379</v>
      </c>
      <c r="B65" s="224" t="s">
        <v>380</v>
      </c>
      <c r="C65" s="216"/>
      <c r="D65" s="221" t="s">
        <v>377</v>
      </c>
      <c r="E65" s="221" t="s">
        <v>377</v>
      </c>
      <c r="F65" s="221" t="s">
        <v>377</v>
      </c>
      <c r="G65" s="221" t="s">
        <v>377</v>
      </c>
      <c r="H65" s="221" t="s">
        <v>377</v>
      </c>
      <c r="I65" s="221" t="s">
        <v>377</v>
      </c>
      <c r="J65" s="221" t="s">
        <v>377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0" customHeight="1">
      <c r="A66" s="223" t="s">
        <v>381</v>
      </c>
      <c r="B66" s="224" t="s">
        <v>382</v>
      </c>
      <c r="C66" s="216"/>
      <c r="D66" s="221" t="s">
        <v>377</v>
      </c>
      <c r="E66" s="221" t="s">
        <v>377</v>
      </c>
      <c r="F66" s="221" t="s">
        <v>377</v>
      </c>
      <c r="G66" s="221" t="s">
        <v>377</v>
      </c>
      <c r="H66" s="221" t="s">
        <v>377</v>
      </c>
      <c r="I66" s="221" t="s">
        <v>377</v>
      </c>
      <c r="J66" s="221" t="s">
        <v>377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0" customHeight="1">
      <c r="A67" s="223" t="s">
        <v>383</v>
      </c>
      <c r="B67" s="224" t="s">
        <v>384</v>
      </c>
      <c r="C67" s="216"/>
      <c r="D67" s="221" t="s">
        <v>377</v>
      </c>
      <c r="E67" s="221" t="s">
        <v>377</v>
      </c>
      <c r="F67" s="221" t="s">
        <v>377</v>
      </c>
      <c r="G67" s="221" t="s">
        <v>377</v>
      </c>
      <c r="H67" s="221" t="s">
        <v>377</v>
      </c>
      <c r="I67" s="221" t="s">
        <v>377</v>
      </c>
      <c r="J67" s="221" t="s">
        <v>377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0" customHeight="1">
      <c r="A68" s="223" t="s">
        <v>385</v>
      </c>
      <c r="B68" s="224" t="s">
        <v>386</v>
      </c>
      <c r="C68" s="216"/>
      <c r="D68" s="221" t="s">
        <v>377</v>
      </c>
      <c r="E68" s="221" t="s">
        <v>377</v>
      </c>
      <c r="F68" s="221" t="s">
        <v>377</v>
      </c>
      <c r="G68" s="221" t="s">
        <v>377</v>
      </c>
      <c r="H68" s="221" t="s">
        <v>377</v>
      </c>
      <c r="I68" s="221" t="s">
        <v>377</v>
      </c>
      <c r="J68" s="221" t="s">
        <v>377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0" customHeight="1">
      <c r="A69" s="223" t="s">
        <v>387</v>
      </c>
      <c r="B69" s="224" t="s">
        <v>388</v>
      </c>
      <c r="C69" s="216"/>
      <c r="D69" s="221" t="s">
        <v>377</v>
      </c>
      <c r="E69" s="221" t="s">
        <v>377</v>
      </c>
      <c r="F69" s="221" t="s">
        <v>377</v>
      </c>
      <c r="G69" s="221" t="s">
        <v>377</v>
      </c>
      <c r="H69" s="221" t="s">
        <v>377</v>
      </c>
      <c r="I69" s="221" t="s">
        <v>377</v>
      </c>
      <c r="J69" s="221" t="s">
        <v>377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0" customHeight="1">
      <c r="A70" s="229" t="s">
        <v>389</v>
      </c>
      <c r="B70" s="230" t="s">
        <v>390</v>
      </c>
      <c r="C70" s="231"/>
      <c r="D70" s="232" t="s">
        <v>377</v>
      </c>
      <c r="E70" s="232" t="s">
        <v>377</v>
      </c>
      <c r="F70" s="232" t="s">
        <v>377</v>
      </c>
      <c r="G70" s="232" t="s">
        <v>377</v>
      </c>
      <c r="H70" s="232" t="s">
        <v>377</v>
      </c>
      <c r="I70" s="232" t="s">
        <v>377</v>
      </c>
      <c r="J70" s="234" t="s">
        <v>377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235" t="s">
        <v>391</v>
      </c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240" t="str">
        <f>'ex NEA to AUBNE_AUMEL'!A73</f>
        <v>Rate incl OBS, EFS (ex KR &amp; HK), PSS, subject to ISL/THL/THD/LND/DOC/DOF and local charges both ends</v>
      </c>
      <c r="B73" s="240"/>
      <c r="C73" s="240"/>
      <c r="D73" s="240"/>
      <c r="E73" s="240"/>
      <c r="F73" s="235"/>
      <c r="G73" s="235"/>
      <c r="H73" s="235"/>
      <c r="I73" s="235"/>
      <c r="J73" s="235"/>
      <c r="K73" s="235"/>
      <c r="L73" s="235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241" t="s">
        <v>393</v>
      </c>
      <c r="B74" s="242"/>
      <c r="C74" s="242"/>
      <c r="D74" s="242"/>
      <c r="E74" s="240"/>
      <c r="F74" s="235"/>
      <c r="G74" s="235"/>
      <c r="H74" s="235"/>
      <c r="I74" s="235"/>
      <c r="J74" s="235"/>
      <c r="K74" s="235"/>
      <c r="L74" s="235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243" t="s">
        <v>394</v>
      </c>
      <c r="B75" s="243"/>
      <c r="C75" s="243"/>
      <c r="D75" s="243"/>
      <c r="E75" s="235"/>
      <c r="F75" s="235"/>
      <c r="G75" s="235"/>
      <c r="H75" s="235"/>
      <c r="I75" s="235"/>
      <c r="J75" s="235"/>
      <c r="K75" s="235"/>
      <c r="L75" s="235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243" t="s">
        <v>395</v>
      </c>
      <c r="B76" s="243"/>
      <c r="C76" s="243"/>
      <c r="D76" s="243"/>
      <c r="E76" s="235"/>
      <c r="F76" s="235"/>
      <c r="G76" s="235"/>
      <c r="H76" s="235"/>
      <c r="I76" s="235"/>
      <c r="J76" s="235"/>
      <c r="K76" s="235"/>
      <c r="L76" s="235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235" t="s">
        <v>396</v>
      </c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235" t="s">
        <v>397</v>
      </c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235" t="s">
        <v>398</v>
      </c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235" t="s">
        <v>399</v>
      </c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245" t="s">
        <v>400</v>
      </c>
      <c r="B83" s="246"/>
      <c r="C83" s="246"/>
      <c r="D83" s="246"/>
      <c r="E83" s="247"/>
      <c r="F83" s="247"/>
      <c r="G83" s="248"/>
      <c r="H83" s="248"/>
      <c r="I83" s="24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249" t="s">
        <v>401</v>
      </c>
      <c r="B84" s="247"/>
      <c r="C84" s="247"/>
      <c r="D84" s="247"/>
      <c r="E84" s="247"/>
      <c r="F84" s="247"/>
      <c r="G84" s="248"/>
      <c r="H84" s="248"/>
      <c r="I84" s="24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249" t="s">
        <v>402</v>
      </c>
      <c r="B85" s="247"/>
      <c r="C85" s="247"/>
      <c r="D85" s="247"/>
      <c r="E85" s="247"/>
      <c r="F85" s="247"/>
      <c r="G85" s="248"/>
      <c r="H85" s="248"/>
      <c r="I85" s="24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253"/>
      <c r="B86" s="253"/>
      <c r="C86" s="253"/>
      <c r="D86" s="253"/>
      <c r="E86" s="253"/>
      <c r="F86" s="253"/>
      <c r="G86" s="248"/>
      <c r="H86" s="248"/>
      <c r="I86" s="24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254" t="s">
        <v>403</v>
      </c>
      <c r="B87" s="255" t="s">
        <v>404</v>
      </c>
      <c r="C87" s="255" t="s">
        <v>405</v>
      </c>
      <c r="D87" s="256" t="s">
        <v>406</v>
      </c>
      <c r="E87" s="256" t="s">
        <v>407</v>
      </c>
      <c r="F87" s="256" t="s">
        <v>10</v>
      </c>
      <c r="G87" s="248"/>
      <c r="H87" s="248"/>
      <c r="I87" s="24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257" t="s">
        <v>408</v>
      </c>
      <c r="B88" s="258" t="s">
        <v>409</v>
      </c>
      <c r="C88" s="259" t="s">
        <v>410</v>
      </c>
      <c r="D88" s="33"/>
      <c r="E88" s="35"/>
      <c r="F88" s="260"/>
      <c r="G88" s="248"/>
      <c r="H88" s="248"/>
      <c r="I88" s="24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261"/>
      <c r="B89" s="258" t="s">
        <v>411</v>
      </c>
      <c r="C89" s="262" t="s">
        <v>412</v>
      </c>
      <c r="D89" s="262" t="s">
        <v>413</v>
      </c>
      <c r="E89" s="262" t="s">
        <v>413</v>
      </c>
      <c r="F89" s="260"/>
      <c r="G89" s="248"/>
      <c r="H89" s="248"/>
      <c r="I89" s="24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261"/>
      <c r="B90" s="258" t="s">
        <v>414</v>
      </c>
      <c r="C90" s="262" t="s">
        <v>415</v>
      </c>
      <c r="D90" s="262" t="s">
        <v>412</v>
      </c>
      <c r="E90" s="262" t="s">
        <v>412</v>
      </c>
      <c r="F90" s="260"/>
      <c r="G90" s="248"/>
      <c r="H90" s="248"/>
      <c r="I90" s="24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261"/>
      <c r="B91" s="258" t="s">
        <v>416</v>
      </c>
      <c r="C91" s="262" t="s">
        <v>415</v>
      </c>
      <c r="D91" s="262" t="s">
        <v>412</v>
      </c>
      <c r="E91" s="262" t="s">
        <v>412</v>
      </c>
      <c r="F91" s="260"/>
      <c r="G91" s="248"/>
      <c r="H91" s="248"/>
      <c r="I91" s="24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261"/>
      <c r="B92" s="258" t="s">
        <v>417</v>
      </c>
      <c r="C92" s="265" t="s">
        <v>412</v>
      </c>
      <c r="D92" s="265" t="s">
        <v>413</v>
      </c>
      <c r="E92" s="265" t="s">
        <v>413</v>
      </c>
      <c r="F92" s="260"/>
      <c r="G92" s="248"/>
      <c r="H92" s="248"/>
      <c r="I92" s="24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261"/>
      <c r="B93" s="258" t="s">
        <v>418</v>
      </c>
      <c r="C93" s="262" t="s">
        <v>415</v>
      </c>
      <c r="D93" s="262" t="s">
        <v>412</v>
      </c>
      <c r="E93" s="262" t="s">
        <v>412</v>
      </c>
      <c r="F93" s="260"/>
      <c r="G93" s="248"/>
      <c r="H93" s="248"/>
      <c r="I93" s="24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261"/>
      <c r="B94" s="258" t="s">
        <v>419</v>
      </c>
      <c r="C94" s="259" t="s">
        <v>410</v>
      </c>
      <c r="D94" s="33"/>
      <c r="E94" s="35"/>
      <c r="F94" s="260"/>
      <c r="G94" s="248"/>
      <c r="H94" s="248"/>
      <c r="I94" s="24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261"/>
      <c r="B95" s="258" t="s">
        <v>420</v>
      </c>
      <c r="C95" s="262" t="s">
        <v>415</v>
      </c>
      <c r="D95" s="262" t="s">
        <v>412</v>
      </c>
      <c r="E95" s="262" t="s">
        <v>412</v>
      </c>
      <c r="F95" s="260"/>
      <c r="G95" s="248"/>
      <c r="H95" s="248"/>
      <c r="I95" s="24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268"/>
      <c r="B96" s="258" t="s">
        <v>421</v>
      </c>
      <c r="C96" s="262" t="s">
        <v>415</v>
      </c>
      <c r="D96" s="262" t="s">
        <v>412</v>
      </c>
      <c r="E96" s="262" t="s">
        <v>412</v>
      </c>
      <c r="F96" s="260"/>
      <c r="G96" s="248"/>
      <c r="H96" s="248"/>
      <c r="I96" s="24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269" t="s">
        <v>422</v>
      </c>
      <c r="B97" s="270"/>
      <c r="C97" s="270"/>
      <c r="D97" s="270"/>
      <c r="E97" s="270"/>
      <c r="F97" s="271"/>
      <c r="G97" s="248"/>
      <c r="H97" s="248"/>
      <c r="I97" s="24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253"/>
      <c r="B98" s="253"/>
      <c r="C98" s="272"/>
      <c r="D98" s="273"/>
      <c r="E98" s="253"/>
      <c r="F98" s="253"/>
      <c r="G98" s="248"/>
      <c r="H98" s="248"/>
      <c r="I98" s="24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254" t="s">
        <v>423</v>
      </c>
      <c r="B99" s="255" t="s">
        <v>424</v>
      </c>
      <c r="C99" s="255" t="s">
        <v>405</v>
      </c>
      <c r="D99" s="256" t="s">
        <v>406</v>
      </c>
      <c r="E99" s="256" t="s">
        <v>407</v>
      </c>
      <c r="F99" s="256" t="s">
        <v>10</v>
      </c>
      <c r="G99" s="248"/>
      <c r="H99" s="248"/>
      <c r="I99" s="24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274" t="s">
        <v>425</v>
      </c>
      <c r="B100" s="258" t="s">
        <v>426</v>
      </c>
      <c r="C100" s="275" t="s">
        <v>427</v>
      </c>
      <c r="D100" s="275" t="s">
        <v>428</v>
      </c>
      <c r="E100" s="275" t="s">
        <v>428</v>
      </c>
      <c r="F100" s="260"/>
      <c r="G100" s="248"/>
      <c r="H100" s="248"/>
      <c r="I100" s="24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261"/>
      <c r="B101" s="258" t="s">
        <v>429</v>
      </c>
      <c r="C101" s="275" t="s">
        <v>430</v>
      </c>
      <c r="D101" s="275" t="s">
        <v>427</v>
      </c>
      <c r="E101" s="275" t="s">
        <v>427</v>
      </c>
      <c r="F101" s="260"/>
      <c r="G101" s="248"/>
      <c r="H101" s="248"/>
      <c r="I101" s="24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261"/>
      <c r="B102" s="258" t="s">
        <v>431</v>
      </c>
      <c r="C102" s="275" t="s">
        <v>432</v>
      </c>
      <c r="D102" s="275" t="s">
        <v>433</v>
      </c>
      <c r="E102" s="275" t="s">
        <v>433</v>
      </c>
      <c r="F102" s="260"/>
      <c r="G102" s="248"/>
      <c r="H102" s="248"/>
      <c r="I102" s="24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268"/>
      <c r="B103" s="258" t="s">
        <v>434</v>
      </c>
      <c r="C103" s="275" t="s">
        <v>435</v>
      </c>
      <c r="D103" s="275" t="s">
        <v>435</v>
      </c>
      <c r="E103" s="275" t="s">
        <v>435</v>
      </c>
      <c r="F103" s="260"/>
      <c r="G103" s="248"/>
      <c r="H103" s="248"/>
      <c r="I103" s="24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269" t="s">
        <v>422</v>
      </c>
      <c r="B104" s="270"/>
      <c r="C104" s="270"/>
      <c r="D104" s="270"/>
      <c r="E104" s="270"/>
      <c r="F104" s="271"/>
      <c r="G104" s="248"/>
      <c r="H104" s="248"/>
      <c r="I104" s="24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248"/>
      <c r="B105" s="248"/>
      <c r="C105" s="248"/>
      <c r="D105" s="248"/>
      <c r="E105" s="248"/>
      <c r="F105" s="248"/>
      <c r="G105" s="248"/>
      <c r="H105" s="248"/>
      <c r="I105" s="24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278" t="s">
        <v>436</v>
      </c>
      <c r="B106" s="242"/>
      <c r="C106" s="248"/>
      <c r="D106" s="248"/>
      <c r="E106" s="248"/>
      <c r="F106" s="248"/>
      <c r="G106" s="248"/>
      <c r="H106" s="248"/>
      <c r="I106" s="24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248"/>
      <c r="B107" s="248"/>
      <c r="C107" s="248"/>
      <c r="D107" s="248"/>
      <c r="E107" s="248"/>
      <c r="F107" s="248"/>
      <c r="G107" s="248"/>
      <c r="H107" s="248"/>
      <c r="I107" s="24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279" t="s">
        <v>437</v>
      </c>
      <c r="B108" s="280"/>
      <c r="C108" s="280"/>
      <c r="D108" s="280"/>
      <c r="E108" s="248"/>
      <c r="F108" s="281"/>
      <c r="H108" s="281"/>
      <c r="I108" s="282" t="s">
        <v>438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248"/>
      <c r="B109" s="248"/>
      <c r="C109" s="248"/>
      <c r="D109" s="248"/>
      <c r="E109" s="248"/>
      <c r="F109" s="281"/>
      <c r="H109" s="28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283" t="s">
        <v>439</v>
      </c>
      <c r="B110" s="284"/>
      <c r="C110" s="285" t="s">
        <v>440</v>
      </c>
      <c r="D110" s="216"/>
      <c r="E110" s="248"/>
      <c r="F110" s="283" t="s">
        <v>441</v>
      </c>
      <c r="G110" s="286"/>
      <c r="H110" s="286"/>
      <c r="I110" s="21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287" t="s">
        <v>442</v>
      </c>
      <c r="B111" s="216"/>
      <c r="C111" s="288" t="s">
        <v>443</v>
      </c>
      <c r="D111" s="216"/>
      <c r="E111" s="248"/>
      <c r="F111" s="287" t="s">
        <v>442</v>
      </c>
      <c r="G111" s="216"/>
      <c r="H111" s="289" t="s">
        <v>444</v>
      </c>
      <c r="I111" s="21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287" t="s">
        <v>445</v>
      </c>
      <c r="B112" s="216"/>
      <c r="C112" s="290" t="s">
        <v>445</v>
      </c>
      <c r="D112" s="216"/>
      <c r="E112" s="248"/>
      <c r="F112" s="287" t="s">
        <v>445</v>
      </c>
      <c r="G112" s="216"/>
      <c r="H112" s="287" t="s">
        <v>445</v>
      </c>
      <c r="I112" s="21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291" t="s">
        <v>446</v>
      </c>
      <c r="B113" s="286"/>
      <c r="C113" s="292">
        <v>600.0</v>
      </c>
      <c r="D113" s="216"/>
      <c r="E113" s="248"/>
      <c r="F113" s="291" t="s">
        <v>447</v>
      </c>
      <c r="G113" s="286"/>
      <c r="H113" s="286"/>
      <c r="I113" s="21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291" t="s">
        <v>448</v>
      </c>
      <c r="B114" s="216"/>
      <c r="C114" s="293" t="s">
        <v>449</v>
      </c>
      <c r="D114" s="216"/>
      <c r="E114" s="248"/>
      <c r="F114" s="291" t="s">
        <v>450</v>
      </c>
      <c r="G114" s="216"/>
      <c r="H114" s="294">
        <v>10500.0</v>
      </c>
      <c r="I114" s="21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291" t="s">
        <v>451</v>
      </c>
      <c r="B115" s="216"/>
      <c r="C115" s="293" t="s">
        <v>449</v>
      </c>
      <c r="D115" s="216"/>
      <c r="E115" s="248"/>
      <c r="F115" s="291" t="s">
        <v>452</v>
      </c>
      <c r="G115" s="216"/>
      <c r="H115" s="294">
        <v>9000.0</v>
      </c>
      <c r="I115" s="21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291" t="s">
        <v>453</v>
      </c>
      <c r="B116" s="216"/>
      <c r="C116" s="293" t="s">
        <v>449</v>
      </c>
      <c r="D116" s="216"/>
      <c r="E116" s="248"/>
      <c r="F116" s="291" t="s">
        <v>454</v>
      </c>
      <c r="G116" s="216"/>
      <c r="H116" s="294">
        <v>7500.0</v>
      </c>
      <c r="I116" s="21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248"/>
      <c r="B117" s="248"/>
      <c r="C117" s="248"/>
      <c r="D117" s="248"/>
      <c r="E117" s="248"/>
      <c r="F117" s="291" t="s">
        <v>455</v>
      </c>
      <c r="G117" s="216"/>
      <c r="H117" s="294">
        <v>6000.0</v>
      </c>
      <c r="I117" s="21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248"/>
      <c r="B118" s="248"/>
      <c r="C118" s="248"/>
      <c r="D118" s="248"/>
      <c r="E118" s="248"/>
      <c r="F118" s="291" t="s">
        <v>456</v>
      </c>
      <c r="G118" s="216"/>
      <c r="H118" s="294">
        <v>4600.0</v>
      </c>
      <c r="I118" s="21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248"/>
      <c r="B119" s="248"/>
      <c r="C119" s="248"/>
      <c r="D119" s="248"/>
      <c r="E119" s="248"/>
      <c r="F119" s="291" t="s">
        <v>457</v>
      </c>
      <c r="G119" s="216"/>
      <c r="H119" s="294">
        <v>3100.0</v>
      </c>
      <c r="I119" s="21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248"/>
      <c r="B120" s="248"/>
      <c r="C120" s="248"/>
      <c r="D120" s="248"/>
      <c r="E120" s="248"/>
      <c r="F120" s="297" t="s">
        <v>458</v>
      </c>
      <c r="G120" s="216"/>
      <c r="H120" s="298">
        <v>2600.0</v>
      </c>
      <c r="I120" s="21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248"/>
      <c r="B121" s="248"/>
      <c r="C121" s="248"/>
      <c r="D121" s="248"/>
      <c r="E121" s="248"/>
      <c r="F121" s="297" t="s">
        <v>459</v>
      </c>
      <c r="G121" s="216"/>
      <c r="H121" s="298">
        <v>600.0</v>
      </c>
      <c r="I121" s="21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248"/>
      <c r="B122" s="248"/>
      <c r="C122" s="248"/>
      <c r="D122" s="248"/>
      <c r="E122" s="248"/>
      <c r="F122" s="248"/>
      <c r="G122" s="248"/>
      <c r="H122" s="281"/>
      <c r="I122" s="301" t="s">
        <v>460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</sheetData>
  <mergeCells count="66">
    <mergeCell ref="A112:B112"/>
    <mergeCell ref="C112:D112"/>
    <mergeCell ref="F112:G112"/>
    <mergeCell ref="H112:I112"/>
    <mergeCell ref="A113:B113"/>
    <mergeCell ref="C113:D113"/>
    <mergeCell ref="F113:I113"/>
    <mergeCell ref="A114:B114"/>
    <mergeCell ref="C114:D114"/>
    <mergeCell ref="F114:G114"/>
    <mergeCell ref="H114:I114"/>
    <mergeCell ref="C115:D115"/>
    <mergeCell ref="F115:G115"/>
    <mergeCell ref="H115:I115"/>
    <mergeCell ref="A39:A42"/>
    <mergeCell ref="N44:P44"/>
    <mergeCell ref="A1:J2"/>
    <mergeCell ref="D4:F4"/>
    <mergeCell ref="G4:H4"/>
    <mergeCell ref="I4:J4"/>
    <mergeCell ref="B5:B6"/>
    <mergeCell ref="C5:C6"/>
    <mergeCell ref="A43:A49"/>
    <mergeCell ref="A51:A54"/>
    <mergeCell ref="A59:J59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A88:A96"/>
    <mergeCell ref="C88:E88"/>
    <mergeCell ref="C94:E94"/>
    <mergeCell ref="A97:F97"/>
    <mergeCell ref="C98:D98"/>
    <mergeCell ref="A100:A103"/>
    <mergeCell ref="A104:F104"/>
    <mergeCell ref="F108:G108"/>
    <mergeCell ref="H109:I109"/>
    <mergeCell ref="F109:G109"/>
    <mergeCell ref="C110:D110"/>
    <mergeCell ref="F110:I110"/>
    <mergeCell ref="A111:B111"/>
    <mergeCell ref="C111:D111"/>
    <mergeCell ref="F111:G111"/>
    <mergeCell ref="H111:I111"/>
    <mergeCell ref="F118:G118"/>
    <mergeCell ref="H118:I118"/>
    <mergeCell ref="F119:G119"/>
    <mergeCell ref="H119:I119"/>
    <mergeCell ref="F120:G120"/>
    <mergeCell ref="H120:I120"/>
    <mergeCell ref="F121:G121"/>
    <mergeCell ref="H121:I121"/>
    <mergeCell ref="A115:B115"/>
    <mergeCell ref="A116:B116"/>
    <mergeCell ref="C116:D116"/>
    <mergeCell ref="F116:G116"/>
    <mergeCell ref="H116:I116"/>
    <mergeCell ref="F117:G117"/>
    <mergeCell ref="H117:I117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3" max="3" width="23.14"/>
    <col customWidth="1" min="4" max="4" width="20.29"/>
    <col customWidth="1" min="5" max="5" width="64.14"/>
    <col customWidth="1" min="6" max="6" width="33.29"/>
  </cols>
  <sheetData>
    <row r="1">
      <c r="A1" s="1" t="s">
        <v>0</v>
      </c>
      <c r="B1" s="3"/>
      <c r="C1" s="3"/>
      <c r="D1" s="3"/>
      <c r="E1" s="3"/>
      <c r="F1" s="6">
        <v>46197.0</v>
      </c>
      <c r="G1" s="8"/>
      <c r="H1" s="9" t="s">
        <v>3</v>
      </c>
    </row>
    <row r="2">
      <c r="A2" s="12"/>
      <c r="B2" s="14" t="s">
        <v>5</v>
      </c>
      <c r="C2" s="14" t="s">
        <v>6</v>
      </c>
      <c r="D2" s="17" t="s">
        <v>7</v>
      </c>
      <c r="E2" s="14" t="s">
        <v>8</v>
      </c>
      <c r="F2" s="14" t="s">
        <v>9</v>
      </c>
      <c r="G2" s="12"/>
      <c r="H2" s="20" t="s">
        <v>10</v>
      </c>
    </row>
    <row r="3">
      <c r="A3" s="21">
        <v>1.0</v>
      </c>
      <c r="B3" s="24" t="s">
        <v>12</v>
      </c>
      <c r="C3" s="24" t="s">
        <v>13</v>
      </c>
      <c r="D3" s="25" t="s">
        <v>14</v>
      </c>
      <c r="E3" s="24" t="s">
        <v>15</v>
      </c>
      <c r="F3" s="24" t="s">
        <v>16</v>
      </c>
      <c r="G3" s="26"/>
      <c r="H3" s="26" t="s">
        <v>17</v>
      </c>
    </row>
    <row r="4">
      <c r="A4" s="21">
        <v>2.0</v>
      </c>
      <c r="B4" s="24" t="s">
        <v>18</v>
      </c>
      <c r="C4" s="24" t="s">
        <v>19</v>
      </c>
      <c r="D4" s="25" t="s">
        <v>20</v>
      </c>
      <c r="E4" s="24" t="s">
        <v>21</v>
      </c>
      <c r="F4" s="24" t="s">
        <v>22</v>
      </c>
      <c r="G4" s="26"/>
      <c r="H4" s="26" t="s">
        <v>17</v>
      </c>
    </row>
    <row r="5">
      <c r="A5" s="21">
        <v>3.0</v>
      </c>
      <c r="B5" s="24" t="s">
        <v>12</v>
      </c>
      <c r="C5" s="24" t="s">
        <v>23</v>
      </c>
      <c r="D5" s="25" t="s">
        <v>24</v>
      </c>
      <c r="E5" s="24" t="s">
        <v>25</v>
      </c>
      <c r="F5" s="24" t="s">
        <v>26</v>
      </c>
      <c r="G5" s="26"/>
      <c r="H5" s="26" t="s">
        <v>17</v>
      </c>
    </row>
    <row r="6">
      <c r="A6" s="21">
        <v>4.0</v>
      </c>
      <c r="B6" s="24" t="s">
        <v>18</v>
      </c>
      <c r="C6" s="24" t="s">
        <v>27</v>
      </c>
      <c r="D6" s="25" t="s">
        <v>28</v>
      </c>
      <c r="E6" s="24" t="s">
        <v>29</v>
      </c>
      <c r="F6" s="24" t="s">
        <v>30</v>
      </c>
      <c r="G6" s="26"/>
      <c r="H6" s="26" t="s">
        <v>17</v>
      </c>
    </row>
    <row r="7">
      <c r="A7" s="21">
        <v>5.0</v>
      </c>
      <c r="B7" s="24" t="s">
        <v>12</v>
      </c>
      <c r="C7" s="24" t="s">
        <v>31</v>
      </c>
      <c r="D7" s="25" t="s">
        <v>32</v>
      </c>
      <c r="E7" s="24" t="s">
        <v>33</v>
      </c>
      <c r="F7" s="24" t="s">
        <v>34</v>
      </c>
      <c r="G7" s="26"/>
      <c r="H7" s="26" t="s">
        <v>17</v>
      </c>
    </row>
    <row r="8">
      <c r="A8" s="21">
        <v>6.0</v>
      </c>
      <c r="B8" s="24" t="s">
        <v>12</v>
      </c>
      <c r="C8" s="29" t="s">
        <v>36</v>
      </c>
      <c r="D8" s="25" t="s">
        <v>38</v>
      </c>
      <c r="E8" s="24" t="s">
        <v>39</v>
      </c>
      <c r="F8" s="24" t="s">
        <v>40</v>
      </c>
      <c r="G8" s="26"/>
      <c r="H8" s="26" t="s">
        <v>17</v>
      </c>
    </row>
    <row r="9">
      <c r="A9" s="21">
        <v>7.0</v>
      </c>
      <c r="B9" s="24" t="s">
        <v>18</v>
      </c>
      <c r="C9" s="24" t="s">
        <v>41</v>
      </c>
      <c r="D9" s="25" t="s">
        <v>42</v>
      </c>
      <c r="E9" s="24" t="s">
        <v>43</v>
      </c>
      <c r="F9" s="24" t="s">
        <v>44</v>
      </c>
      <c r="G9" s="26"/>
      <c r="H9" s="26" t="s">
        <v>17</v>
      </c>
    </row>
    <row r="10">
      <c r="A10" s="21">
        <v>8.0</v>
      </c>
      <c r="B10" s="24" t="s">
        <v>18</v>
      </c>
      <c r="C10" s="24" t="s">
        <v>46</v>
      </c>
      <c r="D10" s="25" t="s">
        <v>47</v>
      </c>
      <c r="E10" s="24" t="s">
        <v>48</v>
      </c>
      <c r="F10" s="24" t="s">
        <v>44</v>
      </c>
      <c r="G10" s="26"/>
      <c r="H10" s="26" t="s">
        <v>17</v>
      </c>
    </row>
    <row r="11">
      <c r="A11" s="21">
        <v>9.0</v>
      </c>
      <c r="B11" s="24" t="s">
        <v>18</v>
      </c>
      <c r="C11" s="24" t="s">
        <v>49</v>
      </c>
      <c r="D11" s="25" t="s">
        <v>50</v>
      </c>
      <c r="E11" s="24" t="s">
        <v>51</v>
      </c>
      <c r="F11" s="24" t="s">
        <v>52</v>
      </c>
      <c r="G11" s="26"/>
      <c r="H11" s="26" t="s">
        <v>17</v>
      </c>
    </row>
    <row r="12">
      <c r="A12" s="21">
        <v>10.0</v>
      </c>
      <c r="B12" s="24" t="s">
        <v>12</v>
      </c>
      <c r="C12" s="24" t="s">
        <v>53</v>
      </c>
      <c r="D12" s="25" t="s">
        <v>54</v>
      </c>
      <c r="E12" s="24" t="s">
        <v>55</v>
      </c>
      <c r="F12" s="24" t="s">
        <v>56</v>
      </c>
      <c r="G12" s="26"/>
      <c r="H12" s="26" t="s">
        <v>17</v>
      </c>
    </row>
    <row r="13">
      <c r="A13" s="21">
        <v>11.0</v>
      </c>
      <c r="B13" s="24" t="s">
        <v>12</v>
      </c>
      <c r="C13" s="24" t="s">
        <v>57</v>
      </c>
      <c r="D13" s="25" t="s">
        <v>58</v>
      </c>
      <c r="E13" s="24" t="s">
        <v>59</v>
      </c>
      <c r="F13" s="24" t="s">
        <v>26</v>
      </c>
      <c r="G13" s="26"/>
      <c r="H13" s="26" t="s">
        <v>17</v>
      </c>
    </row>
    <row r="14">
      <c r="A14" s="21">
        <v>12.0</v>
      </c>
      <c r="B14" s="24" t="s">
        <v>18</v>
      </c>
      <c r="C14" s="24" t="s">
        <v>60</v>
      </c>
      <c r="D14" s="25" t="s">
        <v>61</v>
      </c>
      <c r="E14" s="24" t="s">
        <v>62</v>
      </c>
      <c r="F14" s="24" t="s">
        <v>63</v>
      </c>
      <c r="G14" s="26"/>
      <c r="H14" s="26" t="s">
        <v>17</v>
      </c>
    </row>
    <row r="15">
      <c r="A15" s="21">
        <v>13.0</v>
      </c>
      <c r="B15" s="24" t="s">
        <v>12</v>
      </c>
      <c r="C15" s="24" t="s">
        <v>64</v>
      </c>
      <c r="D15" s="25" t="s">
        <v>65</v>
      </c>
      <c r="E15" s="24" t="s">
        <v>66</v>
      </c>
      <c r="F15" s="24" t="s">
        <v>67</v>
      </c>
      <c r="G15" s="26"/>
      <c r="H15" s="26" t="s">
        <v>17</v>
      </c>
    </row>
    <row r="16">
      <c r="A16" s="21">
        <v>14.0</v>
      </c>
      <c r="B16" s="24" t="s">
        <v>12</v>
      </c>
      <c r="C16" s="24" t="s">
        <v>68</v>
      </c>
      <c r="D16" s="25" t="s">
        <v>69</v>
      </c>
      <c r="E16" s="24" t="s">
        <v>70</v>
      </c>
      <c r="F16" s="24" t="s">
        <v>16</v>
      </c>
      <c r="G16" s="26"/>
      <c r="H16" s="26" t="s">
        <v>17</v>
      </c>
    </row>
    <row r="17">
      <c r="A17" s="21">
        <v>15.0</v>
      </c>
      <c r="B17" s="24" t="s">
        <v>12</v>
      </c>
      <c r="C17" s="24" t="s">
        <v>71</v>
      </c>
      <c r="D17" s="25" t="s">
        <v>72</v>
      </c>
      <c r="E17" s="24" t="s">
        <v>73</v>
      </c>
      <c r="F17" s="24" t="s">
        <v>74</v>
      </c>
      <c r="G17" s="26"/>
      <c r="H17" s="26" t="s">
        <v>17</v>
      </c>
    </row>
    <row r="18">
      <c r="A18" s="21">
        <v>16.0</v>
      </c>
      <c r="B18" s="24" t="s">
        <v>18</v>
      </c>
      <c r="C18" s="24" t="s">
        <v>76</v>
      </c>
      <c r="D18" s="25" t="s">
        <v>77</v>
      </c>
      <c r="E18" s="24" t="s">
        <v>78</v>
      </c>
      <c r="F18" s="24" t="s">
        <v>44</v>
      </c>
      <c r="G18" s="26"/>
      <c r="H18" s="26" t="s">
        <v>17</v>
      </c>
    </row>
    <row r="19">
      <c r="A19" s="21">
        <v>17.0</v>
      </c>
      <c r="B19" s="24" t="s">
        <v>12</v>
      </c>
      <c r="C19" s="24" t="s">
        <v>80</v>
      </c>
      <c r="D19" s="25" t="s">
        <v>81</v>
      </c>
      <c r="E19" s="24" t="s">
        <v>82</v>
      </c>
      <c r="F19" s="24" t="s">
        <v>16</v>
      </c>
      <c r="G19" s="26"/>
      <c r="H19" s="26" t="s">
        <v>17</v>
      </c>
    </row>
    <row r="20">
      <c r="A20" s="21">
        <v>18.0</v>
      </c>
      <c r="B20" s="24" t="s">
        <v>12</v>
      </c>
      <c r="C20" s="24" t="s">
        <v>84</v>
      </c>
      <c r="D20" s="25" t="s">
        <v>85</v>
      </c>
      <c r="E20" s="24" t="s">
        <v>86</v>
      </c>
      <c r="F20" s="24" t="s">
        <v>16</v>
      </c>
      <c r="G20" s="26"/>
      <c r="H20" s="26" t="s">
        <v>17</v>
      </c>
    </row>
    <row r="21">
      <c r="A21" s="21">
        <v>19.0</v>
      </c>
      <c r="B21" s="24" t="s">
        <v>18</v>
      </c>
      <c r="C21" s="24" t="s">
        <v>89</v>
      </c>
      <c r="D21" s="25" t="s">
        <v>90</v>
      </c>
      <c r="E21" s="24" t="s">
        <v>91</v>
      </c>
      <c r="F21" s="24" t="s">
        <v>92</v>
      </c>
      <c r="G21" s="26"/>
      <c r="H21" s="26" t="s">
        <v>17</v>
      </c>
    </row>
    <row r="22">
      <c r="A22" s="21">
        <v>20.0</v>
      </c>
      <c r="B22" s="24" t="s">
        <v>12</v>
      </c>
      <c r="C22" s="24" t="s">
        <v>94</v>
      </c>
      <c r="D22" s="25" t="s">
        <v>95</v>
      </c>
      <c r="E22" s="24" t="s">
        <v>96</v>
      </c>
      <c r="F22" s="24" t="s">
        <v>16</v>
      </c>
      <c r="G22" s="26"/>
      <c r="H22" s="26" t="s">
        <v>17</v>
      </c>
    </row>
    <row r="23">
      <c r="A23" s="21">
        <v>21.0</v>
      </c>
      <c r="B23" s="24" t="s">
        <v>18</v>
      </c>
      <c r="C23" s="24" t="s">
        <v>98</v>
      </c>
      <c r="D23" s="25" t="s">
        <v>99</v>
      </c>
      <c r="E23" s="24" t="s">
        <v>101</v>
      </c>
      <c r="F23" s="24" t="s">
        <v>92</v>
      </c>
      <c r="G23" s="26"/>
      <c r="H23" s="26" t="s">
        <v>17</v>
      </c>
    </row>
    <row r="24">
      <c r="A24" s="21">
        <v>22.0</v>
      </c>
      <c r="B24" s="24" t="s">
        <v>18</v>
      </c>
      <c r="C24" s="24" t="s">
        <v>103</v>
      </c>
      <c r="D24" s="25" t="s">
        <v>104</v>
      </c>
      <c r="E24" s="24" t="s">
        <v>105</v>
      </c>
      <c r="F24" s="24" t="s">
        <v>106</v>
      </c>
      <c r="G24" s="26"/>
      <c r="H24" s="26" t="s">
        <v>17</v>
      </c>
    </row>
    <row r="25">
      <c r="A25" s="21">
        <v>23.0</v>
      </c>
      <c r="B25" s="24" t="s">
        <v>18</v>
      </c>
      <c r="C25" s="24" t="s">
        <v>109</v>
      </c>
      <c r="D25" s="25" t="s">
        <v>110</v>
      </c>
      <c r="E25" s="24" t="s">
        <v>111</v>
      </c>
      <c r="F25" s="24" t="s">
        <v>112</v>
      </c>
      <c r="G25" s="26"/>
      <c r="H25" s="26" t="s">
        <v>17</v>
      </c>
    </row>
    <row r="26">
      <c r="A26" s="21">
        <v>24.0</v>
      </c>
      <c r="B26" s="24" t="s">
        <v>12</v>
      </c>
      <c r="C26" s="24" t="s">
        <v>113</v>
      </c>
      <c r="D26" s="25" t="s">
        <v>114</v>
      </c>
      <c r="E26" s="24" t="s">
        <v>115</v>
      </c>
      <c r="F26" s="24" t="s">
        <v>16</v>
      </c>
      <c r="G26" s="26"/>
      <c r="H26" s="26" t="s">
        <v>17</v>
      </c>
    </row>
    <row r="27">
      <c r="A27" s="21">
        <v>25.0</v>
      </c>
      <c r="B27" s="24" t="s">
        <v>12</v>
      </c>
      <c r="C27" s="24" t="s">
        <v>117</v>
      </c>
      <c r="D27" s="25" t="s">
        <v>118</v>
      </c>
      <c r="E27" s="24" t="s">
        <v>119</v>
      </c>
      <c r="F27" s="24" t="s">
        <v>120</v>
      </c>
      <c r="G27" s="26"/>
      <c r="H27" s="26" t="s">
        <v>17</v>
      </c>
    </row>
    <row r="28">
      <c r="A28" s="21">
        <v>26.0</v>
      </c>
      <c r="B28" s="24" t="s">
        <v>18</v>
      </c>
      <c r="C28" s="29" t="s">
        <v>121</v>
      </c>
      <c r="D28" s="25" t="s">
        <v>122</v>
      </c>
      <c r="E28" s="29" t="s">
        <v>123</v>
      </c>
      <c r="F28" s="29" t="s">
        <v>124</v>
      </c>
      <c r="G28" s="26"/>
      <c r="H28" s="26" t="s">
        <v>17</v>
      </c>
    </row>
    <row r="29">
      <c r="A29" s="21">
        <v>27.0</v>
      </c>
      <c r="B29" s="24" t="s">
        <v>18</v>
      </c>
      <c r="C29" s="24" t="s">
        <v>125</v>
      </c>
      <c r="D29" s="25" t="s">
        <v>126</v>
      </c>
      <c r="E29" s="24" t="s">
        <v>127</v>
      </c>
      <c r="F29" s="24" t="s">
        <v>128</v>
      </c>
      <c r="G29" s="26"/>
      <c r="H29" s="26" t="s">
        <v>17</v>
      </c>
    </row>
    <row r="30">
      <c r="A30" s="21">
        <v>28.0</v>
      </c>
      <c r="B30" s="24" t="s">
        <v>18</v>
      </c>
      <c r="C30" s="24" t="s">
        <v>130</v>
      </c>
      <c r="D30" s="25" t="s">
        <v>131</v>
      </c>
      <c r="E30" s="24" t="s">
        <v>132</v>
      </c>
      <c r="F30" s="24" t="s">
        <v>44</v>
      </c>
      <c r="G30" s="26"/>
      <c r="H30" s="26" t="s">
        <v>17</v>
      </c>
    </row>
    <row r="31">
      <c r="A31" s="21">
        <v>29.0</v>
      </c>
      <c r="B31" s="24" t="s">
        <v>18</v>
      </c>
      <c r="C31" s="24" t="s">
        <v>133</v>
      </c>
      <c r="D31" s="25" t="s">
        <v>134</v>
      </c>
      <c r="E31" s="24" t="s">
        <v>135</v>
      </c>
      <c r="F31" s="24" t="s">
        <v>44</v>
      </c>
      <c r="G31" s="26"/>
      <c r="H31" s="26" t="s">
        <v>17</v>
      </c>
    </row>
    <row r="32" ht="19.5" customHeight="1">
      <c r="A32" s="21">
        <v>30.0</v>
      </c>
      <c r="B32" s="24" t="s">
        <v>12</v>
      </c>
      <c r="C32" s="24" t="s">
        <v>136</v>
      </c>
      <c r="D32" s="25" t="s">
        <v>137</v>
      </c>
      <c r="E32" s="24" t="s">
        <v>138</v>
      </c>
      <c r="F32" s="24" t="s">
        <v>139</v>
      </c>
      <c r="G32" s="55"/>
      <c r="H32" s="26" t="s">
        <v>17</v>
      </c>
    </row>
    <row r="33">
      <c r="A33" s="21">
        <v>31.0</v>
      </c>
      <c r="B33" s="24" t="s">
        <v>12</v>
      </c>
      <c r="C33" s="24" t="s">
        <v>140</v>
      </c>
      <c r="D33" s="25" t="s">
        <v>141</v>
      </c>
      <c r="E33" s="24" t="s">
        <v>142</v>
      </c>
      <c r="F33" s="24" t="s">
        <v>40</v>
      </c>
      <c r="G33" s="26"/>
      <c r="H33" s="26" t="s">
        <v>17</v>
      </c>
    </row>
    <row r="34">
      <c r="A34" s="21">
        <v>32.0</v>
      </c>
      <c r="B34" s="24" t="s">
        <v>18</v>
      </c>
      <c r="C34" s="24" t="s">
        <v>143</v>
      </c>
      <c r="D34" s="25" t="s">
        <v>144</v>
      </c>
      <c r="E34" s="24" t="s">
        <v>146</v>
      </c>
      <c r="F34" s="24" t="s">
        <v>148</v>
      </c>
      <c r="G34" s="26"/>
      <c r="H34" s="26" t="s">
        <v>17</v>
      </c>
    </row>
    <row r="35">
      <c r="A35" s="21">
        <v>33.0</v>
      </c>
      <c r="B35" s="24" t="s">
        <v>12</v>
      </c>
      <c r="C35" s="24" t="s">
        <v>149</v>
      </c>
      <c r="D35" s="25" t="s">
        <v>150</v>
      </c>
      <c r="E35" s="24" t="s">
        <v>151</v>
      </c>
      <c r="F35" s="24" t="s">
        <v>16</v>
      </c>
      <c r="G35" s="26"/>
      <c r="H35" s="26" t="s">
        <v>17</v>
      </c>
    </row>
    <row r="36">
      <c r="A36" s="21">
        <v>34.0</v>
      </c>
      <c r="B36" s="24" t="s">
        <v>18</v>
      </c>
      <c r="C36" s="24" t="s">
        <v>152</v>
      </c>
      <c r="D36" s="25" t="s">
        <v>153</v>
      </c>
      <c r="E36" s="24" t="s">
        <v>154</v>
      </c>
      <c r="F36" s="24" t="s">
        <v>112</v>
      </c>
      <c r="G36" s="26"/>
      <c r="H36" s="26" t="s">
        <v>17</v>
      </c>
    </row>
    <row r="37">
      <c r="A37" s="21">
        <v>35.0</v>
      </c>
      <c r="B37" s="24" t="s">
        <v>18</v>
      </c>
      <c r="C37" s="24" t="s">
        <v>156</v>
      </c>
      <c r="D37" s="25" t="s">
        <v>157</v>
      </c>
      <c r="E37" s="24" t="s">
        <v>158</v>
      </c>
      <c r="F37" s="24" t="s">
        <v>30</v>
      </c>
      <c r="G37" s="26"/>
      <c r="H37" s="26" t="s">
        <v>17</v>
      </c>
    </row>
    <row r="38">
      <c r="A38" s="21">
        <v>36.0</v>
      </c>
      <c r="B38" s="24" t="s">
        <v>18</v>
      </c>
      <c r="C38" s="24" t="s">
        <v>160</v>
      </c>
      <c r="D38" s="25" t="s">
        <v>157</v>
      </c>
      <c r="E38" s="24" t="s">
        <v>161</v>
      </c>
      <c r="F38" s="24" t="s">
        <v>30</v>
      </c>
      <c r="G38" s="26"/>
      <c r="H38" s="26" t="s">
        <v>17</v>
      </c>
    </row>
    <row r="39">
      <c r="A39" s="21">
        <v>37.0</v>
      </c>
      <c r="B39" s="24" t="s">
        <v>12</v>
      </c>
      <c r="C39" s="24" t="s">
        <v>162</v>
      </c>
      <c r="D39" s="25" t="s">
        <v>163</v>
      </c>
      <c r="E39" s="24" t="s">
        <v>164</v>
      </c>
      <c r="F39" s="24" t="s">
        <v>165</v>
      </c>
      <c r="G39" s="26"/>
      <c r="H39" s="26" t="s">
        <v>17</v>
      </c>
    </row>
    <row r="40">
      <c r="A40" s="21">
        <v>38.0</v>
      </c>
      <c r="B40" s="24" t="s">
        <v>18</v>
      </c>
      <c r="C40" s="24" t="s">
        <v>166</v>
      </c>
      <c r="D40" s="25" t="s">
        <v>167</v>
      </c>
      <c r="E40" s="24" t="s">
        <v>168</v>
      </c>
      <c r="F40" s="24" t="s">
        <v>169</v>
      </c>
      <c r="G40" s="26"/>
      <c r="H40" s="26" t="s">
        <v>17</v>
      </c>
    </row>
    <row r="41">
      <c r="A41" s="21">
        <v>39.0</v>
      </c>
      <c r="B41" s="24" t="s">
        <v>18</v>
      </c>
      <c r="C41" s="24" t="s">
        <v>170</v>
      </c>
      <c r="D41" s="25" t="s">
        <v>171</v>
      </c>
      <c r="E41" s="24" t="s">
        <v>173</v>
      </c>
      <c r="F41" s="24" t="s">
        <v>174</v>
      </c>
      <c r="G41" s="26"/>
      <c r="H41" s="26" t="s">
        <v>17</v>
      </c>
    </row>
    <row r="42">
      <c r="A42" s="21">
        <v>40.0</v>
      </c>
      <c r="B42" s="24" t="s">
        <v>18</v>
      </c>
      <c r="C42" s="26" t="s">
        <v>175</v>
      </c>
      <c r="D42" s="25" t="s">
        <v>176</v>
      </c>
      <c r="E42" s="24" t="s">
        <v>177</v>
      </c>
      <c r="F42" s="24" t="s">
        <v>178</v>
      </c>
      <c r="G42" s="26"/>
      <c r="H42" s="26" t="s">
        <v>17</v>
      </c>
    </row>
    <row r="43">
      <c r="A43" s="21">
        <v>41.0</v>
      </c>
      <c r="B43" s="24" t="s">
        <v>18</v>
      </c>
      <c r="C43" s="24" t="s">
        <v>179</v>
      </c>
      <c r="D43" s="25" t="s">
        <v>180</v>
      </c>
      <c r="E43" s="24" t="s">
        <v>181</v>
      </c>
      <c r="F43" s="65" t="s">
        <v>182</v>
      </c>
      <c r="G43" s="26"/>
      <c r="H43" s="26" t="s">
        <v>17</v>
      </c>
    </row>
    <row r="44">
      <c r="A44" s="21">
        <v>42.0</v>
      </c>
      <c r="B44" s="24" t="s">
        <v>18</v>
      </c>
      <c r="C44" s="24" t="s">
        <v>183</v>
      </c>
      <c r="D44" s="25" t="s">
        <v>184</v>
      </c>
      <c r="E44" s="24" t="s">
        <v>185</v>
      </c>
      <c r="F44" s="24" t="s">
        <v>186</v>
      </c>
      <c r="G44" s="26"/>
      <c r="H44" s="26" t="s">
        <v>17</v>
      </c>
    </row>
    <row r="45">
      <c r="A45" s="21">
        <v>43.0</v>
      </c>
      <c r="B45" s="24" t="s">
        <v>18</v>
      </c>
      <c r="C45" s="24" t="s">
        <v>187</v>
      </c>
      <c r="D45" s="25" t="s">
        <v>188</v>
      </c>
      <c r="E45" s="24" t="s">
        <v>189</v>
      </c>
      <c r="F45" s="24" t="s">
        <v>186</v>
      </c>
      <c r="G45" s="26"/>
      <c r="H45" s="26" t="s">
        <v>17</v>
      </c>
    </row>
    <row r="46">
      <c r="A46" s="21">
        <v>44.0</v>
      </c>
      <c r="B46" s="24" t="s">
        <v>18</v>
      </c>
      <c r="C46" s="24" t="s">
        <v>190</v>
      </c>
      <c r="D46" s="25" t="s">
        <v>191</v>
      </c>
      <c r="E46" s="24" t="s">
        <v>192</v>
      </c>
      <c r="F46" s="24" t="s">
        <v>186</v>
      </c>
      <c r="G46" s="26"/>
      <c r="H46" s="26" t="s">
        <v>17</v>
      </c>
    </row>
    <row r="47">
      <c r="A47" s="21">
        <v>45.0</v>
      </c>
      <c r="B47" s="24" t="s">
        <v>18</v>
      </c>
      <c r="C47" s="24" t="s">
        <v>193</v>
      </c>
      <c r="D47" s="25" t="s">
        <v>194</v>
      </c>
      <c r="E47" s="24" t="s">
        <v>195</v>
      </c>
      <c r="F47" s="24" t="s">
        <v>196</v>
      </c>
      <c r="G47" s="26"/>
      <c r="H47" s="26" t="s">
        <v>17</v>
      </c>
    </row>
    <row r="48">
      <c r="A48" s="21">
        <v>46.0</v>
      </c>
      <c r="B48" s="24" t="s">
        <v>12</v>
      </c>
      <c r="C48" s="24" t="s">
        <v>198</v>
      </c>
      <c r="D48" s="25" t="s">
        <v>199</v>
      </c>
      <c r="E48" s="24" t="s">
        <v>200</v>
      </c>
      <c r="F48" s="24" t="s">
        <v>34</v>
      </c>
      <c r="G48" s="26"/>
      <c r="H48" s="26" t="s">
        <v>17</v>
      </c>
    </row>
    <row r="49">
      <c r="A49" s="21">
        <v>47.0</v>
      </c>
      <c r="B49" s="24" t="s">
        <v>18</v>
      </c>
      <c r="C49" s="24" t="s">
        <v>201</v>
      </c>
      <c r="D49" s="25" t="s">
        <v>202</v>
      </c>
      <c r="E49" s="24" t="s">
        <v>203</v>
      </c>
      <c r="F49" s="24" t="s">
        <v>186</v>
      </c>
      <c r="G49" s="26"/>
      <c r="H49" s="26" t="s">
        <v>17</v>
      </c>
    </row>
    <row r="50">
      <c r="A50" s="21">
        <v>48.0</v>
      </c>
      <c r="B50" s="24" t="s">
        <v>18</v>
      </c>
      <c r="C50" s="24" t="s">
        <v>205</v>
      </c>
      <c r="D50" s="25" t="s">
        <v>206</v>
      </c>
      <c r="E50" s="24" t="s">
        <v>207</v>
      </c>
      <c r="F50" s="24" t="s">
        <v>208</v>
      </c>
      <c r="G50" s="26"/>
      <c r="H50" s="26" t="s">
        <v>17</v>
      </c>
    </row>
    <row r="51">
      <c r="A51" s="21">
        <v>49.0</v>
      </c>
      <c r="B51" s="24" t="s">
        <v>18</v>
      </c>
      <c r="C51" s="29" t="s">
        <v>209</v>
      </c>
      <c r="D51" s="25" t="s">
        <v>210</v>
      </c>
      <c r="E51" s="24" t="s">
        <v>211</v>
      </c>
      <c r="F51" s="24" t="s">
        <v>213</v>
      </c>
      <c r="G51" s="26"/>
      <c r="H51" s="26" t="s">
        <v>17</v>
      </c>
    </row>
    <row r="52">
      <c r="A52" s="21">
        <v>50.0</v>
      </c>
      <c r="B52" s="26" t="s">
        <v>18</v>
      </c>
      <c r="C52" s="26" t="s">
        <v>214</v>
      </c>
      <c r="D52" s="82" t="s">
        <v>216</v>
      </c>
      <c r="E52" s="26" t="s">
        <v>217</v>
      </c>
      <c r="F52" s="26" t="s">
        <v>218</v>
      </c>
      <c r="G52" s="26"/>
      <c r="H52" s="26" t="s">
        <v>17</v>
      </c>
    </row>
    <row r="53">
      <c r="A53" s="21">
        <v>51.0</v>
      </c>
      <c r="B53" s="24" t="s">
        <v>12</v>
      </c>
      <c r="C53" s="24" t="s">
        <v>219</v>
      </c>
      <c r="D53" s="25" t="s">
        <v>220</v>
      </c>
      <c r="E53" s="24" t="s">
        <v>221</v>
      </c>
      <c r="F53" s="24" t="s">
        <v>222</v>
      </c>
      <c r="G53" s="26"/>
      <c r="H53" s="26" t="s">
        <v>17</v>
      </c>
    </row>
    <row r="54">
      <c r="A54" s="21">
        <v>52.0</v>
      </c>
      <c r="B54" s="26" t="s">
        <v>18</v>
      </c>
      <c r="C54" s="26" t="s">
        <v>223</v>
      </c>
      <c r="D54" s="82" t="s">
        <v>224</v>
      </c>
      <c r="E54" s="26" t="s">
        <v>225</v>
      </c>
      <c r="F54" s="26" t="s">
        <v>226</v>
      </c>
      <c r="G54" s="26"/>
      <c r="H54" s="26" t="s">
        <v>17</v>
      </c>
    </row>
    <row r="55">
      <c r="A55" s="21">
        <v>53.0</v>
      </c>
      <c r="B55" s="24" t="s">
        <v>18</v>
      </c>
      <c r="C55" s="24" t="s">
        <v>227</v>
      </c>
      <c r="D55" s="25" t="s">
        <v>228</v>
      </c>
      <c r="E55" s="24" t="s">
        <v>229</v>
      </c>
      <c r="F55" s="24" t="s">
        <v>230</v>
      </c>
      <c r="G55" s="26"/>
      <c r="H55" s="26" t="s">
        <v>17</v>
      </c>
    </row>
    <row r="56">
      <c r="A56" s="21">
        <v>54.0</v>
      </c>
      <c r="B56" s="24" t="s">
        <v>12</v>
      </c>
      <c r="C56" s="24" t="s">
        <v>231</v>
      </c>
      <c r="D56" s="25" t="s">
        <v>232</v>
      </c>
      <c r="E56" s="24" t="s">
        <v>233</v>
      </c>
      <c r="F56" s="24" t="s">
        <v>234</v>
      </c>
      <c r="G56" s="26"/>
      <c r="H56" s="26" t="s">
        <v>17</v>
      </c>
    </row>
    <row r="57">
      <c r="A57" s="21">
        <v>55.0</v>
      </c>
      <c r="B57" s="24" t="s">
        <v>12</v>
      </c>
      <c r="C57" s="24" t="s">
        <v>235</v>
      </c>
      <c r="D57" s="25" t="s">
        <v>236</v>
      </c>
      <c r="E57" s="24" t="s">
        <v>237</v>
      </c>
      <c r="F57" s="24" t="s">
        <v>40</v>
      </c>
      <c r="G57" s="26"/>
      <c r="H57" s="26" t="s">
        <v>17</v>
      </c>
    </row>
    <row r="58">
      <c r="A58" s="21">
        <v>56.0</v>
      </c>
      <c r="B58" s="24" t="s">
        <v>12</v>
      </c>
      <c r="C58" s="24" t="s">
        <v>238</v>
      </c>
      <c r="D58" s="25" t="s">
        <v>239</v>
      </c>
      <c r="E58" s="24" t="s">
        <v>240</v>
      </c>
      <c r="F58" s="24" t="s">
        <v>74</v>
      </c>
      <c r="G58" s="26"/>
      <c r="H58" s="26" t="s">
        <v>17</v>
      </c>
    </row>
    <row r="59">
      <c r="A59" s="21">
        <v>57.0</v>
      </c>
      <c r="B59" s="24" t="s">
        <v>18</v>
      </c>
      <c r="C59" s="24" t="s">
        <v>241</v>
      </c>
      <c r="D59" s="25" t="s">
        <v>242</v>
      </c>
      <c r="E59" s="24" t="s">
        <v>243</v>
      </c>
      <c r="F59" s="24" t="s">
        <v>30</v>
      </c>
      <c r="G59" s="26"/>
      <c r="H59" s="26" t="s">
        <v>17</v>
      </c>
    </row>
    <row r="60">
      <c r="A60" s="21">
        <v>58.0</v>
      </c>
      <c r="B60" s="24" t="s">
        <v>18</v>
      </c>
      <c r="C60" s="24" t="s">
        <v>244</v>
      </c>
      <c r="D60" s="25" t="s">
        <v>245</v>
      </c>
      <c r="E60" s="24" t="s">
        <v>246</v>
      </c>
      <c r="F60" s="24" t="s">
        <v>124</v>
      </c>
      <c r="G60" s="26"/>
      <c r="H60" s="26" t="s">
        <v>17</v>
      </c>
    </row>
    <row r="61">
      <c r="A61" s="21">
        <v>59.0</v>
      </c>
      <c r="B61" s="24" t="s">
        <v>12</v>
      </c>
      <c r="C61" s="24" t="s">
        <v>247</v>
      </c>
      <c r="D61" s="25" t="s">
        <v>248</v>
      </c>
      <c r="E61" s="24" t="s">
        <v>250</v>
      </c>
      <c r="F61" s="24" t="s">
        <v>16</v>
      </c>
      <c r="G61" s="26"/>
      <c r="H61" s="26" t="s">
        <v>17</v>
      </c>
    </row>
    <row r="62">
      <c r="A62" s="21">
        <v>60.0</v>
      </c>
      <c r="B62" s="24" t="s">
        <v>12</v>
      </c>
      <c r="C62" s="24" t="s">
        <v>252</v>
      </c>
      <c r="D62" s="25" t="s">
        <v>248</v>
      </c>
      <c r="E62" s="24" t="s">
        <v>250</v>
      </c>
      <c r="F62" s="24" t="s">
        <v>16</v>
      </c>
      <c r="G62" s="26"/>
      <c r="H62" s="26" t="s">
        <v>17</v>
      </c>
    </row>
    <row r="63">
      <c r="A63" s="21">
        <v>61.0</v>
      </c>
      <c r="B63" s="24" t="s">
        <v>18</v>
      </c>
      <c r="C63" s="24" t="s">
        <v>253</v>
      </c>
      <c r="D63" s="25" t="s">
        <v>254</v>
      </c>
      <c r="E63" s="24" t="s">
        <v>255</v>
      </c>
      <c r="F63" s="24" t="s">
        <v>256</v>
      </c>
      <c r="G63" s="26"/>
      <c r="H63" s="26" t="s">
        <v>17</v>
      </c>
    </row>
    <row r="64">
      <c r="A64" s="21">
        <v>62.0</v>
      </c>
      <c r="B64" s="24" t="s">
        <v>18</v>
      </c>
      <c r="C64" s="24" t="s">
        <v>257</v>
      </c>
      <c r="D64" s="25" t="s">
        <v>258</v>
      </c>
      <c r="E64" s="24" t="s">
        <v>259</v>
      </c>
      <c r="F64" s="24" t="s">
        <v>260</v>
      </c>
      <c r="G64" s="26"/>
      <c r="H64" s="26" t="s">
        <v>17</v>
      </c>
    </row>
    <row r="65">
      <c r="A65" s="21">
        <v>63.0</v>
      </c>
      <c r="B65" s="26" t="s">
        <v>18</v>
      </c>
      <c r="C65" s="26" t="s">
        <v>261</v>
      </c>
      <c r="D65" s="82" t="s">
        <v>262</v>
      </c>
      <c r="E65" s="24" t="s">
        <v>263</v>
      </c>
      <c r="F65" s="26" t="s">
        <v>226</v>
      </c>
      <c r="G65" s="26"/>
      <c r="H65" s="26" t="s">
        <v>17</v>
      </c>
    </row>
    <row r="66">
      <c r="A66" s="21">
        <v>64.0</v>
      </c>
      <c r="B66" s="26" t="s">
        <v>18</v>
      </c>
      <c r="C66" s="26" t="s">
        <v>264</v>
      </c>
      <c r="D66" s="82" t="s">
        <v>265</v>
      </c>
      <c r="E66" s="24" t="s">
        <v>266</v>
      </c>
      <c r="F66" s="26" t="s">
        <v>226</v>
      </c>
      <c r="G66" s="26"/>
      <c r="H66" s="26" t="s">
        <v>17</v>
      </c>
    </row>
    <row r="67">
      <c r="A67" s="21">
        <v>65.0</v>
      </c>
      <c r="B67" s="26" t="s">
        <v>18</v>
      </c>
      <c r="C67" s="26" t="s">
        <v>267</v>
      </c>
      <c r="D67" s="82" t="s">
        <v>268</v>
      </c>
      <c r="E67" s="26" t="s">
        <v>269</v>
      </c>
      <c r="F67" s="26" t="s">
        <v>270</v>
      </c>
      <c r="G67" s="26"/>
      <c r="H67" s="26" t="s">
        <v>17</v>
      </c>
    </row>
    <row r="68">
      <c r="A68" s="21">
        <v>66.0</v>
      </c>
      <c r="B68" s="26" t="s">
        <v>18</v>
      </c>
      <c r="C68" s="99" t="s">
        <v>272</v>
      </c>
      <c r="D68" s="82" t="s">
        <v>273</v>
      </c>
      <c r="E68" s="26" t="s">
        <v>274</v>
      </c>
      <c r="F68" s="26" t="s">
        <v>275</v>
      </c>
      <c r="G68" s="101">
        <v>30.0</v>
      </c>
      <c r="H68" s="26" t="s">
        <v>17</v>
      </c>
    </row>
    <row r="69">
      <c r="A69" s="21">
        <v>67.0</v>
      </c>
      <c r="B69" s="26" t="s">
        <v>18</v>
      </c>
      <c r="C69" s="99" t="s">
        <v>276</v>
      </c>
      <c r="D69" s="82" t="s">
        <v>277</v>
      </c>
      <c r="E69" s="26" t="s">
        <v>278</v>
      </c>
      <c r="F69" s="26" t="s">
        <v>275</v>
      </c>
      <c r="G69" s="101">
        <v>30.0</v>
      </c>
      <c r="H69" s="26" t="s">
        <v>17</v>
      </c>
    </row>
    <row r="70">
      <c r="A70" s="21">
        <v>68.0</v>
      </c>
      <c r="B70" s="26" t="s">
        <v>12</v>
      </c>
      <c r="C70" s="99" t="s">
        <v>279</v>
      </c>
      <c r="D70" s="82" t="s">
        <v>280</v>
      </c>
      <c r="E70" s="26" t="s">
        <v>281</v>
      </c>
      <c r="F70" s="26" t="s">
        <v>282</v>
      </c>
      <c r="G70" s="101">
        <v>30.0</v>
      </c>
      <c r="H70" s="26" t="s">
        <v>17</v>
      </c>
    </row>
    <row r="71">
      <c r="A71" s="21">
        <v>69.0</v>
      </c>
      <c r="B71" s="26" t="s">
        <v>12</v>
      </c>
      <c r="C71" s="99" t="s">
        <v>283</v>
      </c>
      <c r="D71" s="82" t="s">
        <v>284</v>
      </c>
      <c r="E71" s="26" t="s">
        <v>285</v>
      </c>
      <c r="F71" s="26" t="s">
        <v>40</v>
      </c>
      <c r="G71" s="101">
        <v>30.0</v>
      </c>
      <c r="H71" s="26" t="s">
        <v>17</v>
      </c>
    </row>
    <row r="72">
      <c r="A72" s="21">
        <v>70.0</v>
      </c>
      <c r="B72" s="26" t="s">
        <v>18</v>
      </c>
      <c r="C72" s="99" t="s">
        <v>286</v>
      </c>
      <c r="D72" s="82" t="s">
        <v>287</v>
      </c>
      <c r="E72" s="26" t="s">
        <v>288</v>
      </c>
      <c r="F72" s="26" t="s">
        <v>289</v>
      </c>
      <c r="G72" s="101" t="s">
        <v>290</v>
      </c>
      <c r="H72" s="26" t="s">
        <v>17</v>
      </c>
    </row>
    <row r="73">
      <c r="A73" s="21">
        <v>71.0</v>
      </c>
      <c r="B73" s="106" t="s">
        <v>12</v>
      </c>
      <c r="C73" s="107" t="s">
        <v>291</v>
      </c>
      <c r="D73" s="109" t="s">
        <v>292</v>
      </c>
      <c r="E73" s="110" t="s">
        <v>293</v>
      </c>
      <c r="F73" s="110" t="s">
        <v>67</v>
      </c>
      <c r="G73" s="26"/>
      <c r="H73" s="106" t="s">
        <v>294</v>
      </c>
    </row>
    <row r="74">
      <c r="A74" s="21">
        <v>72.0</v>
      </c>
      <c r="B74" s="110" t="s">
        <v>18</v>
      </c>
      <c r="C74" s="107" t="s">
        <v>295</v>
      </c>
      <c r="D74" s="109" t="s">
        <v>296</v>
      </c>
      <c r="E74" s="110" t="s">
        <v>297</v>
      </c>
      <c r="F74" s="110" t="s">
        <v>298</v>
      </c>
      <c r="G74" s="26"/>
      <c r="H74" s="106" t="s">
        <v>294</v>
      </c>
    </row>
    <row r="75">
      <c r="A75" s="21">
        <v>73.0</v>
      </c>
      <c r="B75" s="110" t="s">
        <v>18</v>
      </c>
      <c r="C75" s="107" t="s">
        <v>299</v>
      </c>
      <c r="D75" s="109" t="s">
        <v>300</v>
      </c>
      <c r="E75" s="110" t="s">
        <v>301</v>
      </c>
      <c r="F75" s="110" t="s">
        <v>270</v>
      </c>
      <c r="G75" s="26"/>
      <c r="H75" s="106" t="s">
        <v>294</v>
      </c>
    </row>
    <row r="76">
      <c r="A76" s="21">
        <v>74.0</v>
      </c>
      <c r="B76" s="110" t="s">
        <v>18</v>
      </c>
      <c r="C76" s="114" t="s">
        <v>302</v>
      </c>
      <c r="D76" s="116" t="s">
        <v>303</v>
      </c>
      <c r="E76" s="106" t="s">
        <v>305</v>
      </c>
      <c r="F76" s="106" t="s">
        <v>226</v>
      </c>
      <c r="G76" s="26"/>
      <c r="H76" s="106" t="s">
        <v>294</v>
      </c>
    </row>
    <row r="77">
      <c r="A77" s="26"/>
      <c r="B77" s="26"/>
      <c r="C77" s="99"/>
      <c r="D77" s="82"/>
      <c r="E77" s="26"/>
      <c r="F77" s="26"/>
      <c r="G77" s="26"/>
      <c r="H77" s="26"/>
    </row>
    <row r="78">
      <c r="A78" s="26"/>
      <c r="B78" s="26"/>
      <c r="C78" s="99"/>
      <c r="D78" s="82"/>
      <c r="E78" s="26"/>
      <c r="F78" s="26"/>
      <c r="G78" s="26"/>
      <c r="H78" s="26"/>
    </row>
    <row r="79">
      <c r="A79" s="26"/>
      <c r="B79" s="26"/>
      <c r="C79" s="99"/>
      <c r="D79" s="82"/>
      <c r="E79" s="26"/>
      <c r="F79" s="26"/>
      <c r="G79" s="26"/>
      <c r="H79" s="26"/>
    </row>
    <row r="80">
      <c r="A80" s="26"/>
      <c r="B80" s="26"/>
      <c r="C80" s="99"/>
      <c r="D80" s="82"/>
      <c r="E80" s="26"/>
      <c r="F80" s="26"/>
      <c r="G80" s="26"/>
      <c r="H80" s="26"/>
    </row>
    <row r="81">
      <c r="A81" s="26"/>
      <c r="B81" s="26"/>
      <c r="C81" s="99"/>
      <c r="D81" s="82"/>
      <c r="E81" s="26"/>
      <c r="F81" s="26"/>
      <c r="G81" s="26"/>
      <c r="H81" s="26"/>
    </row>
    <row r="82">
      <c r="A82" s="26"/>
      <c r="B82" s="26"/>
      <c r="C82" s="99"/>
      <c r="D82" s="82"/>
      <c r="E82" s="26"/>
      <c r="F82" s="26"/>
      <c r="G82" s="26"/>
      <c r="H82" s="26"/>
    </row>
    <row r="83">
      <c r="A83" s="26"/>
      <c r="B83" s="26"/>
      <c r="C83" s="99"/>
      <c r="D83" s="82"/>
      <c r="E83" s="26"/>
      <c r="F83" s="26"/>
      <c r="G83" s="26"/>
      <c r="H83" s="26"/>
    </row>
    <row r="84">
      <c r="A84" s="26"/>
      <c r="B84" s="26"/>
      <c r="C84" s="99"/>
      <c r="D84" s="82"/>
      <c r="E84" s="26"/>
      <c r="F84" s="26"/>
      <c r="G84" s="26"/>
      <c r="H84" s="26"/>
    </row>
    <row r="85">
      <c r="A85" s="26"/>
      <c r="B85" s="26"/>
      <c r="C85" s="99"/>
      <c r="D85" s="82"/>
      <c r="E85" s="26"/>
      <c r="F85" s="26"/>
      <c r="G85" s="26"/>
      <c r="H85" s="26"/>
    </row>
    <row r="86">
      <c r="A86" s="26"/>
      <c r="B86" s="26"/>
      <c r="C86" s="99"/>
      <c r="D86" s="82"/>
      <c r="E86" s="26"/>
      <c r="F86" s="26"/>
      <c r="G86" s="26"/>
      <c r="H86" s="26"/>
    </row>
    <row r="87">
      <c r="A87" s="26"/>
      <c r="B87" s="26"/>
      <c r="C87" s="99"/>
      <c r="D87" s="82"/>
      <c r="E87" s="26"/>
      <c r="F87" s="26"/>
      <c r="G87" s="26"/>
      <c r="H87" s="26"/>
    </row>
    <row r="88">
      <c r="A88" s="26"/>
      <c r="B88" s="26"/>
      <c r="C88" s="99"/>
      <c r="D88" s="82"/>
      <c r="E88" s="26"/>
      <c r="F88" s="26"/>
      <c r="G88" s="26"/>
      <c r="H88" s="26"/>
    </row>
    <row r="89">
      <c r="A89" s="26"/>
      <c r="B89" s="26"/>
      <c r="C89" s="99"/>
      <c r="D89" s="82"/>
      <c r="E89" s="26"/>
      <c r="F89" s="26"/>
      <c r="G89" s="26"/>
      <c r="H89" s="26"/>
    </row>
    <row r="90">
      <c r="A90" s="26"/>
      <c r="B90" s="26"/>
      <c r="C90" s="99"/>
      <c r="D90" s="82"/>
      <c r="E90" s="26"/>
      <c r="F90" s="26"/>
      <c r="G90" s="26"/>
      <c r="H90" s="26"/>
    </row>
    <row r="91">
      <c r="A91" s="26"/>
      <c r="B91" s="26"/>
      <c r="C91" s="99"/>
      <c r="D91" s="82"/>
      <c r="E91" s="26"/>
      <c r="F91" s="26"/>
      <c r="G91" s="26"/>
      <c r="H91" s="26"/>
    </row>
    <row r="92">
      <c r="A92" s="26"/>
      <c r="B92" s="26"/>
      <c r="C92" s="99"/>
      <c r="D92" s="82"/>
      <c r="E92" s="26"/>
      <c r="F92" s="26"/>
      <c r="G92" s="26"/>
      <c r="H92" s="26"/>
    </row>
  </sheetData>
  <drawing r:id="rId1"/>
</worksheet>
</file>