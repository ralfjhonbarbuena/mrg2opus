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LEW DRY NOR FAK\"/>
    </mc:Choice>
  </mc:AlternateContent>
  <xr:revisionPtr revIDLastSave="0" documentId="13_ncr:1_{42EEDFBF-6312-448D-9607-4867F52FAF5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RY" sheetId="3" r:id="rId1"/>
    <sheet name="R5 NOR" sheetId="5" r:id="rId2"/>
    <sheet name="Ingauge FAK" sheetId="8" r:id="rId3"/>
    <sheet name="Yangtze ARB Add-on" sheetId="9" r:id="rId4"/>
    <sheet name="ECSA Add-On" sheetId="2" r:id="rId5"/>
    <sheet name="IMO charge" sheetId="4" r:id="rId6"/>
  </sheets>
  <externalReferences>
    <externalReference r:id="rId7"/>
  </externalReferences>
  <definedNames>
    <definedName name="_xlnm._FilterDatabase" localSheetId="0" hidden="1">DRY!$A$10:$AM$61</definedName>
    <definedName name="_xlnm._FilterDatabase" localSheetId="2" hidden="1">'Ingauge FAK'!$A$11:$G$101</definedName>
    <definedName name="FAK">#REF!</definedName>
    <definedName name="POD" localSheetId="2">#REF!</definedName>
    <definedName name="POD">DRY!$C$9:$AC$9</definedName>
    <definedName name="PODNOR" localSheetId="2">#REF!</definedName>
    <definedName name="PODNOR">'R5 NOR'!#REF!</definedName>
    <definedName name="POL" localSheetId="2">#REF!</definedName>
    <definedName name="POL">DRY!$B$11:$B$82</definedName>
    <definedName name="POLNOR" localSheetId="2">#REF!</definedName>
    <definedName name="POLNOR">'R5 NOR'!#REF!</definedName>
    <definedName name="_xlnm.Print_Area" localSheetId="0">DRY!$A$1:$AC$61</definedName>
    <definedName name="Rates" localSheetId="2">#REF!</definedName>
    <definedName name="Rates">DRY!$C$11:$AC$82</definedName>
    <definedName name="RatesNOR" localSheetId="2">#REF!</definedName>
    <definedName name="RatesNOR">'R5 NOR'!#REF!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A34" i="5"/>
  <c r="A100" i="8" s="1"/>
  <c r="A35" i="5"/>
  <c r="A101" i="8" s="1"/>
  <c r="G4" i="3"/>
  <c r="G4" i="8" s="1"/>
  <c r="F4" i="3"/>
  <c r="F4" i="8" s="1"/>
  <c r="C4" i="5"/>
  <c r="D4" i="8"/>
  <c r="C4" i="8"/>
  <c r="D4" i="5"/>
</calcChain>
</file>

<file path=xl/sharedStrings.xml><?xml version="1.0" encoding="utf-8"?>
<sst xmlns="http://schemas.openxmlformats.org/spreadsheetml/2006/main" count="1114" uniqueCount="467">
  <si>
    <t>From</t>
  </si>
  <si>
    <t>To</t>
  </si>
  <si>
    <t xml:space="preserve">Validity period </t>
  </si>
  <si>
    <t>Xingang</t>
  </si>
  <si>
    <t>Dalian</t>
  </si>
  <si>
    <t>Qingdao</t>
  </si>
  <si>
    <t>Pusan</t>
  </si>
  <si>
    <t>Hong Kong</t>
  </si>
  <si>
    <t>Singapore</t>
  </si>
  <si>
    <t>Shanghai</t>
  </si>
  <si>
    <t>Ningbo</t>
  </si>
  <si>
    <t>Shekou</t>
  </si>
  <si>
    <t>Xiamen</t>
  </si>
  <si>
    <t>Keelung</t>
  </si>
  <si>
    <t>Kaohsiung</t>
  </si>
  <si>
    <t>Taichung</t>
  </si>
  <si>
    <t>Huangpu</t>
  </si>
  <si>
    <t>Nanchang</t>
  </si>
  <si>
    <t>Zhapu</t>
  </si>
  <si>
    <t>Wenzhou</t>
  </si>
  <si>
    <t>Bangkok</t>
  </si>
  <si>
    <t>Laem Chabang</t>
  </si>
  <si>
    <t>Lat Krabang</t>
  </si>
  <si>
    <t>Songkhla</t>
  </si>
  <si>
    <t>Penang</t>
  </si>
  <si>
    <t>Jakarta</t>
  </si>
  <si>
    <t>Surabaya</t>
  </si>
  <si>
    <t>Belawan</t>
  </si>
  <si>
    <t>Semarang</t>
  </si>
  <si>
    <t>Manila</t>
  </si>
  <si>
    <t>Cebu</t>
  </si>
  <si>
    <t>Haiphong</t>
  </si>
  <si>
    <t>Karachi</t>
  </si>
  <si>
    <t>Santos</t>
  </si>
  <si>
    <t>PYASU</t>
  </si>
  <si>
    <t>POR CODE</t>
  </si>
  <si>
    <t>PLACE OF DELIVERY (DEL)</t>
  </si>
  <si>
    <t>PLACE OF ORIGIN (POR)</t>
  </si>
  <si>
    <t>D2</t>
  </si>
  <si>
    <t>D4</t>
  </si>
  <si>
    <t>D5</t>
  </si>
  <si>
    <t>R5 NOR</t>
  </si>
  <si>
    <t>Lianyungang</t>
  </si>
  <si>
    <t>Port Kelang</t>
  </si>
  <si>
    <t>Palembang</t>
  </si>
  <si>
    <t>Panjang</t>
  </si>
  <si>
    <t>Yangon</t>
  </si>
  <si>
    <t>Sihanoukville</t>
  </si>
  <si>
    <t>KRPUS</t>
  </si>
  <si>
    <t>Chiwan</t>
  </si>
  <si>
    <t>TWTXG</t>
  </si>
  <si>
    <t>CNHUA</t>
  </si>
  <si>
    <t>VNHPH</t>
  </si>
  <si>
    <t>MYPKG</t>
  </si>
  <si>
    <t>MYPEN</t>
  </si>
  <si>
    <t>IDJKT</t>
  </si>
  <si>
    <t>IDSUB</t>
  </si>
  <si>
    <t>IDSRG</t>
  </si>
  <si>
    <t>IDBLW</t>
  </si>
  <si>
    <t>IDPNJ</t>
  </si>
  <si>
    <t>THLCH</t>
  </si>
  <si>
    <t>THBKK</t>
  </si>
  <si>
    <t>THLKR</t>
  </si>
  <si>
    <t>THSGZ</t>
  </si>
  <si>
    <t>PHMNL</t>
  </si>
  <si>
    <t>PHCEB</t>
  </si>
  <si>
    <t>MMRGN</t>
  </si>
  <si>
    <t>KHPNH</t>
  </si>
  <si>
    <t>KHKOS</t>
  </si>
  <si>
    <t>CNTXG</t>
  </si>
  <si>
    <t>CNDLC</t>
  </si>
  <si>
    <t>CNTAO</t>
  </si>
  <si>
    <t>CNSHA</t>
  </si>
  <si>
    <t>CNNGB</t>
  </si>
  <si>
    <t>CNXMN</t>
  </si>
  <si>
    <t>CNSHK</t>
  </si>
  <si>
    <t>CNCWN</t>
  </si>
  <si>
    <t>HKHKG</t>
  </si>
  <si>
    <t>TWKEL</t>
  </si>
  <si>
    <t>TWKHH</t>
  </si>
  <si>
    <t>SGSIN</t>
  </si>
  <si>
    <t>SERVICE SCOPE = LEW</t>
  </si>
  <si>
    <t>BRSSZ</t>
  </si>
  <si>
    <t>Asuncion</t>
  </si>
  <si>
    <t>LAEC Outport Add-on (on top of base port rates)</t>
  </si>
  <si>
    <t>Destination</t>
  </si>
  <si>
    <t>T/S Port</t>
  </si>
  <si>
    <t>Add-on</t>
  </si>
  <si>
    <t>D4/D5</t>
  </si>
  <si>
    <t>Salvador</t>
  </si>
  <si>
    <t>BR</t>
  </si>
  <si>
    <t>Suape</t>
  </si>
  <si>
    <t>Fortaleza</t>
  </si>
  <si>
    <t>Vitoria</t>
  </si>
  <si>
    <t>No service</t>
  </si>
  <si>
    <t>Ushuaia</t>
  </si>
  <si>
    <t>AR</t>
  </si>
  <si>
    <t>Rosario</t>
  </si>
  <si>
    <t>UYMVD</t>
  </si>
  <si>
    <t>BDCGP</t>
  </si>
  <si>
    <t>PKKHI</t>
  </si>
  <si>
    <t>LKCMB</t>
  </si>
  <si>
    <t>Pecem</t>
  </si>
  <si>
    <t>TWTYN</t>
  </si>
  <si>
    <t>BRSUA</t>
  </si>
  <si>
    <t xml:space="preserve">IMO Surcharges </t>
  </si>
  <si>
    <t>IMO Class</t>
  </si>
  <si>
    <t>D20</t>
  </si>
  <si>
    <t>D40</t>
  </si>
  <si>
    <t>40HC</t>
  </si>
  <si>
    <t>Remarks</t>
  </si>
  <si>
    <t>CLASS 1</t>
  </si>
  <si>
    <t>pls check with us case by case</t>
  </si>
  <si>
    <t>CLASS 3</t>
  </si>
  <si>
    <t>USD 200</t>
  </si>
  <si>
    <t>USD 400</t>
  </si>
  <si>
    <t>CLASS 4</t>
  </si>
  <si>
    <t>CLASS 8</t>
  </si>
  <si>
    <t>CLASS 9</t>
  </si>
  <si>
    <t xml:space="preserve">** All HAZ shpt is subject to DG desk approval &amp; vessel operator's acceptance. </t>
  </si>
  <si>
    <t>PSA Class</t>
  </si>
  <si>
    <t>no extra t/s charge is needed.</t>
  </si>
  <si>
    <t>IDPLM</t>
  </si>
  <si>
    <t xml:space="preserve">ONE ASIA-LAEC RATE GUIDELINE </t>
  </si>
  <si>
    <t>Yantai</t>
  </si>
  <si>
    <t>Phnom Penh</t>
  </si>
  <si>
    <t>ARBUE</t>
  </si>
  <si>
    <t>Tariff Surcharge
(Surcharge code: HAZ)</t>
  </si>
  <si>
    <t>PSA T/S charge
(for any shpt tranship via Singapore)
(Surcharge code: PSA)</t>
  </si>
  <si>
    <t>- Above rate offer is applicable for non-DG commodity only.</t>
  </si>
  <si>
    <t>Subject to equipment availability.</t>
  </si>
  <si>
    <t>Zarate</t>
  </si>
  <si>
    <t>Rio Grande</t>
  </si>
  <si>
    <t>BRRIG</t>
  </si>
  <si>
    <t>Qinzhou</t>
  </si>
  <si>
    <t>CNQZH</t>
  </si>
  <si>
    <t>-Applicable for Non-HAZ DRY ctnrs only, for HAZ shpt, pls check with pricers case by case</t>
  </si>
  <si>
    <t>Heavy Weight surcharge (HEA):
SX1: nil (Fixed as 0 in rate filing)
SX2: nil for cargo weight upto 23.99 tons. USD200 per 20ft for cargo weight over 24 tons</t>
  </si>
  <si>
    <t>AEJEA</t>
  </si>
  <si>
    <t>SAJED</t>
  </si>
  <si>
    <t>USD 100</t>
  </si>
  <si>
    <t>CLASS 6.1/6.2</t>
  </si>
  <si>
    <t>CLASS 7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</si>
  <si>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</si>
  <si>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</si>
  <si>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Removed Lanshi from PRD group due to Hard constraint on booking acceptance - Lanshi, Foshan</t>
  </si>
  <si>
    <t>Buenos Aires</t>
  </si>
  <si>
    <t>Montevideo</t>
  </si>
  <si>
    <t>Navegantes</t>
  </si>
  <si>
    <t>Itapoa</t>
  </si>
  <si>
    <t>Paranagua</t>
  </si>
  <si>
    <t>-</t>
  </si>
  <si>
    <t>Rio de Janeiro</t>
  </si>
  <si>
    <t>Free line detention combine at POD (port storage and demurrage under cnee own negotiation with terminal)</t>
  </si>
  <si>
    <t>FAK Dry/ DG cargo</t>
  </si>
  <si>
    <t>NOR/ Reefer General cargo</t>
  </si>
  <si>
    <t>CNFOC</t>
  </si>
  <si>
    <t>CNFUG</t>
  </si>
  <si>
    <t>VNSGN</t>
  </si>
  <si>
    <t>VNBHA</t>
  </si>
  <si>
    <t>VNDIA</t>
  </si>
  <si>
    <t>VNCMP</t>
  </si>
  <si>
    <t>VNDAD</t>
  </si>
  <si>
    <t>VNUIH</t>
  </si>
  <si>
    <t>MYPGU</t>
  </si>
  <si>
    <t>MYTPP</t>
  </si>
  <si>
    <t>PHDVO</t>
  </si>
  <si>
    <t>PHGES</t>
  </si>
  <si>
    <t>AUSYD</t>
  </si>
  <si>
    <t>AUMEL</t>
  </si>
  <si>
    <t>AUFRE</t>
  </si>
  <si>
    <t>AUBNE</t>
  </si>
  <si>
    <t>AUADL</t>
  </si>
  <si>
    <t>NZAKL</t>
  </si>
  <si>
    <t>NZTRG</t>
  </si>
  <si>
    <t>NZLYT</t>
  </si>
  <si>
    <t>NZNPE</t>
  </si>
  <si>
    <t>INNSA</t>
  </si>
  <si>
    <t>INPAV</t>
  </si>
  <si>
    <t>INMUN</t>
  </si>
  <si>
    <t>INMAA</t>
  </si>
  <si>
    <t>INKTP</t>
  </si>
  <si>
    <t>INVTZ</t>
  </si>
  <si>
    <t>INCCU</t>
  </si>
  <si>
    <t>INHAL</t>
  </si>
  <si>
    <t>INTUT</t>
  </si>
  <si>
    <t>INCOK</t>
  </si>
  <si>
    <t>BRNVT</t>
  </si>
  <si>
    <t>BRPNG</t>
  </si>
  <si>
    <t>Fuzhou</t>
  </si>
  <si>
    <t>Fuqing</t>
  </si>
  <si>
    <t>Ho Chi Minh</t>
  </si>
  <si>
    <t>BIEN HOA</t>
  </si>
  <si>
    <t>DI AN</t>
  </si>
  <si>
    <t>CAI MEP</t>
  </si>
  <si>
    <t>Danang</t>
  </si>
  <si>
    <t>Quinhon</t>
  </si>
  <si>
    <t>Pasir Gudang</t>
  </si>
  <si>
    <t>Tanjung Pelepas</t>
  </si>
  <si>
    <t>Davao</t>
  </si>
  <si>
    <t>General Santos</t>
  </si>
  <si>
    <t>Sydney</t>
  </si>
  <si>
    <t>Melbourne</t>
  </si>
  <si>
    <t>Fremantle</t>
  </si>
  <si>
    <t>Brisbane</t>
  </si>
  <si>
    <t>Adelaide</t>
  </si>
  <si>
    <t>Auckland</t>
  </si>
  <si>
    <t>Tauranga</t>
  </si>
  <si>
    <t>Lyttelton</t>
  </si>
  <si>
    <t>Napier</t>
  </si>
  <si>
    <t>Nhava Sheva</t>
  </si>
  <si>
    <t>Pipavav</t>
  </si>
  <si>
    <t>Mundra</t>
  </si>
  <si>
    <t>Chennai</t>
  </si>
  <si>
    <t>Kattupalli</t>
  </si>
  <si>
    <t>Visakhapatnam</t>
  </si>
  <si>
    <t>Calcutta</t>
  </si>
  <si>
    <t>Haldia</t>
  </si>
  <si>
    <t>Tuticorin</t>
  </si>
  <si>
    <t>Cochin</t>
  </si>
  <si>
    <t>20GP</t>
  </si>
  <si>
    <t>40GP</t>
  </si>
  <si>
    <t>40HQ</t>
  </si>
  <si>
    <t>BRSSA</t>
  </si>
  <si>
    <t>BRPEC</t>
  </si>
  <si>
    <t>Melbourn</t>
  </si>
  <si>
    <r>
      <t>Colombo</t>
    </r>
    <r>
      <rPr>
        <sz val="11"/>
        <color rgb="FFCC0099"/>
        <rFont val="Calibri"/>
        <family val="2"/>
        <scheme val="minor"/>
      </rPr>
      <t>*</t>
    </r>
  </si>
  <si>
    <r>
      <t>Chittagong</t>
    </r>
    <r>
      <rPr>
        <sz val="11"/>
        <color rgb="FFCC0099"/>
        <rFont val="Calibri"/>
        <family val="2"/>
        <scheme val="minor"/>
      </rPr>
      <t>*</t>
    </r>
  </si>
  <si>
    <r>
      <t>Jebel Ali</t>
    </r>
    <r>
      <rPr>
        <sz val="11"/>
        <color rgb="FFCC0099"/>
        <rFont val="Calibri"/>
        <family val="2"/>
        <scheme val="minor"/>
      </rPr>
      <t>*</t>
    </r>
  </si>
  <si>
    <r>
      <t>Jeddah</t>
    </r>
    <r>
      <rPr>
        <sz val="11"/>
        <color rgb="FFCC0099"/>
        <rFont val="Calibri"/>
        <family val="2"/>
        <scheme val="minor"/>
      </rPr>
      <t>*</t>
    </r>
  </si>
  <si>
    <t>20'FR/OT (IG)</t>
  </si>
  <si>
    <t>40'FR/OT (IG)</t>
  </si>
  <si>
    <t>** Subject to NON DG shipment **</t>
  </si>
  <si>
    <t xml:space="preserve">** Subject to space &amp; equipment availability ** </t>
  </si>
  <si>
    <t>** Subject to Marine Ops Approval **</t>
  </si>
  <si>
    <t>** Subject to Dims/ Weight of Cargo as presented **</t>
  </si>
  <si>
    <t>** Subject to proper* load/block/brace to OT/FR at origin by shipper **</t>
  </si>
  <si>
    <t>** Free time as per standard tariff **</t>
  </si>
  <si>
    <t>** Both side end walls of Flat rack container must be in standing position **</t>
  </si>
  <si>
    <t>** Subject to dunnage/lashing/chocking arrangement is fulfil the safety shipment**</t>
  </si>
  <si>
    <t>ECSA BASE PORTS</t>
  </si>
  <si>
    <t>PEARL RIVER DELTA</t>
  </si>
  <si>
    <t>WPRD</t>
  </si>
  <si>
    <t>FEBP</t>
  </si>
  <si>
    <t>PEARL RIVER DELTA PORTS</t>
  </si>
  <si>
    <t>Jiangsu</t>
  </si>
  <si>
    <t>Shandong</t>
  </si>
  <si>
    <t>Weihai</t>
  </si>
  <si>
    <t>Rizhao</t>
  </si>
  <si>
    <t>Shidao</t>
  </si>
  <si>
    <t>Rail</t>
  </si>
  <si>
    <t>Barge</t>
  </si>
  <si>
    <t>Zhejiang</t>
  </si>
  <si>
    <t>Anhui</t>
  </si>
  <si>
    <t>Hefei</t>
  </si>
  <si>
    <t>Jiangxi</t>
  </si>
  <si>
    <t>Hubei</t>
  </si>
  <si>
    <t>Chongqing</t>
  </si>
  <si>
    <t>Peak Season Surcharge (PSS): fixed as USD 500 per teu w.e.f. 15th July, 2021 (B/L date basis) until further notice</t>
  </si>
  <si>
    <t>FAR EAST BASE PORT</t>
  </si>
  <si>
    <t>*FEBP = current base port : Pusan/Qingdao/Shanghai/Ningbo/Xiamen/Yantian/Shekou/Chiwan/Hong Kong/Keelung/Kaohsiung/Taoyuan/Singapore</t>
  </si>
  <si>
    <t>Taoyuan</t>
  </si>
  <si>
    <t>Hazira</t>
  </si>
  <si>
    <t>INHZA</t>
  </si>
  <si>
    <t>KWSWK</t>
  </si>
  <si>
    <t>Kuwait</t>
  </si>
  <si>
    <t>QAHMD</t>
  </si>
  <si>
    <t>Hamad</t>
  </si>
  <si>
    <t>BHBAH</t>
  </si>
  <si>
    <t>Bahrain</t>
  </si>
  <si>
    <t>OMSOH</t>
  </si>
  <si>
    <t>Sohar</t>
  </si>
  <si>
    <t>JOAQJ</t>
  </si>
  <si>
    <t>Jordan</t>
  </si>
  <si>
    <t>Jebel Ali*</t>
  </si>
  <si>
    <t>Fangcheng</t>
  </si>
  <si>
    <t>CNFAN</t>
  </si>
  <si>
    <t>Bien Hoa</t>
  </si>
  <si>
    <t>Da An</t>
  </si>
  <si>
    <t>Cai Mep</t>
  </si>
  <si>
    <t>*WPRD ports = Zhongshan/Zhuhai/Jiangmen/Nansha/Foshan/Sanshan/Rongqi/Beijiao/Xiaolan/Zhanjiang/Shantou/Gaolan/Leliu/Gaoming/Sanshui/Zhoaqing/Jiujiang,Guangdong</t>
  </si>
  <si>
    <t>Pecam</t>
  </si>
  <si>
    <t>Effective Date:</t>
  </si>
  <si>
    <t>Mode</t>
  </si>
  <si>
    <t>Province</t>
  </si>
  <si>
    <t>Origin</t>
  </si>
  <si>
    <t>Via</t>
  </si>
  <si>
    <t>Origin Code</t>
  </si>
  <si>
    <t>CNKHN</t>
  </si>
  <si>
    <t/>
  </si>
  <si>
    <r>
      <t xml:space="preserve">*FEBP = current base port : </t>
    </r>
    <r>
      <rPr>
        <strike/>
        <sz val="11"/>
        <color rgb="FFFF0000"/>
        <rFont val="Calibri"/>
        <family val="2"/>
        <scheme val="minor"/>
      </rPr>
      <t>Pusan</t>
    </r>
    <r>
      <rPr>
        <sz val="11"/>
        <rFont val="Calibri"/>
        <family val="2"/>
        <scheme val="minor"/>
      </rPr>
      <t xml:space="preserve">/Qingdao/Shanghai/Ningbo/Xiamen/Yantian/Shekou/Chiwan/Hong Kong/Keelung/Kaohsiung/Taoyuan/Singapore </t>
    </r>
  </si>
  <si>
    <t xml:space="preserve"> </t>
  </si>
  <si>
    <t>Via Code</t>
  </si>
  <si>
    <t>IG Cargo</t>
  </si>
  <si>
    <t>Yantian</t>
  </si>
  <si>
    <t xml:space="preserve">CLASS 2.1 </t>
  </si>
  <si>
    <t>USD 450</t>
  </si>
  <si>
    <t>USD 800</t>
  </si>
  <si>
    <t>CLASS 2.2</t>
  </si>
  <si>
    <t>USD 300</t>
  </si>
  <si>
    <t>USD 600</t>
  </si>
  <si>
    <t>USD 700</t>
  </si>
  <si>
    <t>USD 1400</t>
  </si>
  <si>
    <t>Other class 2</t>
  </si>
  <si>
    <t>Class 5</t>
  </si>
  <si>
    <t>USD 500</t>
  </si>
  <si>
    <t>USD 1000</t>
  </si>
  <si>
    <t>*** The number of D2 containers must be an even number, odd number of D2 containers are prohibited.</t>
  </si>
  <si>
    <t>BRIOA</t>
  </si>
  <si>
    <t>La Plata</t>
  </si>
  <si>
    <r>
      <t>Jeddah</t>
    </r>
    <r>
      <rPr>
        <sz val="11"/>
        <color rgb="FF000000"/>
        <rFont val="Calibri"/>
        <family val="2"/>
      </rPr>
      <t>*</t>
    </r>
  </si>
  <si>
    <t>POL: Non-ISC</t>
  </si>
  <si>
    <t>POL: ISC</t>
  </si>
  <si>
    <t>CNCLJ</t>
  </si>
  <si>
    <t>POR Add-on</t>
  </si>
  <si>
    <r>
      <t>Colombo</t>
    </r>
    <r>
      <rPr>
        <sz val="11"/>
        <color theme="1"/>
        <rFont val="Calibri"/>
        <family val="2"/>
      </rPr>
      <t>*</t>
    </r>
  </si>
  <si>
    <r>
      <t>Chittagong</t>
    </r>
    <r>
      <rPr>
        <sz val="11"/>
        <color theme="1"/>
        <rFont val="Calibri"/>
        <family val="2"/>
      </rPr>
      <t>*</t>
    </r>
  </si>
  <si>
    <t>USD 538</t>
  </si>
  <si>
    <t>USD 753</t>
  </si>
  <si>
    <t>CNYUY</t>
  </si>
  <si>
    <t xml:space="preserve"> Dangerous Goods (DG) - Class 1D , 2 &amp; 2B (Non-Storable in PSA) </t>
  </si>
  <si>
    <t xml:space="preserve"> Dangerous Goods (DG) - Class 1S, 2S, 2A, 2F  (Storable in PSA)</t>
  </si>
  <si>
    <t>*ECSA = Santos/Buenos Aires/Montevideo/Navegantes/Itapoa/Paranagua/Rio Grande</t>
  </si>
  <si>
    <t>Hai'An</t>
  </si>
  <si>
    <t>CNHAI</t>
  </si>
  <si>
    <t>Huainan</t>
  </si>
  <si>
    <t>CNHIA</t>
  </si>
  <si>
    <t>Lu'An</t>
  </si>
  <si>
    <t>CNLUN</t>
  </si>
  <si>
    <t>Xuzhou</t>
  </si>
  <si>
    <t>Yancheng</t>
  </si>
  <si>
    <t>CNYNC</t>
  </si>
  <si>
    <t>Nil</t>
  </si>
  <si>
    <t>Class 5.1</t>
  </si>
  <si>
    <t>Kuala Tanjung</t>
  </si>
  <si>
    <t>IDKTJ</t>
  </si>
  <si>
    <t>BRRIO</t>
  </si>
  <si>
    <t>BRSSZ/BRNVT/BRPNG/BRRIG
/BRRIO/BRIOA/ARBUE/UYMVD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</si>
  <si>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</si>
  <si>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</si>
  <si>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</si>
  <si>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t xml:space="preserve">Rates are incl </t>
    </r>
    <r>
      <rPr>
        <sz val="11"/>
        <color rgb="FFFF0000"/>
        <rFont val="Calibri"/>
        <family val="2"/>
        <scheme val="minor"/>
      </rPr>
      <t>HEA/PSS/</t>
    </r>
    <r>
      <rPr>
        <b/>
        <sz val="16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CSS/THL/THD/Tariff Surcharges both ends</t>
    </r>
  </si>
  <si>
    <r>
      <t>* Chittagong: Rates are incl. THL/HEA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CSS/THD/Tariff Surcharges both ends</t>
    </r>
  </si>
  <si>
    <r>
      <t>* Colombo: Rates are incl.  THL/CSS/SLF/HEA</t>
    </r>
    <r>
      <rPr>
        <sz val="11"/>
        <color rgb="FFFF0000"/>
        <rFont val="Calibri"/>
        <family val="2"/>
        <scheme val="minor"/>
      </rPr>
      <t>/PSS/</t>
    </r>
    <r>
      <rPr>
        <b/>
        <sz val="11"/>
        <color rgb="FFFF0000"/>
        <rFont val="Calibri"/>
        <family val="2"/>
        <scheme val="minor"/>
      </rPr>
      <t>OBS/EFS/MBS</t>
    </r>
    <r>
      <rPr>
        <sz val="11"/>
        <rFont val="Calibri"/>
        <family val="2"/>
        <scheme val="minor"/>
      </rPr>
      <t>, subject to THD/destination tariff surcharges</t>
    </r>
  </si>
  <si>
    <r>
      <t>* Jebel Ali/Jeddah (Gulf area): Rates are incl.  HEA</t>
    </r>
    <r>
      <rPr>
        <sz val="11"/>
        <color rgb="FFFF0000"/>
        <rFont val="Calibri"/>
        <family val="2"/>
        <scheme val="minor"/>
      </rPr>
      <t>/PSS</t>
    </r>
    <r>
      <rPr>
        <b/>
        <sz val="11"/>
        <color rgb="FFFF0000"/>
        <rFont val="Calibri"/>
        <family val="2"/>
        <scheme val="minor"/>
      </rPr>
      <t>/OBS/EFS/MBS</t>
    </r>
    <r>
      <rPr>
        <sz val="11"/>
        <rFont val="Calibri"/>
        <family val="2"/>
        <scheme val="minor"/>
      </rPr>
      <t>, subject to WRC/CSS/THL/THD/Tariff Surcharges both ends</t>
    </r>
  </si>
  <si>
    <t>ONE Bunker Surcharge (OBS): fixed as USD 320 per TEU (Dry) &amp; USD 511 per TEU (RF) during Jul-Sep'26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</si>
  <si>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</si>
  <si>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</si>
  <si>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</si>
  <si>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</si>
  <si>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</si>
  <si>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</si>
  <si>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</si>
  <si>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</si>
  <si>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</si>
  <si>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</si>
  <si>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</si>
  <si>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</si>
  <si>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</si>
  <si>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</si>
  <si>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</si>
  <si>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</si>
  <si>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</si>
  <si>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</si>
  <si>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</si>
  <si>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</si>
  <si>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</si>
  <si>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</si>
  <si>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</si>
  <si>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</si>
  <si>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</si>
  <si>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</si>
  <si>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</si>
  <si>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</si>
  <si>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</si>
  <si>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</si>
  <si>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</si>
  <si>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</si>
  <si>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</si>
  <si>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</si>
  <si>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</si>
  <si>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</si>
  <si>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</si>
  <si>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</si>
  <si>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</si>
  <si>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</si>
  <si>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</si>
  <si>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</si>
  <si>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</si>
  <si>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</si>
  <si>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</si>
  <si>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</si>
  <si>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</si>
  <si>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</si>
  <si>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</si>
  <si>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</si>
  <si>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</si>
  <si>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</si>
  <si>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</si>
  <si>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</si>
  <si>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</si>
  <si>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</si>
  <si>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</si>
  <si>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</si>
  <si>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</si>
  <si>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</si>
  <si>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</si>
  <si>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</si>
  <si>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</si>
  <si>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</si>
  <si>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</si>
  <si>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</si>
  <si>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</si>
  <si>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</si>
  <si>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</si>
  <si>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</si>
  <si>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</si>
  <si>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</si>
  <si>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</si>
  <si>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</si>
  <si>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</si>
  <si>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</si>
  <si>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</si>
  <si>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</si>
  <si>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</si>
  <si>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</si>
  <si>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</si>
  <si>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</si>
  <si>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</si>
  <si>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</si>
  <si>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</si>
  <si>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</si>
  <si>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</si>
  <si>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</si>
  <si>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</si>
  <si>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</si>
  <si>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</si>
  <si>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</si>
  <si>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</si>
  <si>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</si>
  <si>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</si>
  <si>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</si>
  <si>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</si>
  <si>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</si>
  <si>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</si>
  <si>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</si>
  <si>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</si>
  <si>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</si>
  <si>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</si>
  <si>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</si>
  <si>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</si>
  <si>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</si>
  <si>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</si>
  <si>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</si>
  <si>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</si>
  <si>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</si>
  <si>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</si>
  <si>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</si>
  <si>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</si>
  <si>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</si>
  <si>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</si>
  <si>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</si>
  <si>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</si>
  <si>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</si>
  <si>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</si>
  <si>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>2026-08-01</t>
  </si>
  <si>
    <t>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</si>
</sst>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4809]d\ mmmm\ yyyy"/>
    <numFmt numFmtId="165" formatCode="#,##0_ "/>
    <numFmt numFmtId="166" formatCode="[$-13C09]d\ mmm\ yyyy;@"/>
    <numFmt numFmtId="167" formatCode="_ * #,##0.00_ ;_ * \-#,##0.00_ ;_ * &quot;-&quot;??_ ;_ @_ "/>
    <numFmt numFmtId="168" formatCode="[$-409]dd\-mmm\-yy;@"/>
    <numFmt numFmtId="169" formatCode="&quot;$&quot;#,##0"/>
    <numFmt numFmtId="170" formatCode="0_ ;[Red]\-0\ "/>
  </numFmts>
  <fonts count="87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SWISS"/>
      <family val="1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sz val="11"/>
      <name val="Calibri"/>
      <family val="2"/>
    </font>
    <font>
      <b/>
      <sz val="11"/>
      <color rgb="FFCC009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rgb="FFBD3296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Tahoma"/>
      <family val="2"/>
    </font>
    <font>
      <sz val="11"/>
      <color theme="0"/>
      <name val="Calibri"/>
      <family val="2"/>
    </font>
    <font>
      <sz val="11"/>
      <color rgb="FF00B050"/>
      <name val="Calibri"/>
      <family val="2"/>
      <scheme val="minor"/>
    </font>
    <font>
      <sz val="11"/>
      <color rgb="FF9966FF"/>
      <name val="Calibri"/>
      <family val="2"/>
      <scheme val="minor"/>
    </font>
    <font>
      <sz val="11"/>
      <color rgb="FF0070C0"/>
      <name val="Calibri"/>
      <family val="2"/>
    </font>
    <font>
      <b/>
      <sz val="12"/>
      <color rgb="FF0070C0"/>
      <name val="Calibri"/>
      <family val="2"/>
    </font>
    <font>
      <b/>
      <u/>
      <sz val="11"/>
      <color rgb="FF0070C0"/>
      <name val="Calibri"/>
      <family val="2"/>
    </font>
    <font>
      <b/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name val="SimSun"/>
    </font>
    <font>
      <strike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2"/>
      <color rgb="FFFF00FF"/>
      <name val="Arial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8"/>
      <color rgb="FFCC0066"/>
      <name val="Calibri"/>
      <family val="2"/>
      <scheme val="minor"/>
    </font>
    <font>
      <b/>
      <sz val="11"/>
      <color rgb="FFCC0066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0096"/>
        <bgColor indexed="64"/>
      </patternFill>
    </fill>
    <fill>
      <patternFill patternType="solid">
        <fgColor indexed="9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CC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BD009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8">
    <xf numFmtId="0" fontId="0" fillId="0" borderId="0"/>
    <xf numFmtId="0" fontId="38" fillId="5" borderId="0"/>
    <xf numFmtId="0" fontId="42" fillId="0" borderId="0"/>
    <xf numFmtId="0" fontId="42" fillId="0" borderId="0"/>
    <xf numFmtId="0" fontId="30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42" fillId="0" borderId="0"/>
    <xf numFmtId="0" fontId="21" fillId="0" borderId="0"/>
    <xf numFmtId="0" fontId="5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8" fillId="0" borderId="0"/>
    <xf numFmtId="0" fontId="5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168" fontId="9" fillId="0" borderId="0">
      <alignment vertical="center"/>
    </xf>
    <xf numFmtId="0" fontId="9" fillId="0" borderId="0"/>
    <xf numFmtId="168" fontId="9" fillId="0" borderId="0">
      <alignment vertical="center"/>
    </xf>
    <xf numFmtId="0" fontId="9" fillId="0" borderId="0">
      <alignment vertical="center"/>
    </xf>
    <xf numFmtId="167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68" fontId="8" fillId="0" borderId="0">
      <alignment vertical="center"/>
    </xf>
    <xf numFmtId="0" fontId="8" fillId="0" borderId="0"/>
    <xf numFmtId="168" fontId="8" fillId="0" borderId="0">
      <alignment vertical="center"/>
    </xf>
    <xf numFmtId="0" fontId="8" fillId="0" borderId="0">
      <alignment vertical="center"/>
    </xf>
    <xf numFmtId="16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68" fontId="7" fillId="0" borderId="0">
      <alignment vertical="center"/>
    </xf>
    <xf numFmtId="0" fontId="7" fillId="0" borderId="0"/>
    <xf numFmtId="168" fontId="7" fillId="0" borderId="0">
      <alignment vertical="center"/>
    </xf>
    <xf numFmtId="0" fontId="7" fillId="0" borderId="0">
      <alignment vertical="center"/>
    </xf>
    <xf numFmtId="167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168" fontId="5" fillId="0" borderId="0">
      <alignment vertical="center"/>
    </xf>
    <xf numFmtId="0" fontId="5" fillId="0" borderId="0"/>
    <xf numFmtId="168" fontId="5" fillId="0" borderId="0">
      <alignment vertical="center"/>
    </xf>
    <xf numFmtId="0" fontId="5" fillId="0" borderId="0">
      <alignment vertical="center"/>
    </xf>
    <xf numFmtId="167" fontId="5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42" fillId="0" borderId="0"/>
    <xf numFmtId="0" fontId="57" fillId="0" borderId="0"/>
    <xf numFmtId="0" fontId="71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168" fontId="4" fillId="0" borderId="0">
      <alignment vertical="center"/>
    </xf>
    <xf numFmtId="0" fontId="4" fillId="0" borderId="0"/>
    <xf numFmtId="168" fontId="4" fillId="0" borderId="0">
      <alignment vertical="center"/>
    </xf>
    <xf numFmtId="0" fontId="4" fillId="0" borderId="0">
      <alignment vertical="center"/>
    </xf>
    <xf numFmtId="167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338">
    <xf numFmtId="0" fontId="0" fillId="0" borderId="0" xfId="0"/>
    <xf numFmtId="0" fontId="0" fillId="0" borderId="0" xfId="0" applyAlignment="1">
      <alignment horizontal="center"/>
    </xf>
    <xf numFmtId="0" fontId="31" fillId="0" borderId="0" xfId="0" quotePrefix="1" applyFont="1" applyAlignment="1">
      <alignment horizontal="left" vertical="center"/>
    </xf>
    <xf numFmtId="0" fontId="35" fillId="2" borderId="0" xfId="0" applyFont="1" applyFill="1" applyAlignment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5" fillId="0" borderId="1" xfId="0" applyFont="1" applyBorder="1" applyAlignment="1">
      <alignment horizontal="center"/>
    </xf>
    <xf numFmtId="165" fontId="35" fillId="0" borderId="0" xfId="0" applyNumberFormat="1" applyFont="1"/>
    <xf numFmtId="164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40" fillId="0" borderId="0" xfId="0" applyFont="1"/>
    <xf numFmtId="0" fontId="41" fillId="0" borderId="0" xfId="0" applyFont="1"/>
    <xf numFmtId="0" fontId="43" fillId="8" borderId="17" xfId="2" applyFont="1" applyFill="1" applyBorder="1" applyAlignment="1">
      <alignment wrapText="1"/>
    </xf>
    <xf numFmtId="0" fontId="43" fillId="8" borderId="17" xfId="2" applyFont="1" applyFill="1" applyBorder="1" applyAlignment="1">
      <alignment horizontal="center" wrapText="1"/>
    </xf>
    <xf numFmtId="0" fontId="43" fillId="8" borderId="18" xfId="2" applyFont="1" applyFill="1" applyBorder="1" applyAlignment="1">
      <alignment horizontal="center" wrapText="1"/>
    </xf>
    <xf numFmtId="0" fontId="37" fillId="3" borderId="20" xfId="3" applyFont="1" applyFill="1" applyBorder="1" applyAlignment="1">
      <alignment horizontal="left"/>
    </xf>
    <xf numFmtId="0" fontId="37" fillId="0" borderId="0" xfId="3" applyFont="1" applyAlignment="1">
      <alignment horizontal="left"/>
    </xf>
    <xf numFmtId="0" fontId="37" fillId="0" borderId="0" xfId="3" applyFont="1" applyAlignment="1">
      <alignment horizontal="center"/>
    </xf>
    <xf numFmtId="0" fontId="35" fillId="0" borderId="0" xfId="0" applyFont="1" applyAlignment="1">
      <alignment horizontal="left" vertical="center"/>
    </xf>
    <xf numFmtId="0" fontId="0" fillId="0" borderId="0" xfId="0" quotePrefix="1"/>
    <xf numFmtId="2" fontId="44" fillId="3" borderId="21" xfId="4" applyNumberFormat="1" applyFont="1" applyFill="1" applyBorder="1" applyAlignment="1">
      <alignment horizontal="left" vertical="center" wrapText="1"/>
    </xf>
    <xf numFmtId="0" fontId="52" fillId="9" borderId="0" xfId="0" applyFont="1" applyFill="1" applyAlignment="1">
      <alignment horizontal="center"/>
    </xf>
    <xf numFmtId="0" fontId="25" fillId="0" borderId="0" xfId="0" applyFont="1"/>
    <xf numFmtId="0" fontId="35" fillId="0" borderId="0" xfId="0" applyFont="1" applyAlignment="1">
      <alignment horizontal="left" wrapText="1"/>
    </xf>
    <xf numFmtId="0" fontId="35" fillId="0" borderId="0" xfId="0" applyFont="1" applyAlignment="1">
      <alignment horizontal="left"/>
    </xf>
    <xf numFmtId="0" fontId="32" fillId="4" borderId="1" xfId="42" applyFont="1" applyFill="1" applyBorder="1" applyAlignment="1">
      <alignment horizontal="center"/>
    </xf>
    <xf numFmtId="0" fontId="48" fillId="0" borderId="0" xfId="48" applyFont="1"/>
    <xf numFmtId="0" fontId="37" fillId="2" borderId="29" xfId="61" applyFont="1" applyFill="1" applyBorder="1" applyAlignment="1">
      <alignment horizontal="center" vertical="center"/>
    </xf>
    <xf numFmtId="0" fontId="37" fillId="2" borderId="29" xfId="61" applyFont="1" applyFill="1" applyBorder="1" applyAlignment="1">
      <alignment horizontal="center"/>
    </xf>
    <xf numFmtId="0" fontId="32" fillId="4" borderId="29" xfId="61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29" xfId="0" applyFont="1" applyBorder="1"/>
    <xf numFmtId="0" fontId="0" fillId="0" borderId="35" xfId="0" applyBorder="1"/>
    <xf numFmtId="0" fontId="33" fillId="0" borderId="0" xfId="0" applyFont="1" applyAlignment="1">
      <alignment horizontal="center"/>
    </xf>
    <xf numFmtId="0" fontId="46" fillId="0" borderId="29" xfId="0" applyFont="1" applyBorder="1" applyAlignment="1">
      <alignment horizontal="center"/>
    </xf>
    <xf numFmtId="0" fontId="57" fillId="0" borderId="35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6" fillId="0" borderId="29" xfId="0" applyFont="1" applyBorder="1"/>
    <xf numFmtId="0" fontId="59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57" fillId="0" borderId="35" xfId="0" applyFont="1" applyBorder="1"/>
    <xf numFmtId="0" fontId="34" fillId="2" borderId="0" xfId="102" applyFont="1" applyFill="1" applyAlignment="1">
      <alignment horizontal="left" vertical="center"/>
    </xf>
    <xf numFmtId="0" fontId="35" fillId="2" borderId="0" xfId="102" applyFont="1" applyFill="1" applyAlignment="1">
      <alignment horizontal="center"/>
    </xf>
    <xf numFmtId="0" fontId="35" fillId="0" borderId="0" xfId="102" applyFont="1"/>
    <xf numFmtId="0" fontId="35" fillId="2" borderId="0" xfId="102" applyFont="1" applyFill="1" applyAlignment="1">
      <alignment horizontal="center" vertical="center"/>
    </xf>
    <xf numFmtId="0" fontId="35" fillId="0" borderId="0" xfId="102" applyFont="1" applyAlignment="1">
      <alignment horizontal="center" vertical="center"/>
    </xf>
    <xf numFmtId="0" fontId="35" fillId="0" borderId="0" xfId="102" applyFont="1" applyAlignment="1">
      <alignment horizontal="center"/>
    </xf>
    <xf numFmtId="164" fontId="35" fillId="0" borderId="0" xfId="102" applyNumberFormat="1" applyFont="1" applyAlignment="1">
      <alignment horizontal="center"/>
    </xf>
    <xf numFmtId="0" fontId="37" fillId="2" borderId="29" xfId="102" applyFont="1" applyFill="1" applyBorder="1" applyAlignment="1">
      <alignment horizontal="center" vertical="center"/>
    </xf>
    <xf numFmtId="0" fontId="39" fillId="7" borderId="3" xfId="102" applyFont="1" applyFill="1" applyBorder="1" applyAlignment="1">
      <alignment horizontal="center"/>
    </xf>
    <xf numFmtId="0" fontId="31" fillId="3" borderId="29" xfId="102" applyFont="1" applyFill="1" applyBorder="1" applyAlignment="1">
      <alignment horizontal="center" vertical="center"/>
    </xf>
    <xf numFmtId="0" fontId="31" fillId="3" borderId="29" xfId="102" applyFont="1" applyFill="1" applyBorder="1" applyAlignment="1">
      <alignment horizontal="center"/>
    </xf>
    <xf numFmtId="0" fontId="61" fillId="0" borderId="0" xfId="102" applyFont="1"/>
    <xf numFmtId="0" fontId="31" fillId="0" borderId="29" xfId="102" applyFont="1" applyBorder="1" applyAlignment="1">
      <alignment horizontal="center"/>
    </xf>
    <xf numFmtId="0" fontId="31" fillId="0" borderId="29" xfId="102" applyFont="1" applyBorder="1" applyAlignment="1">
      <alignment horizontal="center" vertical="center"/>
    </xf>
    <xf numFmtId="0" fontId="60" fillId="0" borderId="0" xfId="102" applyFont="1"/>
    <xf numFmtId="0" fontId="31" fillId="0" borderId="1" xfId="102" applyFont="1" applyBorder="1" applyAlignment="1">
      <alignment horizontal="center" wrapText="1"/>
    </xf>
    <xf numFmtId="0" fontId="31" fillId="0" borderId="34" xfId="102" applyFont="1" applyBorder="1" applyAlignment="1">
      <alignment horizontal="center" vertical="center"/>
    </xf>
    <xf numFmtId="0" fontId="31" fillId="0" borderId="12" xfId="102" applyFont="1" applyBorder="1" applyAlignment="1">
      <alignment horizontal="center" wrapText="1"/>
    </xf>
    <xf numFmtId="0" fontId="31" fillId="0" borderId="20" xfId="102" applyFont="1" applyBorder="1" applyAlignment="1">
      <alignment horizontal="center" vertical="center"/>
    </xf>
    <xf numFmtId="0" fontId="31" fillId="0" borderId="36" xfId="102" applyFont="1" applyBorder="1" applyAlignment="1">
      <alignment horizontal="center" wrapText="1"/>
    </xf>
    <xf numFmtId="0" fontId="31" fillId="0" borderId="37" xfId="102" applyFont="1" applyBorder="1" applyAlignment="1">
      <alignment horizontal="center" vertical="center"/>
    </xf>
    <xf numFmtId="0" fontId="14" fillId="0" borderId="7" xfId="102" applyBorder="1" applyAlignment="1">
      <alignment horizontal="center"/>
    </xf>
    <xf numFmtId="0" fontId="14" fillId="0" borderId="26" xfId="102" applyBorder="1" applyAlignment="1">
      <alignment horizontal="center"/>
    </xf>
    <xf numFmtId="0" fontId="31" fillId="0" borderId="26" xfId="102" applyFont="1" applyBorder="1" applyAlignment="1">
      <alignment horizontal="center"/>
    </xf>
    <xf numFmtId="0" fontId="31" fillId="0" borderId="9" xfId="102" applyFont="1" applyBorder="1" applyAlignment="1">
      <alignment horizontal="center"/>
    </xf>
    <xf numFmtId="0" fontId="14" fillId="3" borderId="29" xfId="102" applyFill="1" applyBorder="1" applyAlignment="1">
      <alignment horizontal="center" vertical="center"/>
    </xf>
    <xf numFmtId="0" fontId="14" fillId="0" borderId="9" xfId="102" applyBorder="1" applyAlignment="1">
      <alignment horizontal="center"/>
    </xf>
    <xf numFmtId="0" fontId="14" fillId="0" borderId="4" xfId="102" applyBorder="1" applyAlignment="1">
      <alignment horizontal="center"/>
    </xf>
    <xf numFmtId="0" fontId="14" fillId="0" borderId="1" xfId="102" applyBorder="1" applyAlignment="1">
      <alignment horizontal="center"/>
    </xf>
    <xf numFmtId="0" fontId="35" fillId="0" borderId="29" xfId="102" applyFont="1" applyBorder="1" applyAlignment="1">
      <alignment horizontal="center" vertical="center"/>
    </xf>
    <xf numFmtId="0" fontId="14" fillId="0" borderId="3" xfId="102" applyBorder="1" applyAlignment="1">
      <alignment horizontal="center"/>
    </xf>
    <xf numFmtId="0" fontId="14" fillId="0" borderId="38" xfId="102" applyBorder="1" applyAlignment="1">
      <alignment horizontal="center"/>
    </xf>
    <xf numFmtId="0" fontId="31" fillId="0" borderId="0" xfId="102" quotePrefix="1" applyFont="1" applyAlignment="1">
      <alignment horizontal="left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32" fillId="4" borderId="27" xfId="207" applyFont="1" applyFill="1" applyBorder="1" applyAlignment="1">
      <alignment horizontal="center"/>
    </xf>
    <xf numFmtId="0" fontId="31" fillId="0" borderId="0" xfId="0" quotePrefix="1" applyFont="1"/>
    <xf numFmtId="0" fontId="0" fillId="9" borderId="0" xfId="0" applyFill="1"/>
    <xf numFmtId="0" fontId="48" fillId="0" borderId="0" xfId="0" applyFont="1" applyAlignment="1">
      <alignment horizontal="center"/>
    </xf>
    <xf numFmtId="0" fontId="39" fillId="7" borderId="3" xfId="0" applyFont="1" applyFill="1" applyBorder="1" applyAlignment="1">
      <alignment horizontal="center"/>
    </xf>
    <xf numFmtId="0" fontId="31" fillId="3" borderId="29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/>
    </xf>
    <xf numFmtId="0" fontId="37" fillId="0" borderId="29" xfId="0" applyFont="1" applyBorder="1" applyAlignment="1">
      <alignment horizontal="center" vertical="center"/>
    </xf>
    <xf numFmtId="0" fontId="37" fillId="3" borderId="33" xfId="0" applyFont="1" applyFill="1" applyBorder="1" applyAlignment="1">
      <alignment horizontal="center" wrapText="1"/>
    </xf>
    <xf numFmtId="0" fontId="31" fillId="0" borderId="29" xfId="0" applyFont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47" fillId="2" borderId="9" xfId="0" applyFont="1" applyFill="1" applyBorder="1" applyAlignment="1">
      <alignment horizontal="center" vertical="center"/>
    </xf>
    <xf numFmtId="0" fontId="47" fillId="7" borderId="29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3" borderId="29" xfId="0" applyFont="1" applyFill="1" applyBorder="1" applyAlignment="1">
      <alignment horizontal="center" wrapText="1"/>
    </xf>
    <xf numFmtId="0" fontId="0" fillId="0" borderId="29" xfId="0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48" fillId="0" borderId="0" xfId="0" quotePrefix="1" applyFont="1"/>
    <xf numFmtId="0" fontId="48" fillId="0" borderId="0" xfId="1" applyFont="1" applyFill="1"/>
    <xf numFmtId="0" fontId="37" fillId="7" borderId="3" xfId="102" applyFont="1" applyFill="1" applyBorder="1" applyAlignment="1">
      <alignment horizontal="center"/>
    </xf>
    <xf numFmtId="164" fontId="32" fillId="4" borderId="29" xfId="61" applyNumberFormat="1" applyFont="1" applyFill="1" applyBorder="1" applyAlignment="1">
      <alignment horizontal="center" vertical="center" wrapText="1"/>
    </xf>
    <xf numFmtId="0" fontId="56" fillId="0" borderId="0" xfId="0" applyFont="1"/>
    <xf numFmtId="0" fontId="50" fillId="0" borderId="0" xfId="0" quotePrefix="1" applyFont="1" applyAlignment="1">
      <alignment horizontal="left" vertical="center" wrapText="1"/>
    </xf>
    <xf numFmtId="0" fontId="65" fillId="9" borderId="0" xfId="0" quotePrefix="1" applyFont="1" applyFill="1" applyAlignment="1">
      <alignment horizontal="left" vertical="center"/>
    </xf>
    <xf numFmtId="0" fontId="66" fillId="9" borderId="0" xfId="0" applyFont="1" applyFill="1" applyAlignment="1">
      <alignment horizontal="center"/>
    </xf>
    <xf numFmtId="0" fontId="51" fillId="9" borderId="0" xfId="0" applyFont="1" applyFill="1"/>
    <xf numFmtId="0" fontId="51" fillId="0" borderId="0" xfId="0" applyFont="1"/>
    <xf numFmtId="0" fontId="31" fillId="0" borderId="0" xfId="1" applyFont="1" applyFill="1"/>
    <xf numFmtId="164" fontId="32" fillId="4" borderId="29" xfId="61" applyNumberFormat="1" applyFont="1" applyFill="1" applyBorder="1" applyAlignment="1">
      <alignment horizontal="center" vertical="center"/>
    </xf>
    <xf numFmtId="166" fontId="39" fillId="6" borderId="1" xfId="38" applyNumberFormat="1" applyFont="1" applyFill="1" applyBorder="1" applyAlignment="1">
      <alignment horizontal="center"/>
    </xf>
    <xf numFmtId="0" fontId="37" fillId="2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35" fillId="11" borderId="29" xfId="0" applyFont="1" applyFill="1" applyBorder="1" applyAlignment="1">
      <alignment horizontal="center"/>
    </xf>
    <xf numFmtId="0" fontId="35" fillId="11" borderId="29" xfId="0" applyFont="1" applyFill="1" applyBorder="1" applyAlignment="1">
      <alignment horizontal="center" vertical="center"/>
    </xf>
    <xf numFmtId="166" fontId="37" fillId="6" borderId="1" xfId="38" applyNumberFormat="1" applyFont="1" applyFill="1" applyBorder="1" applyAlignment="1">
      <alignment horizontal="center"/>
    </xf>
    <xf numFmtId="0" fontId="49" fillId="0" borderId="0" xfId="0" applyFont="1"/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4" fillId="7" borderId="0" xfId="0" applyFont="1" applyFill="1" applyAlignment="1">
      <alignment horizontal="left" vertical="center"/>
    </xf>
    <xf numFmtId="0" fontId="35" fillId="7" borderId="0" xfId="0" applyFont="1" applyFill="1" applyAlignment="1">
      <alignment horizontal="center"/>
    </xf>
    <xf numFmtId="0" fontId="35" fillId="3" borderId="0" xfId="0" applyFont="1" applyFill="1" applyAlignment="1">
      <alignment horizontal="left"/>
    </xf>
    <xf numFmtId="0" fontId="36" fillId="0" borderId="0" xfId="102" applyFont="1" applyAlignment="1">
      <alignment horizontal="left"/>
    </xf>
    <xf numFmtId="0" fontId="37" fillId="0" borderId="0" xfId="102" applyFont="1" applyAlignment="1">
      <alignment horizontal="center"/>
    </xf>
    <xf numFmtId="0" fontId="35" fillId="0" borderId="1" xfId="102" applyFont="1" applyBorder="1" applyAlignment="1">
      <alignment horizontal="center"/>
    </xf>
    <xf numFmtId="0" fontId="68" fillId="0" borderId="0" xfId="0" applyFont="1"/>
    <xf numFmtId="0" fontId="31" fillId="3" borderId="34" xfId="102" applyFont="1" applyFill="1" applyBorder="1" applyAlignment="1">
      <alignment horizontal="center" vertical="center"/>
    </xf>
    <xf numFmtId="0" fontId="31" fillId="3" borderId="34" xfId="102" applyFont="1" applyFill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3" borderId="42" xfId="0" applyFont="1" applyFill="1" applyBorder="1" applyAlignment="1">
      <alignment horizontal="center" wrapText="1"/>
    </xf>
    <xf numFmtId="0" fontId="31" fillId="0" borderId="43" xfId="0" applyFont="1" applyBorder="1" applyAlignment="1">
      <alignment vertical="center"/>
    </xf>
    <xf numFmtId="165" fontId="35" fillId="0" borderId="0" xfId="0" quotePrefix="1" applyNumberFormat="1" applyFont="1"/>
    <xf numFmtId="0" fontId="31" fillId="0" borderId="29" xfId="0" applyFont="1" applyBorder="1" applyAlignment="1">
      <alignment horizontal="center"/>
    </xf>
    <xf numFmtId="0" fontId="37" fillId="3" borderId="29" xfId="3" applyFont="1" applyFill="1" applyBorder="1" applyAlignment="1">
      <alignment horizontal="left"/>
    </xf>
    <xf numFmtId="0" fontId="37" fillId="3" borderId="39" xfId="3" applyFont="1" applyFill="1" applyBorder="1" applyAlignment="1">
      <alignment horizontal="center"/>
    </xf>
    <xf numFmtId="0" fontId="30" fillId="3" borderId="29" xfId="4" applyFill="1" applyBorder="1" applyAlignment="1">
      <alignment horizontal="center"/>
    </xf>
    <xf numFmtId="0" fontId="0" fillId="0" borderId="22" xfId="0" applyBorder="1"/>
    <xf numFmtId="0" fontId="37" fillId="0" borderId="22" xfId="3" applyFont="1" applyBorder="1" applyAlignment="1">
      <alignment horizontal="left"/>
    </xf>
    <xf numFmtId="0" fontId="30" fillId="0" borderId="22" xfId="4" applyBorder="1" applyAlignment="1">
      <alignment horizontal="center"/>
    </xf>
    <xf numFmtId="0" fontId="37" fillId="0" borderId="22" xfId="3" applyFont="1" applyBorder="1" applyAlignment="1">
      <alignment horizontal="center"/>
    </xf>
    <xf numFmtId="0" fontId="30" fillId="0" borderId="0" xfId="4" applyAlignment="1">
      <alignment horizontal="center"/>
    </xf>
    <xf numFmtId="0" fontId="50" fillId="0" borderId="29" xfId="0" applyFont="1" applyBorder="1" applyAlignment="1">
      <alignment vertical="center"/>
    </xf>
    <xf numFmtId="0" fontId="44" fillId="3" borderId="39" xfId="4" applyFont="1" applyFill="1" applyBorder="1" applyAlignment="1">
      <alignment horizontal="left" vertical="center" wrapText="1"/>
    </xf>
    <xf numFmtId="0" fontId="3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39" fillId="3" borderId="29" xfId="3" applyFont="1" applyFill="1" applyBorder="1" applyAlignment="1">
      <alignment horizontal="left"/>
    </xf>
    <xf numFmtId="0" fontId="6" fillId="3" borderId="29" xfId="3" applyFont="1" applyFill="1" applyBorder="1" applyAlignment="1">
      <alignment horizontal="center"/>
    </xf>
    <xf numFmtId="0" fontId="6" fillId="0" borderId="29" xfId="4" applyFont="1" applyBorder="1" applyAlignment="1">
      <alignment horizontal="center"/>
    </xf>
    <xf numFmtId="0" fontId="39" fillId="0" borderId="39" xfId="3" applyFont="1" applyBorder="1" applyAlignment="1">
      <alignment horizontal="center"/>
    </xf>
    <xf numFmtId="0" fontId="37" fillId="3" borderId="39" xfId="3" applyFont="1" applyFill="1" applyBorder="1" applyAlignment="1">
      <alignment horizontal="center" wrapText="1"/>
    </xf>
    <xf numFmtId="0" fontId="6" fillId="0" borderId="20" xfId="4" applyFont="1" applyBorder="1" applyAlignment="1">
      <alignment horizontal="center"/>
    </xf>
    <xf numFmtId="0" fontId="39" fillId="0" borderId="21" xfId="3" applyFon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54" fillId="10" borderId="1" xfId="0" applyNumberFormat="1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2" fillId="0" borderId="0" xfId="0" applyFont="1"/>
    <xf numFmtId="0" fontId="46" fillId="0" borderId="0" xfId="0" applyFont="1"/>
    <xf numFmtId="3" fontId="46" fillId="0" borderId="0" xfId="0" applyNumberFormat="1" applyFont="1" applyAlignment="1">
      <alignment horizontal="center"/>
    </xf>
    <xf numFmtId="0" fontId="57" fillId="0" borderId="0" xfId="0" applyFont="1"/>
    <xf numFmtId="169" fontId="31" fillId="0" borderId="29" xfId="0" applyNumberFormat="1" applyFont="1" applyBorder="1" applyAlignment="1">
      <alignment horizontal="center"/>
    </xf>
    <xf numFmtId="1" fontId="31" fillId="0" borderId="29" xfId="0" applyNumberFormat="1" applyFont="1" applyBorder="1" applyAlignment="1">
      <alignment horizontal="center" vertical="center"/>
    </xf>
    <xf numFmtId="0" fontId="39" fillId="7" borderId="0" xfId="0" applyFont="1" applyFill="1" applyAlignment="1">
      <alignment horizontal="center"/>
    </xf>
    <xf numFmtId="1" fontId="37" fillId="0" borderId="4" xfId="0" applyNumberFormat="1" applyFont="1" applyBorder="1" applyAlignment="1">
      <alignment horizontal="center" vertical="center"/>
    </xf>
    <xf numFmtId="1" fontId="31" fillId="0" borderId="4" xfId="0" applyNumberFormat="1" applyFont="1" applyBorder="1" applyAlignment="1">
      <alignment horizontal="center" vertical="center"/>
    </xf>
    <xf numFmtId="1" fontId="31" fillId="0" borderId="41" xfId="0" applyNumberFormat="1" applyFont="1" applyBorder="1" applyAlignment="1">
      <alignment horizontal="center" vertical="center"/>
    </xf>
    <xf numFmtId="1" fontId="31" fillId="0" borderId="44" xfId="0" applyNumberFormat="1" applyFont="1" applyBorder="1" applyAlignment="1">
      <alignment horizontal="center" vertical="center"/>
    </xf>
    <xf numFmtId="1" fontId="31" fillId="0" borderId="45" xfId="0" applyNumberFormat="1" applyFont="1" applyBorder="1" applyAlignment="1">
      <alignment horizontal="center" vertical="center"/>
    </xf>
    <xf numFmtId="1" fontId="31" fillId="0" borderId="46" xfId="0" applyNumberFormat="1" applyFont="1" applyBorder="1" applyAlignment="1">
      <alignment horizontal="center" vertical="center"/>
    </xf>
    <xf numFmtId="1" fontId="31" fillId="0" borderId="37" xfId="0" applyNumberFormat="1" applyFont="1" applyBorder="1" applyAlignment="1">
      <alignment horizontal="center" vertical="center"/>
    </xf>
    <xf numFmtId="1" fontId="31" fillId="0" borderId="20" xfId="0" applyNumberFormat="1" applyFont="1" applyBorder="1" applyAlignment="1">
      <alignment horizontal="center" vertical="center"/>
    </xf>
    <xf numFmtId="1" fontId="31" fillId="0" borderId="47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/>
    </xf>
    <xf numFmtId="1" fontId="31" fillId="0" borderId="48" xfId="0" applyNumberFormat="1" applyFont="1" applyBorder="1" applyAlignment="1">
      <alignment horizontal="center" vertical="center"/>
    </xf>
    <xf numFmtId="0" fontId="14" fillId="0" borderId="0" xfId="102" applyAlignment="1">
      <alignment horizontal="center"/>
    </xf>
    <xf numFmtId="1" fontId="31" fillId="0" borderId="0" xfId="0" applyNumberFormat="1" applyFont="1" applyAlignment="1">
      <alignment horizontal="center" vertical="center"/>
    </xf>
    <xf numFmtId="0" fontId="31" fillId="0" borderId="50" xfId="102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0" fontId="32" fillId="12" borderId="12" xfId="102" applyFont="1" applyFill="1" applyBorder="1" applyAlignment="1">
      <alignment horizontal="center" vertical="center"/>
    </xf>
    <xf numFmtId="0" fontId="32" fillId="12" borderId="2" xfId="102" applyFont="1" applyFill="1" applyBorder="1" applyAlignment="1">
      <alignment horizontal="center"/>
    </xf>
    <xf numFmtId="0" fontId="56" fillId="0" borderId="0" xfId="102" applyFont="1"/>
    <xf numFmtId="0" fontId="73" fillId="3" borderId="29" xfId="0" applyFont="1" applyFill="1" applyBorder="1" applyAlignment="1">
      <alignment horizontal="center" vertical="center"/>
    </xf>
    <xf numFmtId="0" fontId="73" fillId="3" borderId="2" xfId="0" applyFont="1" applyFill="1" applyBorder="1" applyAlignment="1">
      <alignment horizontal="center"/>
    </xf>
    <xf numFmtId="0" fontId="3" fillId="3" borderId="0" xfId="0" applyFont="1" applyFill="1"/>
    <xf numFmtId="0" fontId="73" fillId="3" borderId="26" xfId="0" applyFont="1" applyFill="1" applyBorder="1" applyAlignment="1">
      <alignment horizontal="center"/>
    </xf>
    <xf numFmtId="0" fontId="73" fillId="3" borderId="9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76" fillId="14" borderId="29" xfId="102" applyFont="1" applyFill="1" applyBorder="1" applyAlignment="1">
      <alignment horizontal="center" vertical="center"/>
    </xf>
    <xf numFmtId="0" fontId="76" fillId="14" borderId="29" xfId="102" applyFont="1" applyFill="1" applyBorder="1" applyAlignment="1">
      <alignment horizontal="center"/>
    </xf>
    <xf numFmtId="0" fontId="76" fillId="13" borderId="27" xfId="207" applyFont="1" applyFill="1" applyBorder="1" applyAlignment="1">
      <alignment horizontal="center"/>
    </xf>
    <xf numFmtId="0" fontId="73" fillId="3" borderId="37" xfId="0" applyFont="1" applyFill="1" applyBorder="1" applyAlignment="1">
      <alignment horizontal="center" vertical="center"/>
    </xf>
    <xf numFmtId="0" fontId="73" fillId="3" borderId="7" xfId="0" applyFont="1" applyFill="1" applyBorder="1" applyAlignment="1">
      <alignment horizontal="center"/>
    </xf>
    <xf numFmtId="0" fontId="76" fillId="14" borderId="53" xfId="42" applyFont="1" applyFill="1" applyBorder="1" applyAlignment="1">
      <alignment horizontal="center" vertical="center"/>
    </xf>
    <xf numFmtId="0" fontId="76" fillId="14" borderId="54" xfId="42" applyFont="1" applyFill="1" applyBorder="1" applyAlignment="1">
      <alignment horizontal="center"/>
    </xf>
    <xf numFmtId="0" fontId="76" fillId="13" borderId="55" xfId="42" applyFont="1" applyFill="1" applyBorder="1" applyAlignment="1">
      <alignment horizontal="center"/>
    </xf>
    <xf numFmtId="0" fontId="76" fillId="13" borderId="56" xfId="42" applyFont="1" applyFill="1" applyBorder="1" applyAlignment="1">
      <alignment horizontal="center"/>
    </xf>
    <xf numFmtId="0" fontId="73" fillId="0" borderId="29" xfId="0" applyFont="1" applyBorder="1"/>
    <xf numFmtId="0" fontId="73" fillId="0" borderId="29" xfId="0" applyFont="1" applyBorder="1" applyAlignment="1">
      <alignment horizontal="center"/>
    </xf>
    <xf numFmtId="169" fontId="73" fillId="0" borderId="29" xfId="0" applyNumberFormat="1" applyFont="1" applyBorder="1" applyAlignment="1">
      <alignment horizontal="center"/>
    </xf>
    <xf numFmtId="0" fontId="39" fillId="0" borderId="29" xfId="0" applyFont="1" applyBorder="1" applyAlignment="1">
      <alignment vertical="center"/>
    </xf>
    <xf numFmtId="0" fontId="39" fillId="0" borderId="20" xfId="0" applyFont="1" applyBorder="1" applyAlignment="1">
      <alignment vertical="center"/>
    </xf>
    <xf numFmtId="0" fontId="50" fillId="9" borderId="29" xfId="14" applyFont="1" applyFill="1" applyBorder="1" applyAlignment="1">
      <alignment horizontal="center" vertical="center"/>
    </xf>
    <xf numFmtId="0" fontId="2" fillId="3" borderId="29" xfId="4" applyFont="1" applyFill="1" applyBorder="1" applyAlignment="1">
      <alignment horizontal="center"/>
    </xf>
    <xf numFmtId="0" fontId="39" fillId="0" borderId="57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77" fillId="9" borderId="0" xfId="0" applyFont="1" applyFill="1"/>
    <xf numFmtId="0" fontId="78" fillId="3" borderId="29" xfId="0" applyFont="1" applyFill="1" applyBorder="1" applyAlignment="1">
      <alignment horizontal="center" vertical="center"/>
    </xf>
    <xf numFmtId="0" fontId="79" fillId="3" borderId="29" xfId="0" applyFont="1" applyFill="1" applyBorder="1" applyAlignment="1">
      <alignment horizontal="center" vertical="center"/>
    </xf>
    <xf numFmtId="170" fontId="79" fillId="3" borderId="29" xfId="0" applyNumberFormat="1" applyFont="1" applyFill="1" applyBorder="1" applyAlignment="1">
      <alignment horizontal="center" vertical="center"/>
    </xf>
    <xf numFmtId="0" fontId="78" fillId="3" borderId="29" xfId="0" applyFont="1" applyFill="1" applyBorder="1" applyAlignment="1">
      <alignment horizontal="center" vertical="center" wrapText="1"/>
    </xf>
    <xf numFmtId="170" fontId="78" fillId="3" borderId="29" xfId="0" applyNumberFormat="1" applyFont="1" applyFill="1" applyBorder="1" applyAlignment="1">
      <alignment horizontal="center" vertical="center"/>
    </xf>
    <xf numFmtId="0" fontId="79" fillId="0" borderId="29" xfId="0" applyFont="1" applyBorder="1" applyAlignment="1">
      <alignment vertical="center"/>
    </xf>
    <xf numFmtId="170" fontId="79" fillId="0" borderId="29" xfId="0" applyNumberFormat="1" applyFont="1" applyBorder="1" applyAlignment="1">
      <alignment vertical="center"/>
    </xf>
    <xf numFmtId="170" fontId="79" fillId="0" borderId="29" xfId="0" applyNumberFormat="1" applyFont="1" applyBorder="1" applyAlignment="1">
      <alignment horizontal="center" vertical="center"/>
    </xf>
    <xf numFmtId="0" fontId="50" fillId="3" borderId="29" xfId="3" applyFont="1" applyFill="1" applyBorder="1" applyAlignment="1">
      <alignment horizontal="left"/>
    </xf>
    <xf numFmtId="0" fontId="48" fillId="3" borderId="29" xfId="4" applyFont="1" applyFill="1" applyBorder="1" applyAlignment="1">
      <alignment horizontal="center"/>
    </xf>
    <xf numFmtId="0" fontId="76" fillId="13" borderId="1" xfId="42" applyFont="1" applyFill="1" applyBorder="1" applyAlignment="1">
      <alignment horizont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left" vertical="center"/>
    </xf>
    <xf numFmtId="0" fontId="82" fillId="3" borderId="0" xfId="0" applyFont="1" applyFill="1" applyAlignment="1">
      <alignment vertical="center"/>
    </xf>
    <xf numFmtId="0" fontId="82" fillId="0" borderId="0" xfId="0" applyFont="1" applyAlignment="1">
      <alignment vertical="center"/>
    </xf>
    <xf numFmtId="0" fontId="50" fillId="3" borderId="0" xfId="0" applyFont="1" applyFill="1"/>
    <xf numFmtId="169" fontId="83" fillId="0" borderId="29" xfId="0" applyNumberFormat="1" applyFont="1" applyBorder="1" applyAlignment="1">
      <alignment horizontal="center"/>
    </xf>
    <xf numFmtId="1" fontId="84" fillId="16" borderId="29" xfId="0" applyNumberFormat="1" applyFont="1" applyFill="1" applyBorder="1" applyAlignment="1">
      <alignment horizontal="center" vertical="center"/>
    </xf>
    <xf numFmtId="0" fontId="83" fillId="0" borderId="29" xfId="0" applyFont="1" applyBorder="1" applyAlignment="1">
      <alignment horizontal="center"/>
    </xf>
    <xf numFmtId="0" fontId="78" fillId="0" borderId="58" xfId="0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/>
    </xf>
    <xf numFmtId="0" fontId="78" fillId="0" borderId="2" xfId="0" applyFont="1" applyBorder="1" applyAlignment="1">
      <alignment horizontal="center" vertical="center"/>
    </xf>
    <xf numFmtId="1" fontId="39" fillId="7" borderId="3" xfId="0" applyNumberFormat="1" applyFont="1" applyFill="1" applyBorder="1" applyAlignment="1">
      <alignment horizontal="center"/>
    </xf>
    <xf numFmtId="1" fontId="37" fillId="0" borderId="29" xfId="0" applyNumberFormat="1" applyFont="1" applyBorder="1" applyAlignment="1">
      <alignment horizontal="center" vertical="center"/>
    </xf>
    <xf numFmtId="1" fontId="0" fillId="11" borderId="29" xfId="0" applyNumberFormat="1" applyFill="1" applyBorder="1" applyAlignment="1">
      <alignment horizontal="center" vertical="center"/>
    </xf>
    <xf numFmtId="0" fontId="47" fillId="10" borderId="29" xfId="0" applyFont="1" applyFill="1" applyBorder="1" applyAlignment="1">
      <alignment horizontal="center" vertical="center"/>
    </xf>
    <xf numFmtId="1" fontId="54" fillId="0" borderId="29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170" fontId="79" fillId="0" borderId="0" xfId="0" applyNumberFormat="1" applyFont="1" applyAlignment="1">
      <alignment horizontal="center" vertical="center"/>
    </xf>
    <xf numFmtId="170" fontId="8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57" fillId="6" borderId="3" xfId="0" applyNumberFormat="1" applyFont="1" applyFill="1" applyBorder="1" applyAlignment="1">
      <alignment horizontal="center"/>
    </xf>
    <xf numFmtId="0" fontId="50" fillId="0" borderId="0" xfId="0" quotePrefix="1" applyFont="1" applyAlignment="1">
      <alignment horizontal="left" vertical="center" wrapText="1"/>
    </xf>
    <xf numFmtId="0" fontId="53" fillId="9" borderId="0" xfId="54" applyFont="1" applyFill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center" vertical="center"/>
    </xf>
    <xf numFmtId="0" fontId="33" fillId="4" borderId="8" xfId="0" applyFont="1" applyFill="1" applyBorder="1" applyAlignment="1">
      <alignment horizontal="center" vertical="center"/>
    </xf>
    <xf numFmtId="0" fontId="32" fillId="4" borderId="6" xfId="42" applyFont="1" applyFill="1" applyBorder="1" applyAlignment="1">
      <alignment horizontal="center" vertical="center" wrapText="1"/>
    </xf>
    <xf numFmtId="0" fontId="32" fillId="4" borderId="7" xfId="42" applyFont="1" applyFill="1" applyBorder="1" applyAlignment="1">
      <alignment horizontal="center" vertical="center" wrapText="1"/>
    </xf>
    <xf numFmtId="0" fontId="32" fillId="4" borderId="31" xfId="42" applyFont="1" applyFill="1" applyBorder="1" applyAlignment="1">
      <alignment horizontal="center" vertical="center" wrapText="1"/>
    </xf>
    <xf numFmtId="0" fontId="32" fillId="4" borderId="32" xfId="42" applyFont="1" applyFill="1" applyBorder="1" applyAlignment="1">
      <alignment horizontal="center" vertical="center" wrapText="1"/>
    </xf>
    <xf numFmtId="0" fontId="32" fillId="4" borderId="30" xfId="42" applyFont="1" applyFill="1" applyBorder="1" applyAlignment="1">
      <alignment horizontal="center" vertical="center" wrapText="1"/>
    </xf>
    <xf numFmtId="0" fontId="76" fillId="13" borderId="9" xfId="42" applyFont="1" applyFill="1" applyBorder="1" applyAlignment="1">
      <alignment horizontal="center" vertical="center"/>
    </xf>
    <xf numFmtId="0" fontId="76" fillId="13" borderId="33" xfId="42" applyFont="1" applyFill="1" applyBorder="1" applyAlignment="1">
      <alignment horizontal="center" vertical="center"/>
    </xf>
    <xf numFmtId="0" fontId="76" fillId="13" borderId="10" xfId="42" applyFont="1" applyFill="1" applyBorder="1" applyAlignment="1">
      <alignment horizontal="center" vertical="center"/>
    </xf>
    <xf numFmtId="164" fontId="76" fillId="13" borderId="9" xfId="42" applyNumberFormat="1" applyFont="1" applyFill="1" applyBorder="1" applyAlignment="1">
      <alignment horizontal="center" vertical="center"/>
    </xf>
    <xf numFmtId="164" fontId="76" fillId="13" borderId="33" xfId="42" applyNumberFormat="1" applyFont="1" applyFill="1" applyBorder="1" applyAlignment="1">
      <alignment horizontal="center" vertical="center"/>
    </xf>
    <xf numFmtId="164" fontId="76" fillId="13" borderId="10" xfId="42" applyNumberFormat="1" applyFont="1" applyFill="1" applyBorder="1" applyAlignment="1">
      <alignment horizontal="center" vertical="center"/>
    </xf>
    <xf numFmtId="164" fontId="76" fillId="13" borderId="9" xfId="42" applyNumberFormat="1" applyFont="1" applyFill="1" applyBorder="1" applyAlignment="1">
      <alignment horizontal="center" vertical="center" wrapText="1"/>
    </xf>
    <xf numFmtId="164" fontId="76" fillId="13" borderId="33" xfId="42" applyNumberFormat="1" applyFont="1" applyFill="1" applyBorder="1" applyAlignment="1">
      <alignment horizontal="center" vertical="center" wrapText="1"/>
    </xf>
    <xf numFmtId="164" fontId="76" fillId="13" borderId="10" xfId="42" applyNumberFormat="1" applyFont="1" applyFill="1" applyBorder="1" applyAlignment="1">
      <alignment horizontal="center" vertical="center" wrapText="1"/>
    </xf>
    <xf numFmtId="164" fontId="76" fillId="13" borderId="9" xfId="0" applyNumberFormat="1" applyFont="1" applyFill="1" applyBorder="1" applyAlignment="1">
      <alignment horizontal="center" vertical="center" wrapText="1"/>
    </xf>
    <xf numFmtId="164" fontId="76" fillId="13" borderId="33" xfId="0" applyNumberFormat="1" applyFont="1" applyFill="1" applyBorder="1" applyAlignment="1">
      <alignment horizontal="center" vertical="center" wrapText="1"/>
    </xf>
    <xf numFmtId="164" fontId="76" fillId="13" borderId="10" xfId="0" applyNumberFormat="1" applyFont="1" applyFill="1" applyBorder="1" applyAlignment="1">
      <alignment horizontal="center" vertical="center" wrapText="1"/>
    </xf>
    <xf numFmtId="164" fontId="32" fillId="4" borderId="29" xfId="42" applyNumberFormat="1" applyFont="1" applyFill="1" applyBorder="1" applyAlignment="1">
      <alignment horizontal="center" vertical="center" wrapText="1"/>
    </xf>
    <xf numFmtId="164" fontId="32" fillId="4" borderId="9" xfId="42" applyNumberFormat="1" applyFont="1" applyFill="1" applyBorder="1" applyAlignment="1">
      <alignment horizontal="center" vertical="center" wrapText="1"/>
    </xf>
    <xf numFmtId="164" fontId="32" fillId="4" borderId="33" xfId="42" applyNumberFormat="1" applyFont="1" applyFill="1" applyBorder="1" applyAlignment="1">
      <alignment horizontal="center" vertical="center" wrapText="1"/>
    </xf>
    <xf numFmtId="164" fontId="32" fillId="4" borderId="10" xfId="42" applyNumberFormat="1" applyFont="1" applyFill="1" applyBorder="1" applyAlignment="1">
      <alignment horizontal="center" vertical="center" wrapText="1"/>
    </xf>
    <xf numFmtId="164" fontId="32" fillId="4" borderId="29" xfId="0" applyNumberFormat="1" applyFont="1" applyFill="1" applyBorder="1" applyAlignment="1">
      <alignment horizontal="center" vertical="center"/>
    </xf>
    <xf numFmtId="164" fontId="32" fillId="4" borderId="29" xfId="0" applyNumberFormat="1" applyFont="1" applyFill="1" applyBorder="1" applyAlignment="1">
      <alignment horizontal="center" vertical="center" wrapText="1"/>
    </xf>
    <xf numFmtId="0" fontId="32" fillId="4" borderId="27" xfId="207" applyFont="1" applyFill="1" applyBorder="1" applyAlignment="1">
      <alignment horizontal="center" vertical="center"/>
    </xf>
    <xf numFmtId="0" fontId="76" fillId="15" borderId="9" xfId="0" applyFont="1" applyFill="1" applyBorder="1" applyAlignment="1">
      <alignment horizontal="center"/>
    </xf>
    <xf numFmtId="0" fontId="76" fillId="15" borderId="10" xfId="0" applyFont="1" applyFill="1" applyBorder="1" applyAlignment="1">
      <alignment horizontal="center"/>
    </xf>
    <xf numFmtId="0" fontId="76" fillId="13" borderId="31" xfId="42" applyFont="1" applyFill="1" applyBorder="1" applyAlignment="1">
      <alignment horizontal="center" vertical="center" wrapText="1"/>
    </xf>
    <xf numFmtId="0" fontId="76" fillId="13" borderId="32" xfId="42" applyFont="1" applyFill="1" applyBorder="1" applyAlignment="1">
      <alignment horizontal="center" vertical="center" wrapText="1"/>
    </xf>
    <xf numFmtId="0" fontId="76" fillId="13" borderId="30" xfId="42" applyFont="1" applyFill="1" applyBorder="1" applyAlignment="1">
      <alignment horizontal="center" vertical="center" wrapText="1"/>
    </xf>
    <xf numFmtId="0" fontId="76" fillId="13" borderId="31" xfId="0" applyFont="1" applyFill="1" applyBorder="1" applyAlignment="1">
      <alignment horizontal="center" vertical="center" wrapText="1"/>
    </xf>
    <xf numFmtId="0" fontId="76" fillId="13" borderId="32" xfId="0" applyFont="1" applyFill="1" applyBorder="1" applyAlignment="1">
      <alignment horizontal="center" vertical="center" wrapText="1"/>
    </xf>
    <xf numFmtId="0" fontId="76" fillId="13" borderId="30" xfId="0" applyFont="1" applyFill="1" applyBorder="1" applyAlignment="1">
      <alignment horizontal="center" vertical="center" wrapText="1"/>
    </xf>
    <xf numFmtId="0" fontId="76" fillId="13" borderId="51" xfId="42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/>
    </xf>
    <xf numFmtId="164" fontId="32" fillId="4" borderId="29" xfId="42" applyNumberFormat="1" applyFont="1" applyFill="1" applyBorder="1" applyAlignment="1">
      <alignment horizontal="center" vertical="center"/>
    </xf>
    <xf numFmtId="164" fontId="32" fillId="4" borderId="10" xfId="42" applyNumberFormat="1" applyFont="1" applyFill="1" applyBorder="1" applyAlignment="1">
      <alignment horizontal="center" vertical="center"/>
    </xf>
    <xf numFmtId="0" fontId="75" fillId="13" borderId="13" xfId="42" applyFont="1" applyFill="1" applyBorder="1" applyAlignment="1">
      <alignment horizontal="center" vertical="center"/>
    </xf>
    <xf numFmtId="0" fontId="75" fillId="13" borderId="14" xfId="42" applyFont="1" applyFill="1" applyBorder="1" applyAlignment="1">
      <alignment horizontal="center" vertical="center"/>
    </xf>
    <xf numFmtId="0" fontId="75" fillId="13" borderId="35" xfId="42" applyFont="1" applyFill="1" applyBorder="1" applyAlignment="1">
      <alignment horizontal="center" vertical="center"/>
    </xf>
    <xf numFmtId="0" fontId="75" fillId="13" borderId="49" xfId="42" applyFont="1" applyFill="1" applyBorder="1" applyAlignment="1">
      <alignment horizontal="center" vertical="center"/>
    </xf>
    <xf numFmtId="0" fontId="75" fillId="13" borderId="11" xfId="42" applyFont="1" applyFill="1" applyBorder="1" applyAlignment="1">
      <alignment horizontal="center" vertical="center"/>
    </xf>
    <xf numFmtId="0" fontId="75" fillId="13" borderId="15" xfId="42" applyFont="1" applyFill="1" applyBorder="1" applyAlignment="1">
      <alignment horizontal="center" vertical="center"/>
    </xf>
    <xf numFmtId="0" fontId="74" fillId="4" borderId="29" xfId="42" applyFont="1" applyFill="1" applyBorder="1" applyAlignment="1">
      <alignment horizontal="center" vertical="center"/>
    </xf>
    <xf numFmtId="164" fontId="76" fillId="13" borderId="9" xfId="0" applyNumberFormat="1" applyFont="1" applyFill="1" applyBorder="1" applyAlignment="1">
      <alignment horizontal="center" vertical="center"/>
    </xf>
    <xf numFmtId="164" fontId="76" fillId="13" borderId="33" xfId="0" applyNumberFormat="1" applyFont="1" applyFill="1" applyBorder="1" applyAlignment="1">
      <alignment horizontal="center" vertical="center"/>
    </xf>
    <xf numFmtId="164" fontId="76" fillId="13" borderId="10" xfId="0" applyNumberFormat="1" applyFont="1" applyFill="1" applyBorder="1" applyAlignment="1">
      <alignment horizontal="center" vertical="center"/>
    </xf>
    <xf numFmtId="0" fontId="32" fillId="4" borderId="28" xfId="42" applyFont="1" applyFill="1" applyBorder="1" applyAlignment="1">
      <alignment horizontal="center" vertical="center"/>
    </xf>
    <xf numFmtId="0" fontId="32" fillId="4" borderId="29" xfId="42" applyFont="1" applyFill="1" applyBorder="1" applyAlignment="1">
      <alignment horizontal="center" vertical="center"/>
    </xf>
    <xf numFmtId="0" fontId="76" fillId="13" borderId="52" xfId="0" applyFont="1" applyFill="1" applyBorder="1" applyAlignment="1">
      <alignment horizontal="center" vertical="center" wrapText="1"/>
    </xf>
    <xf numFmtId="0" fontId="56" fillId="9" borderId="0" xfId="0" applyFont="1" applyFill="1" applyAlignment="1">
      <alignment horizontal="center" vertical="center" wrapText="1"/>
    </xf>
    <xf numFmtId="0" fontId="32" fillId="4" borderId="9" xfId="61" applyFont="1" applyFill="1" applyBorder="1" applyAlignment="1">
      <alignment horizontal="center" vertical="center"/>
    </xf>
    <xf numFmtId="0" fontId="32" fillId="4" borderId="33" xfId="61" applyFont="1" applyFill="1" applyBorder="1" applyAlignment="1">
      <alignment horizontal="center" vertical="center"/>
    </xf>
    <xf numFmtId="0" fontId="32" fillId="4" borderId="10" xfId="61" applyFont="1" applyFill="1" applyBorder="1" applyAlignment="1">
      <alignment horizontal="center" vertical="center"/>
    </xf>
    <xf numFmtId="164" fontId="32" fillId="4" borderId="29" xfId="61" applyNumberFormat="1" applyFont="1" applyFill="1" applyBorder="1" applyAlignment="1">
      <alignment horizontal="center" vertical="center"/>
    </xf>
    <xf numFmtId="0" fontId="35" fillId="0" borderId="29" xfId="102" applyFont="1" applyBorder="1" applyAlignment="1">
      <alignment horizontal="center"/>
    </xf>
    <xf numFmtId="0" fontId="32" fillId="4" borderId="27" xfId="207" applyFont="1" applyFill="1" applyBorder="1" applyAlignment="1">
      <alignment horizontal="center" vertical="center" wrapText="1"/>
    </xf>
    <xf numFmtId="164" fontId="32" fillId="4" borderId="27" xfId="207" applyNumberFormat="1" applyFont="1" applyFill="1" applyBorder="1" applyAlignment="1">
      <alignment horizontal="center" vertical="center"/>
    </xf>
    <xf numFmtId="0" fontId="75" fillId="13" borderId="29" xfId="42" applyFont="1" applyFill="1" applyBorder="1" applyAlignment="1">
      <alignment horizontal="center" vertical="center"/>
    </xf>
    <xf numFmtId="0" fontId="76" fillId="13" borderId="9" xfId="207" applyFont="1" applyFill="1" applyBorder="1" applyAlignment="1">
      <alignment horizontal="center" vertical="center"/>
    </xf>
    <xf numFmtId="0" fontId="76" fillId="13" borderId="33" xfId="207" applyFont="1" applyFill="1" applyBorder="1" applyAlignment="1">
      <alignment horizontal="center" vertical="center"/>
    </xf>
    <xf numFmtId="0" fontId="76" fillId="13" borderId="10" xfId="207" applyFont="1" applyFill="1" applyBorder="1" applyAlignment="1">
      <alignment horizontal="center" vertical="center"/>
    </xf>
    <xf numFmtId="164" fontId="76" fillId="13" borderId="9" xfId="207" applyNumberFormat="1" applyFont="1" applyFill="1" applyBorder="1" applyAlignment="1">
      <alignment horizontal="center" vertical="center"/>
    </xf>
    <xf numFmtId="164" fontId="76" fillId="13" borderId="33" xfId="207" applyNumberFormat="1" applyFont="1" applyFill="1" applyBorder="1" applyAlignment="1">
      <alignment horizontal="center" vertical="center"/>
    </xf>
    <xf numFmtId="164" fontId="76" fillId="13" borderId="10" xfId="207" applyNumberFormat="1" applyFont="1" applyFill="1" applyBorder="1" applyAlignment="1">
      <alignment horizontal="center" vertical="center"/>
    </xf>
    <xf numFmtId="0" fontId="76" fillId="13" borderId="9" xfId="207" applyFont="1" applyFill="1" applyBorder="1" applyAlignment="1">
      <alignment horizontal="center" vertical="center" wrapText="1"/>
    </xf>
    <xf numFmtId="0" fontId="76" fillId="13" borderId="10" xfId="207" applyFont="1" applyFill="1" applyBorder="1" applyAlignment="1">
      <alignment horizontal="center" vertical="center" wrapText="1"/>
    </xf>
    <xf numFmtId="0" fontId="33" fillId="4" borderId="27" xfId="207" applyFont="1" applyFill="1" applyBorder="1" applyAlignment="1">
      <alignment horizontal="center" vertical="center"/>
    </xf>
    <xf numFmtId="170" fontId="79" fillId="3" borderId="9" xfId="0" applyNumberFormat="1" applyFont="1" applyFill="1" applyBorder="1" applyAlignment="1">
      <alignment horizontal="center" vertical="center"/>
    </xf>
    <xf numFmtId="170" fontId="79" fillId="3" borderId="33" xfId="0" applyNumberFormat="1" applyFont="1" applyFill="1" applyBorder="1" applyAlignment="1">
      <alignment horizontal="center" vertical="center"/>
    </xf>
    <xf numFmtId="170" fontId="79" fillId="3" borderId="10" xfId="0" applyNumberFormat="1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29" xfId="0" applyFont="1" applyBorder="1" applyAlignment="1">
      <alignment horizontal="center"/>
    </xf>
    <xf numFmtId="0" fontId="31" fillId="3" borderId="29" xfId="3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 vertical="center" wrapText="1"/>
    </xf>
    <xf numFmtId="0" fontId="39" fillId="3" borderId="40" xfId="0" applyFont="1" applyFill="1" applyBorder="1" applyAlignment="1">
      <alignment horizontal="center" vertical="center" wrapText="1"/>
    </xf>
    <xf numFmtId="0" fontId="39" fillId="3" borderId="19" xfId="0" applyFont="1" applyFill="1" applyBorder="1" applyAlignment="1">
      <alignment horizontal="center" vertical="center" wrapText="1"/>
    </xf>
    <xf numFmtId="0" fontId="39" fillId="3" borderId="23" xfId="0" applyFont="1" applyFill="1" applyBorder="1" applyAlignment="1">
      <alignment horizontal="center" vertical="center" wrapText="1"/>
    </xf>
    <xf numFmtId="0" fontId="39" fillId="3" borderId="24" xfId="0" applyFont="1" applyFill="1" applyBorder="1" applyAlignment="1">
      <alignment horizontal="center" vertical="center" wrapText="1"/>
    </xf>
    <xf numFmtId="0" fontId="39" fillId="3" borderId="25" xfId="0" applyFont="1" applyFill="1" applyBorder="1" applyAlignment="1">
      <alignment horizontal="center" vertical="center" wrapText="1"/>
    </xf>
  </cellXfs>
  <cellStyles count="498">
    <cellStyle name="Normal" xfId="0" builtinId="0"/>
    <cellStyle name="Normal 10" xfId="3" xr:uid="{00000000-0005-0000-0000-000001000000}"/>
    <cellStyle name="Normal 11" xfId="20" xr:uid="{00000000-0005-0000-0000-000002000000}"/>
    <cellStyle name="Normal 11 10" xfId="381" xr:uid="{3BCCC5FF-3ECF-4176-9D31-554422F55E5E}"/>
    <cellStyle name="Normal 11 11" xfId="424" xr:uid="{DD9E7E81-9F47-49B0-9C6F-BE26C061C5C9}"/>
    <cellStyle name="Normal 11 12" xfId="471" xr:uid="{5EF4E676-0EBC-4DFB-BC56-C82585A58F9C}"/>
    <cellStyle name="Normal 11 2" xfId="61" xr:uid="{00000000-0005-0000-0000-000003000000}"/>
    <cellStyle name="Normal 11 2 2" xfId="148" xr:uid="{00000000-0005-0000-0000-000004000000}"/>
    <cellStyle name="Normal 11 2 3" xfId="406" xr:uid="{1296C2A0-FC26-452F-91EC-1E6427840052}"/>
    <cellStyle name="Normal 11 2 4" xfId="449" xr:uid="{0E5C2E61-9233-4C2B-9CBA-40385001DBCC}"/>
    <cellStyle name="Normal 11 2 5" xfId="496" xr:uid="{9512BB05-A366-4903-9B45-E36786B31832}"/>
    <cellStyle name="Normal 11 3" xfId="90" xr:uid="{00000000-0005-0000-0000-000005000000}"/>
    <cellStyle name="Normal 11 3 2" xfId="178" xr:uid="{00000000-0005-0000-0000-000006000000}"/>
    <cellStyle name="Normal 11 4" xfId="119" xr:uid="{00000000-0005-0000-0000-000007000000}"/>
    <cellStyle name="Normal 11 5" xfId="207" xr:uid="{00000000-0005-0000-0000-000008000000}"/>
    <cellStyle name="Normal 11 6" xfId="236" xr:uid="{00000000-0005-0000-0000-000009000000}"/>
    <cellStyle name="Normal 11 7" xfId="265" xr:uid="{1CF632E8-90B5-4E0A-B7F9-114EB951C3E1}"/>
    <cellStyle name="Normal 11 8" xfId="297" xr:uid="{915C6302-B9BF-4121-9AF7-52FC8AAC00AC}"/>
    <cellStyle name="Normal 11 9" xfId="339" xr:uid="{58A4C4EF-26D7-4475-B2AF-80B955FFA678}"/>
    <cellStyle name="Normal 12" xfId="26" xr:uid="{00000000-0005-0000-0000-00000A000000}"/>
    <cellStyle name="Normal 12 10" xfId="385" xr:uid="{210C9B7A-2D17-44EE-8ACF-7C3723D2CF84}"/>
    <cellStyle name="Normal 12 11" xfId="428" xr:uid="{2A8720F6-05E4-40C0-8AB0-A1E49DEEE1A6}"/>
    <cellStyle name="Normal 12 12" xfId="475" xr:uid="{8C0A3A33-0291-42DE-BDE3-A1A5A9270715}"/>
    <cellStyle name="Normal 12 2" xfId="65" xr:uid="{00000000-0005-0000-0000-00000B000000}"/>
    <cellStyle name="Normal 12 2 2" xfId="152" xr:uid="{00000000-0005-0000-0000-00000C000000}"/>
    <cellStyle name="Normal 12 2 3" xfId="450" xr:uid="{9680CF58-6EDB-48A3-9E70-9C0D00950584}"/>
    <cellStyle name="Normal 12 3" xfId="94" xr:uid="{00000000-0005-0000-0000-00000D000000}"/>
    <cellStyle name="Normal 12 3 2" xfId="182" xr:uid="{00000000-0005-0000-0000-00000E000000}"/>
    <cellStyle name="Normal 12 4" xfId="123" xr:uid="{00000000-0005-0000-0000-00000F000000}"/>
    <cellStyle name="Normal 12 5" xfId="211" xr:uid="{00000000-0005-0000-0000-000010000000}"/>
    <cellStyle name="Normal 12 6" xfId="240" xr:uid="{00000000-0005-0000-0000-000011000000}"/>
    <cellStyle name="Normal 12 7" xfId="269" xr:uid="{596DFAA9-5DC3-4AD2-8CBC-DC98081EA5B6}"/>
    <cellStyle name="Normal 12 8" xfId="301" xr:uid="{B463EE84-70B3-46A6-BC45-1FB478094F1E}"/>
    <cellStyle name="Normal 12 9" xfId="343" xr:uid="{1FC30FEA-3B2F-43D5-B743-3C9B2B3AB4D3}"/>
    <cellStyle name="Normal 13" xfId="30" xr:uid="{00000000-0005-0000-0000-000012000000}"/>
    <cellStyle name="Normal 13 10" xfId="389" xr:uid="{B81A334D-5ACB-4BD6-A7BD-06329AFC23DD}"/>
    <cellStyle name="Normal 13 11" xfId="432" xr:uid="{92DA962B-EC83-445A-9B99-A552DCE44C88}"/>
    <cellStyle name="Normal 13 12" xfId="479" xr:uid="{5A9EC2A1-3936-46C0-85A6-66A823620AD7}"/>
    <cellStyle name="Normal 13 2" xfId="69" xr:uid="{00000000-0005-0000-0000-000013000000}"/>
    <cellStyle name="Normal 13 2 2" xfId="156" xr:uid="{00000000-0005-0000-0000-000014000000}"/>
    <cellStyle name="Normal 13 3" xfId="98" xr:uid="{00000000-0005-0000-0000-000015000000}"/>
    <cellStyle name="Normal 13 3 2" xfId="186" xr:uid="{00000000-0005-0000-0000-000016000000}"/>
    <cellStyle name="Normal 13 4" xfId="127" xr:uid="{00000000-0005-0000-0000-000017000000}"/>
    <cellStyle name="Normal 13 5" xfId="215" xr:uid="{00000000-0005-0000-0000-000018000000}"/>
    <cellStyle name="Normal 13 6" xfId="244" xr:uid="{00000000-0005-0000-0000-000019000000}"/>
    <cellStyle name="Normal 13 7" xfId="273" xr:uid="{B84A4D02-C406-49A3-B8FB-DB265AEB1DA0}"/>
    <cellStyle name="Normal 13 8" xfId="305" xr:uid="{37A96736-DE20-4166-9636-75FEBB7AB0E9}"/>
    <cellStyle name="Normal 13 9" xfId="347" xr:uid="{0D5FE9A2-97B0-4D22-BFBC-4B343959C560}"/>
    <cellStyle name="Normal 14" xfId="34" xr:uid="{00000000-0005-0000-0000-00001A000000}"/>
    <cellStyle name="Normal 14 2" xfId="47" xr:uid="{00000000-0005-0000-0000-00001B000000}"/>
    <cellStyle name="Normal 15" xfId="38" xr:uid="{00000000-0005-0000-0000-00001C000000}"/>
    <cellStyle name="Normal 15 2" xfId="131" xr:uid="{00000000-0005-0000-0000-00001D000000}"/>
    <cellStyle name="Normal 15 3" xfId="277" xr:uid="{834D4D75-FBC8-4E92-8DA7-90F06559E4FC}"/>
    <cellStyle name="Normal 15 4" xfId="309" xr:uid="{E1A3D858-3B06-4A73-AF83-49B6BE50F0DC}"/>
    <cellStyle name="Normal 15 5" xfId="351" xr:uid="{48F2D81C-BA3E-4ED9-A6A3-89086E9E2DC0}"/>
    <cellStyle name="Normal 15 6" xfId="393" xr:uid="{8B1440B4-34F5-48EC-8FED-C76D4B8264D4}"/>
    <cellStyle name="Normal 15 7" xfId="436" xr:uid="{B567FE8B-6264-41D8-90F7-94CDB4D3534D}"/>
    <cellStyle name="Normal 15 8" xfId="483" xr:uid="{B208E455-1172-4BCE-BB17-18656776DCD2}"/>
    <cellStyle name="Normal 16" xfId="42" xr:uid="{00000000-0005-0000-0000-00001E000000}"/>
    <cellStyle name="Normal 16 2" xfId="161" xr:uid="{00000000-0005-0000-0000-00001F000000}"/>
    <cellStyle name="Normal 16 3" xfId="278" xr:uid="{F8C6BAF2-BA8F-4F6E-98A8-5047B2178E7A}"/>
    <cellStyle name="Normal 16 4" xfId="310" xr:uid="{94257EDA-0251-42F8-A6A6-FAC001AA77B7}"/>
    <cellStyle name="Normal 16 5" xfId="352" xr:uid="{23619387-6F0D-4B08-BE78-2EBC4B1B6B7A}"/>
    <cellStyle name="Normal 16 6" xfId="394" xr:uid="{F05EB559-8720-4145-A848-47C3CA9DF68B}"/>
    <cellStyle name="Normal 16 7" xfId="437" xr:uid="{541B7518-13B4-4B4F-BA09-901D16C5A58C}"/>
    <cellStyle name="Normal 16 8" xfId="484" xr:uid="{2EFFF2F3-064C-49A3-80F5-F4554185DB1E}"/>
    <cellStyle name="Normal 17" xfId="73" xr:uid="{00000000-0005-0000-0000-000020000000}"/>
    <cellStyle name="Normal 17 2" xfId="312" xr:uid="{6943CFCA-83A3-43AB-8F38-7975EC85615A}"/>
    <cellStyle name="Normal 17 3" xfId="354" xr:uid="{AFFEBAE8-8EFA-48B6-B150-7F6691215411}"/>
    <cellStyle name="Normal 17 4" xfId="396" xr:uid="{942A25B4-F2A5-49F0-B40D-8C9C5724000C}"/>
    <cellStyle name="Normal 17 5" xfId="439" xr:uid="{0845B2FB-557D-4494-B094-B16D714819A7}"/>
    <cellStyle name="Normal 17 6" xfId="486" xr:uid="{9519F62B-541A-4493-A90E-C14FB20C7614}"/>
    <cellStyle name="Normal 18" xfId="102" xr:uid="{00000000-0005-0000-0000-000021000000}"/>
    <cellStyle name="Normal 18 2" xfId="160" xr:uid="{00000000-0005-0000-0000-000022000000}"/>
    <cellStyle name="Normal 18 3" xfId="316" xr:uid="{D967062C-4697-41CD-8019-ED86B9AED82A}"/>
    <cellStyle name="Normal 18 4" xfId="358" xr:uid="{5F2C3B53-012C-4CCB-AF80-0CEBE2760005}"/>
    <cellStyle name="Normal 18 5" xfId="400" xr:uid="{72A37E40-C8DB-4193-B17A-4CFC472B2F23}"/>
    <cellStyle name="Normal 18 6" xfId="443" xr:uid="{CC32CE46-B9E4-4E57-B8AE-7AB3A5343B22}"/>
    <cellStyle name="Normal 18 7" xfId="490" xr:uid="{1082EFEC-EAF8-44D4-B71F-ABECAB61189D}"/>
    <cellStyle name="Normal 19" xfId="190" xr:uid="{00000000-0005-0000-0000-000023000000}"/>
    <cellStyle name="Normal 19 2" xfId="319" xr:uid="{90FCE059-DAE7-4C25-B102-8E7210CCEDC5}"/>
    <cellStyle name="Normal 19 3" xfId="361" xr:uid="{DFFEAAEF-C734-4252-B58B-FD47825E9BA5}"/>
    <cellStyle name="Normal 19 4" xfId="403" xr:uid="{0047EE12-A2EC-47E3-94F4-1F0ED3235110}"/>
    <cellStyle name="Normal 19 5" xfId="446" xr:uid="{08BEB89A-9FFA-44C9-986D-8D902BCECA55}"/>
    <cellStyle name="Normal 19 6" xfId="493" xr:uid="{78839CAF-6D50-4380-A092-422AFED053D9}"/>
    <cellStyle name="Normal 2" xfId="5" xr:uid="{00000000-0005-0000-0000-000024000000}"/>
    <cellStyle name="Normal 2 2" xfId="23" xr:uid="{00000000-0005-0000-0000-000025000000}"/>
    <cellStyle name="Normal 2 3" xfId="25" xr:uid="{00000000-0005-0000-0000-000026000000}"/>
    <cellStyle name="Normal 2 4" xfId="48" xr:uid="{00000000-0005-0000-0000-000027000000}"/>
    <cellStyle name="Normal 2 4 10" xfId="411" xr:uid="{036CF2F9-C614-437B-A0C7-213F5301BD6C}"/>
    <cellStyle name="Normal 2 4 11" xfId="458" xr:uid="{CF4901E6-0946-4B5B-B3B0-C43F310CD9AC}"/>
    <cellStyle name="Normal 2 4 2" xfId="77" xr:uid="{00000000-0005-0000-0000-000028000000}"/>
    <cellStyle name="Normal 2 4 2 2" xfId="165" xr:uid="{00000000-0005-0000-0000-000029000000}"/>
    <cellStyle name="Normal 2 4 3" xfId="135" xr:uid="{00000000-0005-0000-0000-00002A000000}"/>
    <cellStyle name="Normal 2 4 4" xfId="194" xr:uid="{00000000-0005-0000-0000-00002B000000}"/>
    <cellStyle name="Normal 2 4 5" xfId="223" xr:uid="{00000000-0005-0000-0000-00002C000000}"/>
    <cellStyle name="Normal 2 4 6" xfId="252" xr:uid="{DB08849A-404C-4B29-BA03-42950847B0F4}"/>
    <cellStyle name="Normal 2 4 7" xfId="284" xr:uid="{F418A3D9-E657-4EE6-8F96-41A26D14806B}"/>
    <cellStyle name="Normal 2 4 8" xfId="326" xr:uid="{352314EF-79C7-49ED-8465-2E68625129A5}"/>
    <cellStyle name="Normal 2 4 9" xfId="368" xr:uid="{BE000E43-1F2C-4D85-90D9-4969EC0C6A06}"/>
    <cellStyle name="Normal 2 5" xfId="104" xr:uid="{00000000-0005-0000-0000-00002D000000}"/>
    <cellStyle name="Normal 20" xfId="219" xr:uid="{00000000-0005-0000-0000-00002E000000}"/>
    <cellStyle name="Normal 20 2" xfId="318" xr:uid="{5EE7F492-6ED2-4E18-833C-D30FE22926E2}"/>
    <cellStyle name="Normal 20 3" xfId="360" xr:uid="{1DADB702-8C3F-4397-8F68-58031E52BAB9}"/>
    <cellStyle name="Normal 20 4" xfId="402" xr:uid="{97B05CEE-D00A-4B74-BF7C-AA7D7C21E6B4}"/>
    <cellStyle name="Normal 20 5" xfId="445" xr:uid="{03B9E596-4AA8-4128-81E6-43DF9CA63817}"/>
    <cellStyle name="Normal 20 6" xfId="492" xr:uid="{4ABC0280-40E4-4C19-85B1-326EA3D030AA}"/>
    <cellStyle name="Normal 21" xfId="248" xr:uid="{0FAA4AC6-D869-4EEA-ACF4-292CBB22C991}"/>
    <cellStyle name="Normal 21 2" xfId="451" xr:uid="{6150BC2A-4B03-4104-A33E-99D9D1FBE4CF}"/>
    <cellStyle name="Normal 22" xfId="280" xr:uid="{94383EE0-454B-4729-A49F-4F716A50AF61}"/>
    <cellStyle name="Normal 22 2" xfId="452" xr:uid="{8BE22571-9A53-4621-B646-61A58998F701}"/>
    <cellStyle name="Normal 23" xfId="322" xr:uid="{8FB7FA31-96CA-4184-8305-353B65EEFECC}"/>
    <cellStyle name="Normal 24" xfId="364" xr:uid="{BF4FFA02-6E68-4637-925E-202D963F6FA4}"/>
    <cellStyle name="Normal 25" xfId="453" xr:uid="{04EAF471-F586-444E-908D-92F4333B78F9}"/>
    <cellStyle name="Normal 25 2" xfId="497" xr:uid="{8F847695-E3FC-44DA-925E-3D5506B223FB}"/>
    <cellStyle name="Normal 26" xfId="407" xr:uid="{19DCD5F5-1BC4-4FA4-B95D-2CEE1B75FA49}"/>
    <cellStyle name="Normal 27" xfId="454" xr:uid="{7F28E1A8-AF77-4CD5-813C-32F1D102226C}"/>
    <cellStyle name="Normal 3" xfId="4" xr:uid="{00000000-0005-0000-0000-00002F000000}"/>
    <cellStyle name="Normal 3 10" xfId="27" xr:uid="{00000000-0005-0000-0000-000030000000}"/>
    <cellStyle name="Normal 3 10 10" xfId="386" xr:uid="{FA2802F5-4B5B-4E49-8171-4D546BEDAE83}"/>
    <cellStyle name="Normal 3 10 11" xfId="429" xr:uid="{81551520-5B4C-4FAF-96FA-9B4F78A8A852}"/>
    <cellStyle name="Normal 3 10 12" xfId="476" xr:uid="{5C77DA69-D2BC-4D2B-8175-8FD4EDE6A90F}"/>
    <cellStyle name="Normal 3 10 2" xfId="66" xr:uid="{00000000-0005-0000-0000-000031000000}"/>
    <cellStyle name="Normal 3 10 2 2" xfId="153" xr:uid="{00000000-0005-0000-0000-000032000000}"/>
    <cellStyle name="Normal 3 10 3" xfId="95" xr:uid="{00000000-0005-0000-0000-000033000000}"/>
    <cellStyle name="Normal 3 10 3 2" xfId="183" xr:uid="{00000000-0005-0000-0000-000034000000}"/>
    <cellStyle name="Normal 3 10 4" xfId="124" xr:uid="{00000000-0005-0000-0000-000035000000}"/>
    <cellStyle name="Normal 3 10 5" xfId="212" xr:uid="{00000000-0005-0000-0000-000036000000}"/>
    <cellStyle name="Normal 3 10 6" xfId="241" xr:uid="{00000000-0005-0000-0000-000037000000}"/>
    <cellStyle name="Normal 3 10 7" xfId="270" xr:uid="{6E11802D-196E-4349-95BD-9E0A6D5F9944}"/>
    <cellStyle name="Normal 3 10 7 2" xfId="321" xr:uid="{5F0FDB52-B49C-4D60-8B5A-1EF8C90A14B1}"/>
    <cellStyle name="Normal 3 10 7 3" xfId="363" xr:uid="{C79FD414-C292-488A-8F1C-59F7AA30AE2F}"/>
    <cellStyle name="Normal 3 10 7 4" xfId="405" xr:uid="{2E382925-5E46-4BB9-B4FB-5D211BC4A418}"/>
    <cellStyle name="Normal 3 10 7 5" xfId="448" xr:uid="{5C260EF4-D593-4395-A096-98BDD68A3755}"/>
    <cellStyle name="Normal 3 10 7 6" xfId="495" xr:uid="{11B24EA3-38C1-41A2-A35C-EBE5BD4D6E71}"/>
    <cellStyle name="Normal 3 10 8" xfId="302" xr:uid="{FBA8C633-5339-42E2-9EEA-BEBDEE862073}"/>
    <cellStyle name="Normal 3 10 9" xfId="344" xr:uid="{674A267E-6969-45CC-85CF-B3D7FD02C76C}"/>
    <cellStyle name="Normal 3 11" xfId="31" xr:uid="{00000000-0005-0000-0000-000038000000}"/>
    <cellStyle name="Normal 3 11 10" xfId="390" xr:uid="{A3D9B75F-13A0-4444-9CE8-CF66E66EB51E}"/>
    <cellStyle name="Normal 3 11 11" xfId="433" xr:uid="{AAB925B4-6857-448F-A7B5-091574E31DD6}"/>
    <cellStyle name="Normal 3 11 12" xfId="480" xr:uid="{1DBA2FE9-0322-427E-B658-CE0F5331988B}"/>
    <cellStyle name="Normal 3 11 2" xfId="70" xr:uid="{00000000-0005-0000-0000-000039000000}"/>
    <cellStyle name="Normal 3 11 2 2" xfId="157" xr:uid="{00000000-0005-0000-0000-00003A000000}"/>
    <cellStyle name="Normal 3 11 3" xfId="99" xr:uid="{00000000-0005-0000-0000-00003B000000}"/>
    <cellStyle name="Normal 3 11 3 2" xfId="187" xr:uid="{00000000-0005-0000-0000-00003C000000}"/>
    <cellStyle name="Normal 3 11 4" xfId="128" xr:uid="{00000000-0005-0000-0000-00003D000000}"/>
    <cellStyle name="Normal 3 11 5" xfId="216" xr:uid="{00000000-0005-0000-0000-00003E000000}"/>
    <cellStyle name="Normal 3 11 6" xfId="245" xr:uid="{00000000-0005-0000-0000-00003F000000}"/>
    <cellStyle name="Normal 3 11 7" xfId="274" xr:uid="{4E10C4F2-9A2F-4790-99DC-7B332E87346A}"/>
    <cellStyle name="Normal 3 11 8" xfId="306" xr:uid="{C20493E4-4D5B-4F6F-A15E-549E7E44AAC7}"/>
    <cellStyle name="Normal 3 11 9" xfId="348" xr:uid="{54F89289-B635-4309-AFAB-9872621C4A05}"/>
    <cellStyle name="Normal 3 12" xfId="35" xr:uid="{00000000-0005-0000-0000-000040000000}"/>
    <cellStyle name="Normal 3 12 2" xfId="132" xr:uid="{00000000-0005-0000-0000-000041000000}"/>
    <cellStyle name="Normal 3 13" xfId="39" xr:uid="{00000000-0005-0000-0000-000042000000}"/>
    <cellStyle name="Normal 3 13 2" xfId="162" xr:uid="{00000000-0005-0000-0000-000043000000}"/>
    <cellStyle name="Normal 3 14" xfId="43" xr:uid="{00000000-0005-0000-0000-000044000000}"/>
    <cellStyle name="Normal 3 15" xfId="74" xr:uid="{00000000-0005-0000-0000-000045000000}"/>
    <cellStyle name="Normal 3 16" xfId="103" xr:uid="{00000000-0005-0000-0000-000046000000}"/>
    <cellStyle name="Normal 3 17" xfId="191" xr:uid="{00000000-0005-0000-0000-000047000000}"/>
    <cellStyle name="Normal 3 18" xfId="220" xr:uid="{00000000-0005-0000-0000-000048000000}"/>
    <cellStyle name="Normal 3 19" xfId="249" xr:uid="{C41804D2-885D-49EE-8660-6F042CB8E905}"/>
    <cellStyle name="Normal 3 2" xfId="6" xr:uid="{00000000-0005-0000-0000-000049000000}"/>
    <cellStyle name="Normal 3 2 10" xfId="369" xr:uid="{98BFB508-F5AA-4703-B20A-8081F9986496}"/>
    <cellStyle name="Normal 3 2 11" xfId="412" xr:uid="{1CE04B20-F915-4DB9-A317-6B3CA0D8ADC4}"/>
    <cellStyle name="Normal 3 2 12" xfId="459" xr:uid="{17CAD256-313D-48C8-AB60-BBDC313F951E}"/>
    <cellStyle name="Normal 3 2 2" xfId="49" xr:uid="{00000000-0005-0000-0000-00004A000000}"/>
    <cellStyle name="Normal 3 2 2 2" xfId="136" xr:uid="{00000000-0005-0000-0000-00004B000000}"/>
    <cellStyle name="Normal 3 2 3" xfId="78" xr:uid="{00000000-0005-0000-0000-00004C000000}"/>
    <cellStyle name="Normal 3 2 3 2" xfId="166" xr:uid="{00000000-0005-0000-0000-00004D000000}"/>
    <cellStyle name="Normal 3 2 4" xfId="105" xr:uid="{00000000-0005-0000-0000-00004E000000}"/>
    <cellStyle name="Normal 3 2 5" xfId="195" xr:uid="{00000000-0005-0000-0000-00004F000000}"/>
    <cellStyle name="Normal 3 2 6" xfId="224" xr:uid="{00000000-0005-0000-0000-000050000000}"/>
    <cellStyle name="Normal 3 2 7" xfId="253" xr:uid="{7377D1B9-7E62-4A7E-B612-891C3DB5719A}"/>
    <cellStyle name="Normal 3 2 8" xfId="285" xr:uid="{168A21F3-1CA2-474E-A0DA-A67E9BD12964}"/>
    <cellStyle name="Normal 3 2 9" xfId="327" xr:uid="{DF1A19A7-17BC-4FD7-87FC-29154B5D8EE5}"/>
    <cellStyle name="Normal 3 20" xfId="281" xr:uid="{79BAC47B-F341-4292-98D0-BF4470155C1D}"/>
    <cellStyle name="Normal 3 21" xfId="323" xr:uid="{C85344ED-CAD3-4214-AFB1-836B076FB264}"/>
    <cellStyle name="Normal 3 22" xfId="365" xr:uid="{1608FA21-28ED-4CC5-B702-26C203D41B96}"/>
    <cellStyle name="Normal 3 23" xfId="408" xr:uid="{9627B8B5-16F8-407B-A0E2-7A9F1DABA3AB}"/>
    <cellStyle name="Normal 3 24" xfId="455" xr:uid="{E6B608F6-42FA-40F1-8304-7A00DD43AAE6}"/>
    <cellStyle name="Normal 3 3" xfId="8" xr:uid="{00000000-0005-0000-0000-000051000000}"/>
    <cellStyle name="Normal 3 3 10" xfId="371" xr:uid="{A5B932C4-7BC7-48A2-9208-9A499D3BA957}"/>
    <cellStyle name="Normal 3 3 11" xfId="414" xr:uid="{B731C8A6-887E-41A8-8FEC-48FFBB4C04E1}"/>
    <cellStyle name="Normal 3 3 12" xfId="461" xr:uid="{AE4E9B32-2767-4EA6-94C7-50C8AE2E3D7F}"/>
    <cellStyle name="Normal 3 3 2" xfId="51" xr:uid="{00000000-0005-0000-0000-000052000000}"/>
    <cellStyle name="Normal 3 3 2 2" xfId="138" xr:uid="{00000000-0005-0000-0000-000053000000}"/>
    <cellStyle name="Normal 3 3 3" xfId="80" xr:uid="{00000000-0005-0000-0000-000054000000}"/>
    <cellStyle name="Normal 3 3 3 2" xfId="168" xr:uid="{00000000-0005-0000-0000-000055000000}"/>
    <cellStyle name="Normal 3 3 4" xfId="107" xr:uid="{00000000-0005-0000-0000-000056000000}"/>
    <cellStyle name="Normal 3 3 5" xfId="197" xr:uid="{00000000-0005-0000-0000-000057000000}"/>
    <cellStyle name="Normal 3 3 6" xfId="226" xr:uid="{00000000-0005-0000-0000-000058000000}"/>
    <cellStyle name="Normal 3 3 7" xfId="255" xr:uid="{3AA78903-5E98-41A5-831E-31C79BD3AFF6}"/>
    <cellStyle name="Normal 3 3 8" xfId="287" xr:uid="{F596C433-3304-4A49-9E20-E06ABD50C3B2}"/>
    <cellStyle name="Normal 3 3 9" xfId="329" xr:uid="{022F35D2-1A1C-4062-8B72-DB9211003320}"/>
    <cellStyle name="Normal 3 4" xfId="10" xr:uid="{00000000-0005-0000-0000-000059000000}"/>
    <cellStyle name="Normal 3 4 10" xfId="109" xr:uid="{00000000-0005-0000-0000-00005A000000}"/>
    <cellStyle name="Normal 3 4 11" xfId="192" xr:uid="{00000000-0005-0000-0000-00005B000000}"/>
    <cellStyle name="Normal 3 4 12" xfId="221" xr:uid="{00000000-0005-0000-0000-00005C000000}"/>
    <cellStyle name="Normal 3 4 13" xfId="250" xr:uid="{678042C5-5746-4CF6-AF1A-C7A9514DEE04}"/>
    <cellStyle name="Normal 3 4 14" xfId="282" xr:uid="{6F0B0392-C1D0-4D7B-B7F9-BF3A816304A8}"/>
    <cellStyle name="Normal 3 4 15" xfId="324" xr:uid="{19E83404-8565-47AC-A7B9-6B2596B8B306}"/>
    <cellStyle name="Normal 3 4 16" xfId="366" xr:uid="{4A2E4E03-F40F-4703-B368-59724C778126}"/>
    <cellStyle name="Normal 3 4 17" xfId="409" xr:uid="{F42FFB03-5A06-43A4-A029-CDF8F9714721}"/>
    <cellStyle name="Normal 3 4 18" xfId="456" xr:uid="{C0148B3C-77B4-4935-9B20-F48B6D3EFC10}"/>
    <cellStyle name="Normal 3 4 2" xfId="19" xr:uid="{00000000-0005-0000-0000-00005D000000}"/>
    <cellStyle name="Normal 3 4 2 10" xfId="380" xr:uid="{1D176701-8FAB-4948-897E-D361ED6D997A}"/>
    <cellStyle name="Normal 3 4 2 11" xfId="423" xr:uid="{B66F6056-24A6-4039-B520-BAABADEFAB17}"/>
    <cellStyle name="Normal 3 4 2 12" xfId="470" xr:uid="{A0E7BDA3-4510-43BB-AB89-A99D9A031731}"/>
    <cellStyle name="Normal 3 4 2 2" xfId="60" xr:uid="{00000000-0005-0000-0000-00005E000000}"/>
    <cellStyle name="Normal 3 4 2 2 2" xfId="147" xr:uid="{00000000-0005-0000-0000-00005F000000}"/>
    <cellStyle name="Normal 3 4 2 3" xfId="89" xr:uid="{00000000-0005-0000-0000-000060000000}"/>
    <cellStyle name="Normal 3 4 2 3 2" xfId="177" xr:uid="{00000000-0005-0000-0000-000061000000}"/>
    <cellStyle name="Normal 3 4 2 4" xfId="118" xr:uid="{00000000-0005-0000-0000-000062000000}"/>
    <cellStyle name="Normal 3 4 2 5" xfId="206" xr:uid="{00000000-0005-0000-0000-000063000000}"/>
    <cellStyle name="Normal 3 4 2 6" xfId="235" xr:uid="{00000000-0005-0000-0000-000064000000}"/>
    <cellStyle name="Normal 3 4 2 7" xfId="264" xr:uid="{C2EE8AFE-8FB7-48B7-A01C-749A252118BE}"/>
    <cellStyle name="Normal 3 4 2 8" xfId="296" xr:uid="{CB1B6A5A-4F00-46F2-92BA-6FD9C2EE673D}"/>
    <cellStyle name="Normal 3 4 2 9" xfId="338" xr:uid="{FD724018-A744-4C69-AE67-2C80E4904DC9}"/>
    <cellStyle name="Normal 3 4 3" xfId="22" xr:uid="{00000000-0005-0000-0000-000065000000}"/>
    <cellStyle name="Normal 3 4 3 10" xfId="383" xr:uid="{FCB657EC-A950-49F9-8F55-F9762D1ADCDD}"/>
    <cellStyle name="Normal 3 4 3 11" xfId="426" xr:uid="{04396C4A-DFB6-4700-AB74-96C58D09504E}"/>
    <cellStyle name="Normal 3 4 3 12" xfId="473" xr:uid="{AD9830DB-D987-49DC-AF4B-8A17577F6078}"/>
    <cellStyle name="Normal 3 4 3 2" xfId="63" xr:uid="{00000000-0005-0000-0000-000066000000}"/>
    <cellStyle name="Normal 3 4 3 2 2" xfId="150" xr:uid="{00000000-0005-0000-0000-000067000000}"/>
    <cellStyle name="Normal 3 4 3 3" xfId="92" xr:uid="{00000000-0005-0000-0000-000068000000}"/>
    <cellStyle name="Normal 3 4 3 3 2" xfId="180" xr:uid="{00000000-0005-0000-0000-000069000000}"/>
    <cellStyle name="Normal 3 4 3 4" xfId="121" xr:uid="{00000000-0005-0000-0000-00006A000000}"/>
    <cellStyle name="Normal 3 4 3 5" xfId="209" xr:uid="{00000000-0005-0000-0000-00006B000000}"/>
    <cellStyle name="Normal 3 4 3 6" xfId="238" xr:uid="{00000000-0005-0000-0000-00006C000000}"/>
    <cellStyle name="Normal 3 4 3 7" xfId="267" xr:uid="{AD631B42-54A6-4ECE-AEB5-AB807F1E8C54}"/>
    <cellStyle name="Normal 3 4 3 8" xfId="299" xr:uid="{D52A7C00-8A50-4D90-9A94-80EF6779EE2A}"/>
    <cellStyle name="Normal 3 4 3 9" xfId="341" xr:uid="{F64C16D0-73E5-4B15-91F1-00F242F1264E}"/>
    <cellStyle name="Normal 3 4 4" xfId="28" xr:uid="{00000000-0005-0000-0000-00006D000000}"/>
    <cellStyle name="Normal 3 4 4 10" xfId="387" xr:uid="{7542592F-AF4E-4911-905F-B0BD1D4E77A2}"/>
    <cellStyle name="Normal 3 4 4 11" xfId="430" xr:uid="{1E6B99E1-B507-4D10-A3BA-E75706CB4F89}"/>
    <cellStyle name="Normal 3 4 4 12" xfId="477" xr:uid="{1516E741-EEFD-4FFA-B5A8-5B725E7B1D81}"/>
    <cellStyle name="Normal 3 4 4 2" xfId="67" xr:uid="{00000000-0005-0000-0000-00006E000000}"/>
    <cellStyle name="Normal 3 4 4 2 2" xfId="154" xr:uid="{00000000-0005-0000-0000-00006F000000}"/>
    <cellStyle name="Normal 3 4 4 3" xfId="96" xr:uid="{00000000-0005-0000-0000-000070000000}"/>
    <cellStyle name="Normal 3 4 4 3 2" xfId="184" xr:uid="{00000000-0005-0000-0000-000071000000}"/>
    <cellStyle name="Normal 3 4 4 4" xfId="125" xr:uid="{00000000-0005-0000-0000-000072000000}"/>
    <cellStyle name="Normal 3 4 4 5" xfId="213" xr:uid="{00000000-0005-0000-0000-000073000000}"/>
    <cellStyle name="Normal 3 4 4 6" xfId="242" xr:uid="{00000000-0005-0000-0000-000074000000}"/>
    <cellStyle name="Normal 3 4 4 7" xfId="271" xr:uid="{591F013E-D4E4-481A-8E1C-7C2459552D76}"/>
    <cellStyle name="Normal 3 4 4 8" xfId="303" xr:uid="{76D1B0F1-EB95-4CD8-925D-3DD8AC77A5D6}"/>
    <cellStyle name="Normal 3 4 4 9" xfId="345" xr:uid="{E8ECCB19-61E2-4C28-90F7-5B612EB0236A}"/>
    <cellStyle name="Normal 3 4 5" xfId="32" xr:uid="{00000000-0005-0000-0000-000075000000}"/>
    <cellStyle name="Normal 3 4 5 10" xfId="391" xr:uid="{8FDC2F3A-431C-4463-A191-A8C4ABADD875}"/>
    <cellStyle name="Normal 3 4 5 11" xfId="434" xr:uid="{D7B728F0-4207-4B57-B503-64BC7ADAD76C}"/>
    <cellStyle name="Normal 3 4 5 12" xfId="481" xr:uid="{C459BECD-BF43-48DD-8F88-2DC5A3D1DC22}"/>
    <cellStyle name="Normal 3 4 5 2" xfId="71" xr:uid="{00000000-0005-0000-0000-000076000000}"/>
    <cellStyle name="Normal 3 4 5 2 2" xfId="158" xr:uid="{00000000-0005-0000-0000-000077000000}"/>
    <cellStyle name="Normal 3 4 5 3" xfId="100" xr:uid="{00000000-0005-0000-0000-000078000000}"/>
    <cellStyle name="Normal 3 4 5 3 2" xfId="188" xr:uid="{00000000-0005-0000-0000-000079000000}"/>
    <cellStyle name="Normal 3 4 5 4" xfId="129" xr:uid="{00000000-0005-0000-0000-00007A000000}"/>
    <cellStyle name="Normal 3 4 5 5" xfId="217" xr:uid="{00000000-0005-0000-0000-00007B000000}"/>
    <cellStyle name="Normal 3 4 5 6" xfId="246" xr:uid="{00000000-0005-0000-0000-00007C000000}"/>
    <cellStyle name="Normal 3 4 5 7" xfId="275" xr:uid="{8F3FE65E-820A-4785-80CF-1BBC50A75DE1}"/>
    <cellStyle name="Normal 3 4 5 8" xfId="307" xr:uid="{D77ECFEB-E478-4D4C-A324-D4B69C3CF63B}"/>
    <cellStyle name="Normal 3 4 5 9" xfId="349" xr:uid="{78172879-DEA6-4C98-8239-1889FF81C16F}"/>
    <cellStyle name="Normal 3 4 6" xfId="36" xr:uid="{00000000-0005-0000-0000-00007D000000}"/>
    <cellStyle name="Normal 3 4 6 2" xfId="133" xr:uid="{00000000-0005-0000-0000-00007E000000}"/>
    <cellStyle name="Normal 3 4 7" xfId="40" xr:uid="{00000000-0005-0000-0000-00007F000000}"/>
    <cellStyle name="Normal 3 4 7 2" xfId="163" xr:uid="{00000000-0005-0000-0000-000080000000}"/>
    <cellStyle name="Normal 3 4 8" xfId="44" xr:uid="{00000000-0005-0000-0000-000081000000}"/>
    <cellStyle name="Normal 3 4 9" xfId="75" xr:uid="{00000000-0005-0000-0000-000082000000}"/>
    <cellStyle name="Normal 3 5" xfId="12" xr:uid="{00000000-0005-0000-0000-000083000000}"/>
    <cellStyle name="Normal 3 5 10" xfId="373" xr:uid="{EB8B3B1F-079D-4C94-BB06-2BD4931CEF4C}"/>
    <cellStyle name="Normal 3 5 11" xfId="416" xr:uid="{AF44DF8F-34F8-4991-A2FA-2A2EACE002A9}"/>
    <cellStyle name="Normal 3 5 12" xfId="463" xr:uid="{79631B6A-B31B-4DC0-873D-533355136D89}"/>
    <cellStyle name="Normal 3 5 2" xfId="53" xr:uid="{00000000-0005-0000-0000-000084000000}"/>
    <cellStyle name="Normal 3 5 2 2" xfId="140" xr:uid="{00000000-0005-0000-0000-000085000000}"/>
    <cellStyle name="Normal 3 5 3" xfId="82" xr:uid="{00000000-0005-0000-0000-000086000000}"/>
    <cellStyle name="Normal 3 5 3 2" xfId="170" xr:uid="{00000000-0005-0000-0000-000087000000}"/>
    <cellStyle name="Normal 3 5 4" xfId="111" xr:uid="{00000000-0005-0000-0000-000088000000}"/>
    <cellStyle name="Normal 3 5 5" xfId="199" xr:uid="{00000000-0005-0000-0000-000089000000}"/>
    <cellStyle name="Normal 3 5 6" xfId="228" xr:uid="{00000000-0005-0000-0000-00008A000000}"/>
    <cellStyle name="Normal 3 5 7" xfId="257" xr:uid="{F401FE6D-FE86-4178-8353-1721AFEED7B3}"/>
    <cellStyle name="Normal 3 5 8" xfId="289" xr:uid="{8096FE9F-0AB8-4447-84F4-DB870844ECCA}"/>
    <cellStyle name="Normal 3 5 9" xfId="331" xr:uid="{6EA8EEFF-EB62-483D-AE1F-AB085C35BF11}"/>
    <cellStyle name="Normal 3 6" xfId="14" xr:uid="{00000000-0005-0000-0000-00008B000000}"/>
    <cellStyle name="Normal 3 6 10" xfId="375" xr:uid="{FF5596BC-A52E-46E1-84A6-B4169D5D71EB}"/>
    <cellStyle name="Normal 3 6 11" xfId="418" xr:uid="{C4CA0022-D61D-48CF-8DDC-372C1E33771C}"/>
    <cellStyle name="Normal 3 6 12" xfId="465" xr:uid="{AB9E4698-2978-42A7-A6A9-2F0343F67F6E}"/>
    <cellStyle name="Normal 3 6 2" xfId="55" xr:uid="{00000000-0005-0000-0000-00008C000000}"/>
    <cellStyle name="Normal 3 6 2 2" xfId="142" xr:uid="{00000000-0005-0000-0000-00008D000000}"/>
    <cellStyle name="Normal 3 6 3" xfId="84" xr:uid="{00000000-0005-0000-0000-00008E000000}"/>
    <cellStyle name="Normal 3 6 3 2" xfId="172" xr:uid="{00000000-0005-0000-0000-00008F000000}"/>
    <cellStyle name="Normal 3 6 4" xfId="113" xr:uid="{00000000-0005-0000-0000-000090000000}"/>
    <cellStyle name="Normal 3 6 5" xfId="201" xr:uid="{00000000-0005-0000-0000-000091000000}"/>
    <cellStyle name="Normal 3 6 6" xfId="230" xr:uid="{00000000-0005-0000-0000-000092000000}"/>
    <cellStyle name="Normal 3 6 7" xfId="259" xr:uid="{BE1FD5A9-FF1A-45F0-8C33-9E3B5EEF4E78}"/>
    <cellStyle name="Normal 3 6 7 2" xfId="320" xr:uid="{4F5B20B2-9DC9-4B2B-A6A4-BFE37B9C95B0}"/>
    <cellStyle name="Normal 3 6 7 3" xfId="362" xr:uid="{686755E7-B7B0-4C7D-B7DE-C13EB6A7CDAC}"/>
    <cellStyle name="Normal 3 6 7 4" xfId="404" xr:uid="{E0A18CA4-F5B2-44DF-9543-6C02EEE78C4A}"/>
    <cellStyle name="Normal 3 6 7 5" xfId="447" xr:uid="{062DA352-EC83-4C7A-AB2D-62183EE90ACE}"/>
    <cellStyle name="Normal 3 6 7 6" xfId="494" xr:uid="{3CE2395E-0513-4E5F-AFEF-EA1C6DCFA7AE}"/>
    <cellStyle name="Normal 3 6 8" xfId="291" xr:uid="{192F601E-1760-41E6-A66A-939D9577A631}"/>
    <cellStyle name="Normal 3 6 9" xfId="333" xr:uid="{DEABE0B9-E87D-4400-BD56-13BFE90AACAF}"/>
    <cellStyle name="Normal 3 7" xfId="16" xr:uid="{00000000-0005-0000-0000-000093000000}"/>
    <cellStyle name="Normal 3 7 10" xfId="377" xr:uid="{31CA290B-1B4A-4D22-841A-5D0AB8F7F37C}"/>
    <cellStyle name="Normal 3 7 11" xfId="420" xr:uid="{4614010A-FFDD-41AC-8085-429BFCE56130}"/>
    <cellStyle name="Normal 3 7 12" xfId="467" xr:uid="{C0D490D1-E758-4E98-A1B1-14AD139B1C21}"/>
    <cellStyle name="Normal 3 7 2" xfId="57" xr:uid="{00000000-0005-0000-0000-000094000000}"/>
    <cellStyle name="Normal 3 7 2 2" xfId="144" xr:uid="{00000000-0005-0000-0000-000095000000}"/>
    <cellStyle name="Normal 3 7 3" xfId="86" xr:uid="{00000000-0005-0000-0000-000096000000}"/>
    <cellStyle name="Normal 3 7 3 2" xfId="174" xr:uid="{00000000-0005-0000-0000-000097000000}"/>
    <cellStyle name="Normal 3 7 4" xfId="115" xr:uid="{00000000-0005-0000-0000-000098000000}"/>
    <cellStyle name="Normal 3 7 5" xfId="203" xr:uid="{00000000-0005-0000-0000-000099000000}"/>
    <cellStyle name="Normal 3 7 6" xfId="232" xr:uid="{00000000-0005-0000-0000-00009A000000}"/>
    <cellStyle name="Normal 3 7 7" xfId="261" xr:uid="{AF4384E3-3E06-4834-9A49-1A3959108FEA}"/>
    <cellStyle name="Normal 3 7 8" xfId="293" xr:uid="{B909197F-49FD-4B70-8C00-1CAB2F61C4DC}"/>
    <cellStyle name="Normal 3 7 9" xfId="335" xr:uid="{0E26DCBF-A11F-4070-B6EC-5577524412BA}"/>
    <cellStyle name="Normal 3 8" xfId="18" xr:uid="{00000000-0005-0000-0000-00009B000000}"/>
    <cellStyle name="Normal 3 8 10" xfId="379" xr:uid="{ABC0E046-50BB-4AB2-829E-9E0230B14CE8}"/>
    <cellStyle name="Normal 3 8 11" xfId="422" xr:uid="{71111BF4-81AB-4BF7-AA26-AE155B69EAE6}"/>
    <cellStyle name="Normal 3 8 12" xfId="469" xr:uid="{6D1BB204-BA7E-4AA7-9022-790C7D53E5B9}"/>
    <cellStyle name="Normal 3 8 2" xfId="59" xr:uid="{00000000-0005-0000-0000-00009C000000}"/>
    <cellStyle name="Normal 3 8 2 2" xfId="146" xr:uid="{00000000-0005-0000-0000-00009D000000}"/>
    <cellStyle name="Normal 3 8 3" xfId="88" xr:uid="{00000000-0005-0000-0000-00009E000000}"/>
    <cellStyle name="Normal 3 8 3 2" xfId="176" xr:uid="{00000000-0005-0000-0000-00009F000000}"/>
    <cellStyle name="Normal 3 8 4" xfId="117" xr:uid="{00000000-0005-0000-0000-0000A0000000}"/>
    <cellStyle name="Normal 3 8 5" xfId="205" xr:uid="{00000000-0005-0000-0000-0000A1000000}"/>
    <cellStyle name="Normal 3 8 6" xfId="234" xr:uid="{00000000-0005-0000-0000-0000A2000000}"/>
    <cellStyle name="Normal 3 8 7" xfId="263" xr:uid="{C04D9A0F-7BC8-4C14-B5B6-59F82418C21B}"/>
    <cellStyle name="Normal 3 8 8" xfId="295" xr:uid="{73CA9FC2-87DF-467E-909E-250CABBA6AC6}"/>
    <cellStyle name="Normal 3 8 9" xfId="337" xr:uid="{69974BD9-7DAC-40B5-9783-CDD19C293691}"/>
    <cellStyle name="Normal 3 9" xfId="21" xr:uid="{00000000-0005-0000-0000-0000A3000000}"/>
    <cellStyle name="Normal 3 9 10" xfId="382" xr:uid="{558669F5-59B1-4B03-A1EB-EA6AF0B4468C}"/>
    <cellStyle name="Normal 3 9 11" xfId="425" xr:uid="{0FB75E3C-C409-4DF0-AA4D-06965D3AD049}"/>
    <cellStyle name="Normal 3 9 12" xfId="472" xr:uid="{6C8E9A6B-535D-44F9-9C83-DBB745994497}"/>
    <cellStyle name="Normal 3 9 2" xfId="62" xr:uid="{00000000-0005-0000-0000-0000A4000000}"/>
    <cellStyle name="Normal 3 9 2 2" xfId="149" xr:uid="{00000000-0005-0000-0000-0000A5000000}"/>
    <cellStyle name="Normal 3 9 3" xfId="91" xr:uid="{00000000-0005-0000-0000-0000A6000000}"/>
    <cellStyle name="Normal 3 9 3 2" xfId="179" xr:uid="{00000000-0005-0000-0000-0000A7000000}"/>
    <cellStyle name="Normal 3 9 4" xfId="120" xr:uid="{00000000-0005-0000-0000-0000A8000000}"/>
    <cellStyle name="Normal 3 9 5" xfId="208" xr:uid="{00000000-0005-0000-0000-0000A9000000}"/>
    <cellStyle name="Normal 3 9 6" xfId="237" xr:uid="{00000000-0005-0000-0000-0000AA000000}"/>
    <cellStyle name="Normal 3 9 7" xfId="266" xr:uid="{F074BC1B-A394-46DA-86CE-EBABC7557354}"/>
    <cellStyle name="Normal 3 9 8" xfId="298" xr:uid="{229B4D47-4AD3-4AA7-894E-806BB49B55FF}"/>
    <cellStyle name="Normal 3 9 9" xfId="340" xr:uid="{C528FDC3-5236-43D4-BD6E-44954EFE15D1}"/>
    <cellStyle name="Normal 4" xfId="7" xr:uid="{00000000-0005-0000-0000-0000AB000000}"/>
    <cellStyle name="Normal 4 10" xfId="370" xr:uid="{E12A8F33-CD41-402A-9E00-0773873A9B03}"/>
    <cellStyle name="Normal 4 11" xfId="413" xr:uid="{499EC253-7733-49A3-A05D-65DCB082A1F0}"/>
    <cellStyle name="Normal 4 12" xfId="460" xr:uid="{0555FB5A-BD13-4B1D-B288-97AB7EF0FBD9}"/>
    <cellStyle name="Normal 4 2" xfId="50" xr:uid="{00000000-0005-0000-0000-0000AC000000}"/>
    <cellStyle name="Normal 4 2 2" xfId="137" xr:uid="{00000000-0005-0000-0000-0000AD000000}"/>
    <cellStyle name="Normal 4 3" xfId="79" xr:uid="{00000000-0005-0000-0000-0000AE000000}"/>
    <cellStyle name="Normal 4 3 2" xfId="167" xr:uid="{00000000-0005-0000-0000-0000AF000000}"/>
    <cellStyle name="Normal 4 4" xfId="106" xr:uid="{00000000-0005-0000-0000-0000B0000000}"/>
    <cellStyle name="Normal 4 5" xfId="196" xr:uid="{00000000-0005-0000-0000-0000B1000000}"/>
    <cellStyle name="Normal 4 6" xfId="225" xr:uid="{00000000-0005-0000-0000-0000B2000000}"/>
    <cellStyle name="Normal 4 7" xfId="254" xr:uid="{196F1C77-B03F-4E4C-B3D5-57E661ACA1FC}"/>
    <cellStyle name="Normal 4 8" xfId="286" xr:uid="{DCE9731B-A90D-4515-944A-3EFA51AC8261}"/>
    <cellStyle name="Normal 4 9" xfId="328" xr:uid="{3441B984-259F-45BB-8EE0-8A79D27BBBF0}"/>
    <cellStyle name="Normal 5" xfId="9" xr:uid="{00000000-0005-0000-0000-0000B3000000}"/>
    <cellStyle name="Normal 5 10" xfId="193" xr:uid="{00000000-0005-0000-0000-0000B4000000}"/>
    <cellStyle name="Normal 5 11" xfId="222" xr:uid="{00000000-0005-0000-0000-0000B5000000}"/>
    <cellStyle name="Normal 5 12" xfId="251" xr:uid="{6C08FC2C-B2F0-48C0-9D52-B5F8DD3B088A}"/>
    <cellStyle name="Normal 5 13" xfId="283" xr:uid="{868AB0B4-8202-4C92-A54F-17C536A2F4C8}"/>
    <cellStyle name="Normal 5 14" xfId="325" xr:uid="{5899E1CD-D01B-4707-8A21-6964AE834540}"/>
    <cellStyle name="Normal 5 15" xfId="367" xr:uid="{6706A7EA-8313-433B-ABD6-490631B344B2}"/>
    <cellStyle name="Normal 5 16" xfId="410" xr:uid="{E2DF84F5-D6AA-4ACD-ABBE-7001AC7728A3}"/>
    <cellStyle name="Normal 5 17" xfId="457" xr:uid="{09626467-A715-420B-8F36-1A8E8291B5E1}"/>
    <cellStyle name="Normal 5 2" xfId="24" xr:uid="{00000000-0005-0000-0000-0000B6000000}"/>
    <cellStyle name="Normal 5 2 10" xfId="384" xr:uid="{7F649307-21E2-49BE-BBDA-3F5941C0A1B2}"/>
    <cellStyle name="Normal 5 2 11" xfId="427" xr:uid="{059AF18C-7791-4B3F-A7DB-9FE89A43E5CB}"/>
    <cellStyle name="Normal 5 2 12" xfId="474" xr:uid="{9C0999EF-3B33-4063-82B3-03DA62BFEDCD}"/>
    <cellStyle name="Normal 5 2 2" xfId="64" xr:uid="{00000000-0005-0000-0000-0000B7000000}"/>
    <cellStyle name="Normal 5 2 2 2" xfId="151" xr:uid="{00000000-0005-0000-0000-0000B8000000}"/>
    <cellStyle name="Normal 5 2 3" xfId="93" xr:uid="{00000000-0005-0000-0000-0000B9000000}"/>
    <cellStyle name="Normal 5 2 3 2" xfId="181" xr:uid="{00000000-0005-0000-0000-0000BA000000}"/>
    <cellStyle name="Normal 5 2 4" xfId="122" xr:uid="{00000000-0005-0000-0000-0000BB000000}"/>
    <cellStyle name="Normal 5 2 5" xfId="210" xr:uid="{00000000-0005-0000-0000-0000BC000000}"/>
    <cellStyle name="Normal 5 2 6" xfId="239" xr:uid="{00000000-0005-0000-0000-0000BD000000}"/>
    <cellStyle name="Normal 5 2 7" xfId="268" xr:uid="{60325D57-4C4F-4359-86D2-6E84851B6D35}"/>
    <cellStyle name="Normal 5 2 8" xfId="300" xr:uid="{7CF61615-6570-45BC-836A-ACACFAA8C90B}"/>
    <cellStyle name="Normal 5 2 9" xfId="342" xr:uid="{563EE733-9EC0-421D-B5EB-B048EB29BBB0}"/>
    <cellStyle name="Normal 5 3" xfId="29" xr:uid="{00000000-0005-0000-0000-0000BE000000}"/>
    <cellStyle name="Normal 5 3 10" xfId="388" xr:uid="{74F3013A-DDF5-4B79-BECC-910456D18D98}"/>
    <cellStyle name="Normal 5 3 11" xfId="431" xr:uid="{8750F0BF-768C-4E76-AC3F-DB52E12FE1B7}"/>
    <cellStyle name="Normal 5 3 12" xfId="478" xr:uid="{5B654859-A7C3-4431-AB90-25B21D32E047}"/>
    <cellStyle name="Normal 5 3 2" xfId="68" xr:uid="{00000000-0005-0000-0000-0000BF000000}"/>
    <cellStyle name="Normal 5 3 2 2" xfId="155" xr:uid="{00000000-0005-0000-0000-0000C0000000}"/>
    <cellStyle name="Normal 5 3 3" xfId="97" xr:uid="{00000000-0005-0000-0000-0000C1000000}"/>
    <cellStyle name="Normal 5 3 3 2" xfId="185" xr:uid="{00000000-0005-0000-0000-0000C2000000}"/>
    <cellStyle name="Normal 5 3 4" xfId="126" xr:uid="{00000000-0005-0000-0000-0000C3000000}"/>
    <cellStyle name="Normal 5 3 5" xfId="214" xr:uid="{00000000-0005-0000-0000-0000C4000000}"/>
    <cellStyle name="Normal 5 3 6" xfId="243" xr:uid="{00000000-0005-0000-0000-0000C5000000}"/>
    <cellStyle name="Normal 5 3 7" xfId="272" xr:uid="{F697A8BE-8F10-43DC-9880-00DB8B5E3273}"/>
    <cellStyle name="Normal 5 3 8" xfId="304" xr:uid="{759A9AFD-D4EF-44F0-8841-683884986863}"/>
    <cellStyle name="Normal 5 3 9" xfId="346" xr:uid="{EC4178DB-B994-402B-9120-009C47F3D94E}"/>
    <cellStyle name="Normal 5 4" xfId="33" xr:uid="{00000000-0005-0000-0000-0000C6000000}"/>
    <cellStyle name="Normal 5 4 10" xfId="392" xr:uid="{50D7AF02-4BEC-48E0-845E-DAE11FBD1317}"/>
    <cellStyle name="Normal 5 4 11" xfId="435" xr:uid="{2B37F0C9-9F2A-41AB-8A18-A1513A9B8CE6}"/>
    <cellStyle name="Normal 5 4 12" xfId="482" xr:uid="{F69DBD2D-9F2D-491E-B229-506DE874304F}"/>
    <cellStyle name="Normal 5 4 2" xfId="72" xr:uid="{00000000-0005-0000-0000-0000C7000000}"/>
    <cellStyle name="Normal 5 4 2 2" xfId="159" xr:uid="{00000000-0005-0000-0000-0000C8000000}"/>
    <cellStyle name="Normal 5 4 3" xfId="101" xr:uid="{00000000-0005-0000-0000-0000C9000000}"/>
    <cellStyle name="Normal 5 4 3 2" xfId="189" xr:uid="{00000000-0005-0000-0000-0000CA000000}"/>
    <cellStyle name="Normal 5 4 4" xfId="130" xr:uid="{00000000-0005-0000-0000-0000CB000000}"/>
    <cellStyle name="Normal 5 4 5" xfId="218" xr:uid="{00000000-0005-0000-0000-0000CC000000}"/>
    <cellStyle name="Normal 5 4 6" xfId="247" xr:uid="{00000000-0005-0000-0000-0000CD000000}"/>
    <cellStyle name="Normal 5 4 7" xfId="276" xr:uid="{50D01A17-5390-407A-A0EC-0505530A6D64}"/>
    <cellStyle name="Normal 5 4 8" xfId="308" xr:uid="{80D5468B-285F-453B-8DB5-7A46B3A76EAB}"/>
    <cellStyle name="Normal 5 4 9" xfId="350" xr:uid="{588E785A-CAE0-406C-9765-372D291E6362}"/>
    <cellStyle name="Normal 5 5" xfId="37" xr:uid="{00000000-0005-0000-0000-0000CE000000}"/>
    <cellStyle name="Normal 5 5 2" xfId="134" xr:uid="{00000000-0005-0000-0000-0000CF000000}"/>
    <cellStyle name="Normal 5 6" xfId="41" xr:uid="{00000000-0005-0000-0000-0000D0000000}"/>
    <cellStyle name="Normal 5 6 2" xfId="164" xr:uid="{00000000-0005-0000-0000-0000D1000000}"/>
    <cellStyle name="Normal 5 7" xfId="45" xr:uid="{00000000-0005-0000-0000-0000D2000000}"/>
    <cellStyle name="Normal 5 8" xfId="76" xr:uid="{00000000-0005-0000-0000-0000D3000000}"/>
    <cellStyle name="Normal 5 9" xfId="108" xr:uid="{00000000-0005-0000-0000-0000D4000000}"/>
    <cellStyle name="Normal 6" xfId="11" xr:uid="{00000000-0005-0000-0000-0000D5000000}"/>
    <cellStyle name="Normal 6 10" xfId="372" xr:uid="{360596A5-508E-4333-9D29-EBA4D7BBAE72}"/>
    <cellStyle name="Normal 6 11" xfId="415" xr:uid="{B357EFC6-A03F-4284-98D3-67089C494A9A}"/>
    <cellStyle name="Normal 6 12" xfId="462" xr:uid="{5ED16784-6208-4759-BDA9-2E3F12ABC1C2}"/>
    <cellStyle name="Normal 6 2" xfId="52" xr:uid="{00000000-0005-0000-0000-0000D6000000}"/>
    <cellStyle name="Normal 6 2 2" xfId="139" xr:uid="{00000000-0005-0000-0000-0000D7000000}"/>
    <cellStyle name="Normal 6 3" xfId="81" xr:uid="{00000000-0005-0000-0000-0000D8000000}"/>
    <cellStyle name="Normal 6 3 2" xfId="169" xr:uid="{00000000-0005-0000-0000-0000D9000000}"/>
    <cellStyle name="Normal 6 4" xfId="110" xr:uid="{00000000-0005-0000-0000-0000DA000000}"/>
    <cellStyle name="Normal 6 5" xfId="198" xr:uid="{00000000-0005-0000-0000-0000DB000000}"/>
    <cellStyle name="Normal 6 6" xfId="227" xr:uid="{00000000-0005-0000-0000-0000DC000000}"/>
    <cellStyle name="Normal 6 7" xfId="256" xr:uid="{BBD0723F-5912-4A86-8847-673D4F30E01A}"/>
    <cellStyle name="Normal 6 8" xfId="288" xr:uid="{D4E5CE17-BF10-4A96-A83C-875DE6149EB0}"/>
    <cellStyle name="Normal 6 9" xfId="330" xr:uid="{5DC57A13-6227-4BAF-AEAD-76159053D7F0}"/>
    <cellStyle name="Normal 7" xfId="13" xr:uid="{00000000-0005-0000-0000-0000DD000000}"/>
    <cellStyle name="Normal 7 10" xfId="374" xr:uid="{B2FC0763-3333-46EE-8445-3F09565B4A9E}"/>
    <cellStyle name="Normal 7 11" xfId="417" xr:uid="{30754FA7-CBB2-4992-8A7B-2B28269BDE7C}"/>
    <cellStyle name="Normal 7 12" xfId="464" xr:uid="{A1A7E03C-F36C-4F23-AB55-01D50E04D187}"/>
    <cellStyle name="Normal 7 2" xfId="54" xr:uid="{00000000-0005-0000-0000-0000DE000000}"/>
    <cellStyle name="Normal 7 2 2" xfId="141" xr:uid="{00000000-0005-0000-0000-0000DF000000}"/>
    <cellStyle name="Normal 7 2 3" xfId="279" xr:uid="{4BEA2419-81D5-4CEA-BB3A-B1F9BC55677E}"/>
    <cellStyle name="Normal 7 2 4" xfId="311" xr:uid="{9942589C-1EE9-4F54-9928-BF213C63BADB}"/>
    <cellStyle name="Normal 7 2 5" xfId="353" xr:uid="{C6797FEF-7D97-4555-9960-7DBEEB733193}"/>
    <cellStyle name="Normal 7 2 6" xfId="395" xr:uid="{6825F549-FD06-40EB-A46C-274228023E0F}"/>
    <cellStyle name="Normal 7 2 7" xfId="438" xr:uid="{7466C16B-FB15-4D14-8AC7-A8D4A8914D47}"/>
    <cellStyle name="Normal 7 2 8" xfId="485" xr:uid="{D30CCA7B-EC53-4A12-A917-C5E9B1CAB2D0}"/>
    <cellStyle name="Normal 7 3" xfId="83" xr:uid="{00000000-0005-0000-0000-0000E0000000}"/>
    <cellStyle name="Normal 7 3 2" xfId="171" xr:uid="{00000000-0005-0000-0000-0000E1000000}"/>
    <cellStyle name="Normal 7 3 3" xfId="313" xr:uid="{78ADF096-AD6D-4330-81AC-A5B8EA28FCD5}"/>
    <cellStyle name="Normal 7 3 4" xfId="355" xr:uid="{8E9B2C3E-BF76-4A94-97E2-757D0CA9BFD0}"/>
    <cellStyle name="Normal 7 3 5" xfId="397" xr:uid="{310DEE5B-045F-4F19-8994-1AC5F4907CA6}"/>
    <cellStyle name="Normal 7 3 6" xfId="440" xr:uid="{FE9CF9F2-8BFE-4D2B-9B45-83C024E0275C}"/>
    <cellStyle name="Normal 7 3 7" xfId="487" xr:uid="{7AB3059D-5A31-4F55-A5B4-86DAA7A976C6}"/>
    <cellStyle name="Normal 7 4" xfId="112" xr:uid="{00000000-0005-0000-0000-0000E2000000}"/>
    <cellStyle name="Normal 7 5" xfId="200" xr:uid="{00000000-0005-0000-0000-0000E3000000}"/>
    <cellStyle name="Normal 7 6" xfId="229" xr:uid="{00000000-0005-0000-0000-0000E4000000}"/>
    <cellStyle name="Normal 7 7" xfId="258" xr:uid="{13ED7DEA-8472-481C-928B-E83EED990F0F}"/>
    <cellStyle name="Normal 7 8" xfId="290" xr:uid="{0EB61A5E-0DE3-47D3-B616-11D65C917FFB}"/>
    <cellStyle name="Normal 7 9" xfId="332" xr:uid="{E2D38C32-65BD-4A48-915A-74D687F9749B}"/>
    <cellStyle name="Normal 8" xfId="15" xr:uid="{00000000-0005-0000-0000-0000E5000000}"/>
    <cellStyle name="Normal 8 10" xfId="376" xr:uid="{D2304309-2564-4E61-AF1D-570891B5A473}"/>
    <cellStyle name="Normal 8 11" xfId="419" xr:uid="{868DF0A2-7774-4954-BE9F-8F155A2B7E29}"/>
    <cellStyle name="Normal 8 12" xfId="466" xr:uid="{08321F0D-02BA-4DB9-89AF-3EE094926EAC}"/>
    <cellStyle name="Normal 8 2" xfId="56" xr:uid="{00000000-0005-0000-0000-0000E6000000}"/>
    <cellStyle name="Normal 8 2 2" xfId="143" xr:uid="{00000000-0005-0000-0000-0000E7000000}"/>
    <cellStyle name="Normal 8 3" xfId="85" xr:uid="{00000000-0005-0000-0000-0000E8000000}"/>
    <cellStyle name="Normal 8 3 2" xfId="173" xr:uid="{00000000-0005-0000-0000-0000E9000000}"/>
    <cellStyle name="Normal 8 4" xfId="114" xr:uid="{00000000-0005-0000-0000-0000EA000000}"/>
    <cellStyle name="Normal 8 5" xfId="202" xr:uid="{00000000-0005-0000-0000-0000EB000000}"/>
    <cellStyle name="Normal 8 6" xfId="231" xr:uid="{00000000-0005-0000-0000-0000EC000000}"/>
    <cellStyle name="Normal 8 7" xfId="260" xr:uid="{63DB1E19-EFCD-4F8D-87EF-B8D5136DBAB6}"/>
    <cellStyle name="Normal 8 8" xfId="292" xr:uid="{9832ADA7-FD7B-43E2-9EF3-B535EAD2D9C1}"/>
    <cellStyle name="Normal 8 9" xfId="334" xr:uid="{24BDA423-44EB-437B-A2BD-7A07457DE7E6}"/>
    <cellStyle name="Normal 9" xfId="17" xr:uid="{00000000-0005-0000-0000-0000ED000000}"/>
    <cellStyle name="Normal 9 10" xfId="378" xr:uid="{5B6A0151-27A6-437B-9457-1A72C8AF9D60}"/>
    <cellStyle name="Normal 9 11" xfId="421" xr:uid="{C4F6C5EE-2118-4C45-90C9-BB6171C9AB16}"/>
    <cellStyle name="Normal 9 12" xfId="468" xr:uid="{627974A8-330E-4A57-85B9-5FBC00FBF82A}"/>
    <cellStyle name="Normal 9 2" xfId="58" xr:uid="{00000000-0005-0000-0000-0000EE000000}"/>
    <cellStyle name="Normal 9 2 2" xfId="145" xr:uid="{00000000-0005-0000-0000-0000EF000000}"/>
    <cellStyle name="Normal 9 3" xfId="87" xr:uid="{00000000-0005-0000-0000-0000F0000000}"/>
    <cellStyle name="Normal 9 3 2" xfId="175" xr:uid="{00000000-0005-0000-0000-0000F1000000}"/>
    <cellStyle name="Normal 9 4" xfId="116" xr:uid="{00000000-0005-0000-0000-0000F2000000}"/>
    <cellStyle name="Normal 9 5" xfId="204" xr:uid="{00000000-0005-0000-0000-0000F3000000}"/>
    <cellStyle name="Normal 9 6" xfId="233" xr:uid="{00000000-0005-0000-0000-0000F4000000}"/>
    <cellStyle name="Normal 9 7" xfId="262" xr:uid="{095EF2AD-34AE-43A0-96B9-704EB0FB368E}"/>
    <cellStyle name="Normal 9 8" xfId="294" xr:uid="{8B33CDCC-1A0A-4E9F-BEFD-D0019C476A84}"/>
    <cellStyle name="Normal 9 9" xfId="336" xr:uid="{681ED0C2-802A-496E-91F3-D560043CB229}"/>
    <cellStyle name="Normal_CSW9912A" xfId="1" xr:uid="{00000000-0005-0000-0000-0000F5000000}"/>
    <cellStyle name="Standard 2 2" xfId="2" xr:uid="{00000000-0005-0000-0000-0000F6000000}"/>
    <cellStyle name="千位分隔 2" xfId="317" xr:uid="{89C5A051-FC10-495F-88A4-16EC75682DE1}"/>
    <cellStyle name="千位分隔 2 2" xfId="359" xr:uid="{10348F9B-EC04-4402-B728-28300B2A801F}"/>
    <cellStyle name="千位分隔 2 3" xfId="401" xr:uid="{94DB5938-91F3-47B9-B37F-C9E9C1694A86}"/>
    <cellStyle name="千位分隔 2 4" xfId="444" xr:uid="{D8773027-4DD5-465A-BFBB-BC0809F41CB9}"/>
    <cellStyle name="千位分隔 2 5" xfId="491" xr:uid="{334D9205-FF27-4B8F-AD47-5221366D27C5}"/>
    <cellStyle name="常规 2" xfId="314" xr:uid="{138E08EF-F3A5-493E-9B0B-23780C091368}"/>
    <cellStyle name="常规 2 2" xfId="356" xr:uid="{548F0733-8180-4CF6-A074-8A98D2DA2A3F}"/>
    <cellStyle name="常规 2 3" xfId="398" xr:uid="{7F294951-6E76-478D-9ADD-8BA7BF8D7E05}"/>
    <cellStyle name="常规 2 4" xfId="441" xr:uid="{07F2E3A0-9BE9-4BB4-82A6-4CCC7D62F462}"/>
    <cellStyle name="常规 2 5" xfId="488" xr:uid="{2207A5C5-1408-4104-9943-73F6CFEAA6AC}"/>
    <cellStyle name="常规 3" xfId="315" xr:uid="{4EA758E2-B42B-4EEA-9489-A3BB238F9474}"/>
    <cellStyle name="常规 3 2" xfId="357" xr:uid="{E0309C2B-EB9B-49E2-8B4A-3302F39EFC94}"/>
    <cellStyle name="常规 3 3" xfId="399" xr:uid="{C3322B8A-D952-4780-8BE0-9FF6CBA10437}"/>
    <cellStyle name="常规 3 4" xfId="442" xr:uid="{6630BB7D-ED70-406D-8C9D-0A002070A413}"/>
    <cellStyle name="常规 3 5" xfId="489" xr:uid="{3D836ECE-4D00-494B-9B28-70302FC83A7B}"/>
    <cellStyle name="常规 4" xfId="46" xr:uid="{00000000-0005-0000-0000-0000F7000000}"/>
  </cellStyles>
  <dxfs count="0"/>
  <tableStyles count="0" defaultTableStyle="TableStyleMedium2" defaultPivotStyle="PivotStyleLight16"/>
  <colors>
    <mruColors>
      <color rgb="FFCC0066"/>
      <color rgb="FFBD0096"/>
      <color rgb="FFFF00FF"/>
      <color rgb="FFFF66FF"/>
      <color rgb="FFFF3399"/>
      <color rgb="FFFF99FF"/>
      <color rgb="FFCC33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3399"/>
  </sheetPr>
  <dimension ref="A1:AL123"/>
  <sheetViews>
    <sheetView zoomScale="70" zoomScaleNormal="71" zoomScaleSheetLayoutView="90" workbookViewId="0">
      <pane xSplit="2" topLeftCell="C1" activePane="topRight" state="frozen"/>
      <selection pane="topRight" activeCell="E20" sqref="E20"/>
    </sheetView>
  </sheetViews>
  <sheetFormatPr defaultColWidth="14.453125" defaultRowHeight="14.5"/>
  <cols>
    <col min="1" max="1" width="44.81640625" style="9" customWidth="1"/>
    <col min="2" max="2" width="24" style="5" customWidth="1"/>
    <col min="3" max="8" width="13.54296875" style="4" customWidth="1"/>
    <col min="9" max="38" width="12.1796875" style="4" customWidth="1"/>
    <col min="39" max="39" width="14.453125" style="4" customWidth="1"/>
    <col min="40" max="16384" width="14.453125" style="4"/>
  </cols>
  <sheetData>
    <row r="1" spans="1:38" ht="21.65" customHeight="1">
      <c r="A1" s="12" t="s">
        <v>123</v>
      </c>
      <c r="B1" s="3"/>
      <c r="C1" s="121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D1" s="120"/>
      <c r="AE1" s="120"/>
      <c r="AF1" s="120"/>
      <c r="AG1" s="120"/>
    </row>
    <row r="2" spans="1:38" ht="14.25" customHeight="1">
      <c r="A2" s="10"/>
      <c r="B2" s="3"/>
      <c r="C2" s="277" t="s">
        <v>311</v>
      </c>
      <c r="D2" s="277"/>
      <c r="E2" s="185"/>
      <c r="F2" s="278" t="s">
        <v>312</v>
      </c>
      <c r="G2" s="279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D2" s="120"/>
      <c r="AE2" s="120"/>
      <c r="AF2" s="120"/>
      <c r="AG2" s="120"/>
    </row>
    <row r="3" spans="1:38" ht="14.25" customHeight="1">
      <c r="B3" s="3"/>
      <c r="C3" s="177" t="s">
        <v>0</v>
      </c>
      <c r="D3" s="177" t="s">
        <v>1</v>
      </c>
      <c r="F3" s="177" t="s">
        <v>0</v>
      </c>
      <c r="G3" s="177" t="s">
        <v>1</v>
      </c>
      <c r="AD3" s="120"/>
      <c r="AE3" s="120"/>
      <c r="AF3" s="120"/>
      <c r="AG3" s="120"/>
    </row>
    <row r="4" spans="1:38">
      <c r="A4" s="287" t="s">
        <v>2</v>
      </c>
      <c r="B4" s="287"/>
      <c r="C4" s="248" t="s">
        <v>465</v>
      </c>
      <c r="D4" s="248" t="s">
        <v>466</v>
      </c>
      <c r="E4" s="7"/>
      <c r="F4" s="114" t="str">
        <f>C4</f>
        <v>2026-08-01</v>
      </c>
      <c r="G4" s="114" t="str">
        <f>D4</f>
        <v>2026-08-07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22"/>
      <c r="V4" s="7"/>
      <c r="W4" s="7"/>
      <c r="X4" s="7"/>
      <c r="Y4" s="7"/>
      <c r="Z4" s="7"/>
      <c r="AD4" s="120"/>
      <c r="AE4" s="120"/>
      <c r="AF4" s="120"/>
      <c r="AG4" s="120"/>
    </row>
    <row r="5" spans="1:38" ht="14.25" customHeight="1">
      <c r="C5" s="8"/>
      <c r="D5" s="8"/>
      <c r="E5" s="7"/>
      <c r="F5" s="7"/>
      <c r="G5" s="7"/>
      <c r="H5" s="7"/>
      <c r="I5" s="135" t="s">
        <v>289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V5" s="7"/>
      <c r="W5" s="7"/>
      <c r="X5" s="7"/>
      <c r="Y5" s="7"/>
      <c r="Z5" s="7"/>
      <c r="AD5" s="120"/>
      <c r="AE5" s="120"/>
      <c r="AF5" s="120"/>
      <c r="AG5" s="120"/>
    </row>
    <row r="6" spans="1:38" s="9" customFormat="1" ht="14.25" customHeight="1">
      <c r="A6" s="296" t="s">
        <v>311</v>
      </c>
      <c r="B6" s="296"/>
      <c r="C6" s="300" t="s">
        <v>36</v>
      </c>
      <c r="D6" s="300"/>
      <c r="E6" s="300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0"/>
      <c r="AB6" s="300"/>
      <c r="AC6" s="300"/>
      <c r="AD6" s="301"/>
      <c r="AE6" s="301"/>
      <c r="AF6" s="301"/>
      <c r="AG6" s="301"/>
      <c r="AH6" s="301"/>
      <c r="AI6" s="301"/>
      <c r="AJ6" s="301"/>
      <c r="AK6" s="301"/>
      <c r="AL6" s="301"/>
    </row>
    <row r="7" spans="1:38" s="9" customFormat="1" ht="14.25" customHeight="1">
      <c r="A7" s="296"/>
      <c r="B7" s="296"/>
      <c r="C7" s="288" t="s">
        <v>81</v>
      </c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</row>
    <row r="8" spans="1:38" s="9" customFormat="1" ht="30.65" customHeight="1">
      <c r="A8" s="296"/>
      <c r="B8" s="296"/>
      <c r="C8" s="289" t="s">
        <v>33</v>
      </c>
      <c r="D8" s="288"/>
      <c r="E8" s="288"/>
      <c r="F8" s="271" t="s">
        <v>146</v>
      </c>
      <c r="G8" s="271"/>
      <c r="H8" s="271"/>
      <c r="I8" s="272" t="s">
        <v>147</v>
      </c>
      <c r="J8" s="273"/>
      <c r="K8" s="274"/>
      <c r="L8" s="272" t="s">
        <v>148</v>
      </c>
      <c r="M8" s="273"/>
      <c r="N8" s="274"/>
      <c r="O8" s="272" t="s">
        <v>150</v>
      </c>
      <c r="P8" s="273"/>
      <c r="Q8" s="274"/>
      <c r="R8" s="271" t="s">
        <v>132</v>
      </c>
      <c r="S8" s="271"/>
      <c r="T8" s="271"/>
      <c r="U8" s="271" t="s">
        <v>152</v>
      </c>
      <c r="V8" s="271"/>
      <c r="W8" s="271"/>
      <c r="X8" s="271" t="s">
        <v>149</v>
      </c>
      <c r="Y8" s="271"/>
      <c r="Z8" s="271"/>
      <c r="AA8" s="275" t="s">
        <v>83</v>
      </c>
      <c r="AB8" s="275"/>
      <c r="AC8" s="275"/>
      <c r="AD8" s="276" t="s">
        <v>91</v>
      </c>
      <c r="AE8" s="275"/>
      <c r="AF8" s="275"/>
      <c r="AG8" s="276" t="s">
        <v>89</v>
      </c>
      <c r="AH8" s="275"/>
      <c r="AI8" s="275"/>
      <c r="AJ8" s="276" t="s">
        <v>102</v>
      </c>
      <c r="AK8" s="275"/>
      <c r="AL8" s="275"/>
    </row>
    <row r="9" spans="1:38" s="9" customFormat="1" ht="30.65" customHeight="1">
      <c r="A9" s="296"/>
      <c r="B9" s="296"/>
      <c r="C9" s="254" t="s">
        <v>82</v>
      </c>
      <c r="D9" s="254"/>
      <c r="E9" s="254"/>
      <c r="F9" s="255" t="s">
        <v>126</v>
      </c>
      <c r="G9" s="254"/>
      <c r="H9" s="254"/>
      <c r="I9" s="256" t="s">
        <v>98</v>
      </c>
      <c r="J9" s="257"/>
      <c r="K9" s="258"/>
      <c r="L9" s="256" t="s">
        <v>187</v>
      </c>
      <c r="M9" s="257"/>
      <c r="N9" s="258"/>
      <c r="O9" s="256" t="s">
        <v>188</v>
      </c>
      <c r="P9" s="257"/>
      <c r="Q9" s="258"/>
      <c r="R9" s="255" t="s">
        <v>133</v>
      </c>
      <c r="S9" s="254"/>
      <c r="T9" s="254"/>
      <c r="U9" s="256" t="s">
        <v>336</v>
      </c>
      <c r="V9" s="257"/>
      <c r="W9" s="258"/>
      <c r="X9" s="256" t="s">
        <v>308</v>
      </c>
      <c r="Y9" s="257"/>
      <c r="Z9" s="258"/>
      <c r="AA9" s="251" t="s">
        <v>34</v>
      </c>
      <c r="AB9" s="252"/>
      <c r="AC9" s="253"/>
      <c r="AD9" s="251" t="s">
        <v>104</v>
      </c>
      <c r="AE9" s="252"/>
      <c r="AF9" s="253"/>
      <c r="AG9" s="251" t="s">
        <v>223</v>
      </c>
      <c r="AH9" s="252"/>
      <c r="AI9" s="253"/>
      <c r="AJ9" s="251" t="s">
        <v>224</v>
      </c>
      <c r="AK9" s="252"/>
      <c r="AL9" s="253"/>
    </row>
    <row r="10" spans="1:38" ht="14.25" customHeight="1">
      <c r="A10" s="183" t="s">
        <v>37</v>
      </c>
      <c r="B10" s="184" t="s">
        <v>35</v>
      </c>
      <c r="C10" s="28" t="s">
        <v>38</v>
      </c>
      <c r="D10" s="28" t="s">
        <v>39</v>
      </c>
      <c r="E10" s="28" t="s">
        <v>40</v>
      </c>
      <c r="F10" s="28" t="s">
        <v>38</v>
      </c>
      <c r="G10" s="28" t="s">
        <v>39</v>
      </c>
      <c r="H10" s="28" t="s">
        <v>40</v>
      </c>
      <c r="I10" s="28" t="s">
        <v>38</v>
      </c>
      <c r="J10" s="28" t="s">
        <v>39</v>
      </c>
      <c r="K10" s="28" t="s">
        <v>40</v>
      </c>
      <c r="L10" s="28" t="s">
        <v>38</v>
      </c>
      <c r="M10" s="28" t="s">
        <v>39</v>
      </c>
      <c r="N10" s="28" t="s">
        <v>40</v>
      </c>
      <c r="O10" s="28" t="s">
        <v>38</v>
      </c>
      <c r="P10" s="28" t="s">
        <v>39</v>
      </c>
      <c r="Q10" s="28" t="s">
        <v>40</v>
      </c>
      <c r="R10" s="28" t="s">
        <v>38</v>
      </c>
      <c r="S10" s="28" t="s">
        <v>39</v>
      </c>
      <c r="T10" s="28" t="s">
        <v>40</v>
      </c>
      <c r="U10" s="28" t="s">
        <v>38</v>
      </c>
      <c r="V10" s="28" t="s">
        <v>39</v>
      </c>
      <c r="W10" s="28" t="s">
        <v>40</v>
      </c>
      <c r="X10" s="28" t="s">
        <v>38</v>
      </c>
      <c r="Y10" s="28" t="s">
        <v>39</v>
      </c>
      <c r="Z10" s="28" t="s">
        <v>40</v>
      </c>
      <c r="AA10" s="28" t="s">
        <v>38</v>
      </c>
      <c r="AB10" s="28" t="s">
        <v>39</v>
      </c>
      <c r="AC10" s="28" t="s">
        <v>40</v>
      </c>
      <c r="AD10" s="28" t="s">
        <v>38</v>
      </c>
      <c r="AE10" s="28" t="s">
        <v>39</v>
      </c>
      <c r="AF10" s="28" t="s">
        <v>40</v>
      </c>
      <c r="AG10" s="28" t="s">
        <v>38</v>
      </c>
      <c r="AH10" s="28" t="s">
        <v>39</v>
      </c>
      <c r="AI10" s="28" t="s">
        <v>40</v>
      </c>
      <c r="AJ10" s="28" t="s">
        <v>38</v>
      </c>
      <c r="AK10" s="28" t="s">
        <v>39</v>
      </c>
      <c r="AL10" s="28" t="s">
        <v>40</v>
      </c>
    </row>
    <row r="11" spans="1:38" ht="14.25" customHeight="1">
      <c r="A11" s="115" t="s">
        <v>259</v>
      </c>
      <c r="B11" s="86" t="s">
        <v>243</v>
      </c>
      <c r="C11" s="158">
        <v>5700</v>
      </c>
      <c r="D11" s="158">
        <v>6000</v>
      </c>
      <c r="E11" s="158">
        <v>6000</v>
      </c>
      <c r="F11" s="158">
        <v>5700</v>
      </c>
      <c r="G11" s="158">
        <v>6000</v>
      </c>
      <c r="H11" s="158">
        <v>6000</v>
      </c>
      <c r="I11" s="158">
        <v>5800</v>
      </c>
      <c r="J11" s="158">
        <v>6000</v>
      </c>
      <c r="K11" s="158">
        <v>6000</v>
      </c>
      <c r="L11" s="158">
        <v>5800</v>
      </c>
      <c r="M11" s="158">
        <v>6000</v>
      </c>
      <c r="N11" s="158">
        <v>6000</v>
      </c>
      <c r="O11" s="158">
        <v>5800</v>
      </c>
      <c r="P11" s="158">
        <v>6000</v>
      </c>
      <c r="Q11" s="158">
        <v>6000</v>
      </c>
      <c r="R11" s="158">
        <v>5800</v>
      </c>
      <c r="S11" s="158">
        <v>6000</v>
      </c>
      <c r="T11" s="158">
        <v>6000</v>
      </c>
      <c r="U11" s="158">
        <v>5700</v>
      </c>
      <c r="V11" s="158">
        <v>6000</v>
      </c>
      <c r="W11" s="158">
        <v>6000</v>
      </c>
      <c r="X11" s="158">
        <v>5700</v>
      </c>
      <c r="Y11" s="158">
        <v>6000</v>
      </c>
      <c r="Z11" s="158">
        <v>6000</v>
      </c>
      <c r="AA11" s="158">
        <v>6800</v>
      </c>
      <c r="AB11" s="158">
        <v>7300</v>
      </c>
      <c r="AC11" s="158">
        <v>7300</v>
      </c>
      <c r="AD11" s="158">
        <v>6600</v>
      </c>
      <c r="AE11" s="158">
        <v>6800</v>
      </c>
      <c r="AF11" s="158">
        <v>6800</v>
      </c>
      <c r="AG11" s="158">
        <v>6600</v>
      </c>
      <c r="AH11" s="158">
        <v>6800</v>
      </c>
      <c r="AI11" s="158">
        <v>6800</v>
      </c>
      <c r="AJ11" s="158">
        <v>6600</v>
      </c>
      <c r="AK11" s="158">
        <v>6800</v>
      </c>
      <c r="AL11" s="158">
        <v>6800</v>
      </c>
    </row>
    <row r="12" spans="1:38" ht="14.25" customHeight="1">
      <c r="A12" s="115" t="s">
        <v>6</v>
      </c>
      <c r="B12" s="167" t="s">
        <v>48</v>
      </c>
      <c r="C12" s="158">
        <v>5700</v>
      </c>
      <c r="D12" s="158">
        <v>6000</v>
      </c>
      <c r="E12" s="158">
        <v>6000</v>
      </c>
      <c r="F12" s="158">
        <v>5700</v>
      </c>
      <c r="G12" s="158">
        <v>6000</v>
      </c>
      <c r="H12" s="158">
        <v>6000</v>
      </c>
      <c r="I12" s="158">
        <v>5800</v>
      </c>
      <c r="J12" s="158">
        <v>6000</v>
      </c>
      <c r="K12" s="158">
        <v>6000</v>
      </c>
      <c r="L12" s="158">
        <v>5800</v>
      </c>
      <c r="M12" s="158">
        <v>6000</v>
      </c>
      <c r="N12" s="158">
        <v>6000</v>
      </c>
      <c r="O12" s="158">
        <v>5800</v>
      </c>
      <c r="P12" s="158">
        <v>6000</v>
      </c>
      <c r="Q12" s="158">
        <v>6000</v>
      </c>
      <c r="R12" s="158">
        <v>5800</v>
      </c>
      <c r="S12" s="158">
        <v>6000</v>
      </c>
      <c r="T12" s="158">
        <v>6000</v>
      </c>
      <c r="U12" s="158">
        <v>5700</v>
      </c>
      <c r="V12" s="158">
        <v>6000</v>
      </c>
      <c r="W12" s="158">
        <v>6000</v>
      </c>
      <c r="X12" s="158">
        <v>5700</v>
      </c>
      <c r="Y12" s="158">
        <v>6000</v>
      </c>
      <c r="Z12" s="158">
        <v>6000</v>
      </c>
      <c r="AA12" s="158">
        <v>6800</v>
      </c>
      <c r="AB12" s="158">
        <v>7300</v>
      </c>
      <c r="AC12" s="158">
        <v>7300</v>
      </c>
      <c r="AD12" s="158">
        <v>6600</v>
      </c>
      <c r="AE12" s="158">
        <v>6800</v>
      </c>
      <c r="AF12" s="158">
        <v>6800</v>
      </c>
      <c r="AG12" s="158">
        <v>6600</v>
      </c>
      <c r="AH12" s="158">
        <v>6800</v>
      </c>
      <c r="AI12" s="158">
        <v>6800</v>
      </c>
      <c r="AJ12" s="158">
        <v>6600</v>
      </c>
      <c r="AK12" s="158">
        <v>6800</v>
      </c>
      <c r="AL12" s="158">
        <v>6800</v>
      </c>
    </row>
    <row r="13" spans="1:38" ht="14.25" customHeight="1">
      <c r="A13" s="87" t="s">
        <v>15</v>
      </c>
      <c r="B13" s="88" t="s">
        <v>50</v>
      </c>
      <c r="C13" s="159">
        <v>5750</v>
      </c>
      <c r="D13" s="159">
        <v>6100</v>
      </c>
      <c r="E13" s="159">
        <v>6100</v>
      </c>
      <c r="F13" s="159">
        <v>5750</v>
      </c>
      <c r="G13" s="159">
        <v>6100</v>
      </c>
      <c r="H13" s="159">
        <v>6100</v>
      </c>
      <c r="I13" s="159">
        <v>5850</v>
      </c>
      <c r="J13" s="159">
        <v>6100</v>
      </c>
      <c r="K13" s="159">
        <v>6100</v>
      </c>
      <c r="L13" s="159">
        <v>5850</v>
      </c>
      <c r="M13" s="159">
        <v>6100</v>
      </c>
      <c r="N13" s="159">
        <v>6100</v>
      </c>
      <c r="O13" s="159">
        <v>5850</v>
      </c>
      <c r="P13" s="159">
        <v>6100</v>
      </c>
      <c r="Q13" s="159">
        <v>6100</v>
      </c>
      <c r="R13" s="159">
        <v>5850</v>
      </c>
      <c r="S13" s="159">
        <v>6100</v>
      </c>
      <c r="T13" s="159">
        <v>6100</v>
      </c>
      <c r="U13" s="159">
        <v>5750</v>
      </c>
      <c r="V13" s="159">
        <v>6100</v>
      </c>
      <c r="W13" s="159">
        <v>6100</v>
      </c>
      <c r="X13" s="159">
        <v>5750</v>
      </c>
      <c r="Y13" s="159">
        <v>6100</v>
      </c>
      <c r="Z13" s="159">
        <v>6100</v>
      </c>
      <c r="AA13" s="159">
        <v>6850</v>
      </c>
      <c r="AB13" s="159">
        <v>7400</v>
      </c>
      <c r="AC13" s="159">
        <v>7400</v>
      </c>
      <c r="AD13" s="159">
        <v>6650</v>
      </c>
      <c r="AE13" s="159">
        <v>6900</v>
      </c>
      <c r="AF13" s="159">
        <v>6900</v>
      </c>
      <c r="AG13" s="159">
        <v>6650</v>
      </c>
      <c r="AH13" s="159">
        <v>6900</v>
      </c>
      <c r="AI13" s="159">
        <v>6900</v>
      </c>
      <c r="AJ13" s="159">
        <v>6650</v>
      </c>
      <c r="AK13" s="159">
        <v>6900</v>
      </c>
      <c r="AL13" s="159">
        <v>6900</v>
      </c>
    </row>
    <row r="14" spans="1:38" ht="14.25" customHeight="1">
      <c r="A14" s="87" t="s">
        <v>4</v>
      </c>
      <c r="B14" s="88" t="s">
        <v>70</v>
      </c>
      <c r="C14" s="159">
        <v>5750</v>
      </c>
      <c r="D14" s="159">
        <v>6000</v>
      </c>
      <c r="E14" s="159">
        <v>6000</v>
      </c>
      <c r="F14" s="159">
        <v>5750</v>
      </c>
      <c r="G14" s="159">
        <v>6000</v>
      </c>
      <c r="H14" s="159">
        <v>6000</v>
      </c>
      <c r="I14" s="159">
        <v>5850</v>
      </c>
      <c r="J14" s="159">
        <v>6000</v>
      </c>
      <c r="K14" s="159">
        <v>6000</v>
      </c>
      <c r="L14" s="159">
        <v>5850</v>
      </c>
      <c r="M14" s="159">
        <v>6000</v>
      </c>
      <c r="N14" s="159">
        <v>6000</v>
      </c>
      <c r="O14" s="159">
        <v>5850</v>
      </c>
      <c r="P14" s="159">
        <v>6000</v>
      </c>
      <c r="Q14" s="159">
        <v>6000</v>
      </c>
      <c r="R14" s="159">
        <v>5850</v>
      </c>
      <c r="S14" s="159">
        <v>6000</v>
      </c>
      <c r="T14" s="159">
        <v>6000</v>
      </c>
      <c r="U14" s="159">
        <v>5750</v>
      </c>
      <c r="V14" s="159">
        <v>6000</v>
      </c>
      <c r="W14" s="159">
        <v>6000</v>
      </c>
      <c r="X14" s="159">
        <v>5750</v>
      </c>
      <c r="Y14" s="159">
        <v>6000</v>
      </c>
      <c r="Z14" s="159">
        <v>6000</v>
      </c>
      <c r="AA14" s="159">
        <v>6850</v>
      </c>
      <c r="AB14" s="159">
        <v>7300</v>
      </c>
      <c r="AC14" s="159">
        <v>7300</v>
      </c>
      <c r="AD14" s="159">
        <v>6650</v>
      </c>
      <c r="AE14" s="159">
        <v>6800</v>
      </c>
      <c r="AF14" s="159">
        <v>6800</v>
      </c>
      <c r="AG14" s="159">
        <v>6650</v>
      </c>
      <c r="AH14" s="159">
        <v>6800</v>
      </c>
      <c r="AI14" s="159">
        <v>6800</v>
      </c>
      <c r="AJ14" s="159">
        <v>6650</v>
      </c>
      <c r="AK14" s="159">
        <v>6800</v>
      </c>
      <c r="AL14" s="159">
        <v>6800</v>
      </c>
    </row>
    <row r="15" spans="1:38" ht="14.15" customHeight="1">
      <c r="A15" s="87" t="s">
        <v>3</v>
      </c>
      <c r="B15" s="88" t="s">
        <v>69</v>
      </c>
      <c r="C15" s="159">
        <v>5750</v>
      </c>
      <c r="D15" s="159">
        <v>6000</v>
      </c>
      <c r="E15" s="159">
        <v>6000</v>
      </c>
      <c r="F15" s="159">
        <v>5750</v>
      </c>
      <c r="G15" s="159">
        <v>6000</v>
      </c>
      <c r="H15" s="159">
        <v>6000</v>
      </c>
      <c r="I15" s="159">
        <v>5850</v>
      </c>
      <c r="J15" s="159">
        <v>6000</v>
      </c>
      <c r="K15" s="159">
        <v>6000</v>
      </c>
      <c r="L15" s="159">
        <v>5850</v>
      </c>
      <c r="M15" s="159">
        <v>6000</v>
      </c>
      <c r="N15" s="159">
        <v>6000</v>
      </c>
      <c r="O15" s="159">
        <v>5850</v>
      </c>
      <c r="P15" s="159">
        <v>6000</v>
      </c>
      <c r="Q15" s="159">
        <v>6000</v>
      </c>
      <c r="R15" s="159">
        <v>5850</v>
      </c>
      <c r="S15" s="159">
        <v>6000</v>
      </c>
      <c r="T15" s="159">
        <v>6000</v>
      </c>
      <c r="U15" s="159">
        <v>5750</v>
      </c>
      <c r="V15" s="159">
        <v>6000</v>
      </c>
      <c r="W15" s="159">
        <v>6000</v>
      </c>
      <c r="X15" s="159">
        <v>5750</v>
      </c>
      <c r="Y15" s="159">
        <v>6000</v>
      </c>
      <c r="Z15" s="159">
        <v>6000</v>
      </c>
      <c r="AA15" s="159">
        <v>6850</v>
      </c>
      <c r="AB15" s="159">
        <v>7300</v>
      </c>
      <c r="AC15" s="159">
        <v>7300</v>
      </c>
      <c r="AD15" s="159">
        <v>6650</v>
      </c>
      <c r="AE15" s="159">
        <v>6800</v>
      </c>
      <c r="AF15" s="159">
        <v>6800</v>
      </c>
      <c r="AG15" s="159">
        <v>6650</v>
      </c>
      <c r="AH15" s="159">
        <v>6800</v>
      </c>
      <c r="AI15" s="159">
        <v>6800</v>
      </c>
      <c r="AJ15" s="159">
        <v>6650</v>
      </c>
      <c r="AK15" s="159">
        <v>6800</v>
      </c>
      <c r="AL15" s="159">
        <v>6800</v>
      </c>
    </row>
    <row r="16" spans="1:38">
      <c r="A16" s="87" t="s">
        <v>189</v>
      </c>
      <c r="B16" s="88" t="s">
        <v>156</v>
      </c>
      <c r="C16" s="157">
        <v>5800</v>
      </c>
      <c r="D16" s="157">
        <v>6200</v>
      </c>
      <c r="E16" s="157">
        <v>6200</v>
      </c>
      <c r="F16" s="157">
        <v>5800</v>
      </c>
      <c r="G16" s="157">
        <v>6200</v>
      </c>
      <c r="H16" s="157">
        <v>6200</v>
      </c>
      <c r="I16" s="157">
        <v>5900</v>
      </c>
      <c r="J16" s="157">
        <v>6200</v>
      </c>
      <c r="K16" s="157">
        <v>6200</v>
      </c>
      <c r="L16" s="157">
        <v>5900</v>
      </c>
      <c r="M16" s="157">
        <v>6200</v>
      </c>
      <c r="N16" s="157">
        <v>6200</v>
      </c>
      <c r="O16" s="157">
        <v>5900</v>
      </c>
      <c r="P16" s="157">
        <v>6200</v>
      </c>
      <c r="Q16" s="157">
        <v>6200</v>
      </c>
      <c r="R16" s="157">
        <v>5900</v>
      </c>
      <c r="S16" s="157">
        <v>6200</v>
      </c>
      <c r="T16" s="157">
        <v>6200</v>
      </c>
      <c r="U16" s="157">
        <v>5800</v>
      </c>
      <c r="V16" s="157">
        <v>6200</v>
      </c>
      <c r="W16" s="157">
        <v>6200</v>
      </c>
      <c r="X16" s="157">
        <v>5800</v>
      </c>
      <c r="Y16" s="157">
        <v>6200</v>
      </c>
      <c r="Z16" s="157">
        <v>6200</v>
      </c>
      <c r="AA16" s="157">
        <v>6900</v>
      </c>
      <c r="AB16" s="157">
        <v>7500</v>
      </c>
      <c r="AC16" s="157">
        <v>7500</v>
      </c>
      <c r="AD16" s="157">
        <v>6700</v>
      </c>
      <c r="AE16" s="157">
        <v>7000</v>
      </c>
      <c r="AF16" s="157">
        <v>7000</v>
      </c>
      <c r="AG16" s="157">
        <v>6700</v>
      </c>
      <c r="AH16" s="157">
        <v>7000</v>
      </c>
      <c r="AI16" s="157">
        <v>7000</v>
      </c>
      <c r="AJ16" s="157">
        <v>6700</v>
      </c>
      <c r="AK16" s="157">
        <v>7000</v>
      </c>
      <c r="AL16" s="157">
        <v>7000</v>
      </c>
    </row>
    <row r="17" spans="1:38">
      <c r="A17" s="87" t="s">
        <v>190</v>
      </c>
      <c r="B17" s="88" t="s">
        <v>157</v>
      </c>
      <c r="C17" s="157">
        <v>5800</v>
      </c>
      <c r="D17" s="157">
        <v>6200</v>
      </c>
      <c r="E17" s="157">
        <v>6200</v>
      </c>
      <c r="F17" s="157">
        <v>5800</v>
      </c>
      <c r="G17" s="157">
        <v>6200</v>
      </c>
      <c r="H17" s="157">
        <v>6200</v>
      </c>
      <c r="I17" s="157">
        <v>5900</v>
      </c>
      <c r="J17" s="157">
        <v>6200</v>
      </c>
      <c r="K17" s="157">
        <v>6200</v>
      </c>
      <c r="L17" s="157">
        <v>5900</v>
      </c>
      <c r="M17" s="157">
        <v>6200</v>
      </c>
      <c r="N17" s="157">
        <v>6200</v>
      </c>
      <c r="O17" s="157">
        <v>5900</v>
      </c>
      <c r="P17" s="157">
        <v>6200</v>
      </c>
      <c r="Q17" s="157">
        <v>6200</v>
      </c>
      <c r="R17" s="157">
        <v>5900</v>
      </c>
      <c r="S17" s="157">
        <v>6200</v>
      </c>
      <c r="T17" s="157">
        <v>6200</v>
      </c>
      <c r="U17" s="157">
        <v>5800</v>
      </c>
      <c r="V17" s="157">
        <v>6200</v>
      </c>
      <c r="W17" s="157">
        <v>6200</v>
      </c>
      <c r="X17" s="157">
        <v>5800</v>
      </c>
      <c r="Y17" s="157">
        <v>6200</v>
      </c>
      <c r="Z17" s="157">
        <v>6200</v>
      </c>
      <c r="AA17" s="157">
        <v>6900</v>
      </c>
      <c r="AB17" s="157">
        <v>7500</v>
      </c>
      <c r="AC17" s="157">
        <v>7500</v>
      </c>
      <c r="AD17" s="157">
        <v>6700</v>
      </c>
      <c r="AE17" s="157">
        <v>7000</v>
      </c>
      <c r="AF17" s="157">
        <v>7000</v>
      </c>
      <c r="AG17" s="157">
        <v>6700</v>
      </c>
      <c r="AH17" s="157">
        <v>7000</v>
      </c>
      <c r="AI17" s="157">
        <v>7000</v>
      </c>
      <c r="AJ17" s="157">
        <v>6700</v>
      </c>
      <c r="AK17" s="157">
        <v>7000</v>
      </c>
      <c r="AL17" s="157">
        <v>7000</v>
      </c>
    </row>
    <row r="18" spans="1:38" ht="14.25" customHeight="1">
      <c r="A18" s="87" t="s">
        <v>16</v>
      </c>
      <c r="B18" s="88" t="s">
        <v>51</v>
      </c>
      <c r="C18" s="157">
        <v>5750</v>
      </c>
      <c r="D18" s="157">
        <v>6100</v>
      </c>
      <c r="E18" s="157">
        <v>6100</v>
      </c>
      <c r="F18" s="157">
        <v>5750</v>
      </c>
      <c r="G18" s="157">
        <v>6100</v>
      </c>
      <c r="H18" s="157">
        <v>6100</v>
      </c>
      <c r="I18" s="157">
        <v>5850</v>
      </c>
      <c r="J18" s="157">
        <v>6100</v>
      </c>
      <c r="K18" s="157">
        <v>6100</v>
      </c>
      <c r="L18" s="157">
        <v>5850</v>
      </c>
      <c r="M18" s="157">
        <v>6100</v>
      </c>
      <c r="N18" s="157">
        <v>6100</v>
      </c>
      <c r="O18" s="157">
        <v>5850</v>
      </c>
      <c r="P18" s="157">
        <v>6100</v>
      </c>
      <c r="Q18" s="157">
        <v>6100</v>
      </c>
      <c r="R18" s="157">
        <v>5850</v>
      </c>
      <c r="S18" s="157">
        <v>6100</v>
      </c>
      <c r="T18" s="157">
        <v>6100</v>
      </c>
      <c r="U18" s="157">
        <v>5750</v>
      </c>
      <c r="V18" s="157">
        <v>6100</v>
      </c>
      <c r="W18" s="157">
        <v>6100</v>
      </c>
      <c r="X18" s="157">
        <v>5750</v>
      </c>
      <c r="Y18" s="157">
        <v>6100</v>
      </c>
      <c r="Z18" s="157">
        <v>6100</v>
      </c>
      <c r="AA18" s="157">
        <v>6850</v>
      </c>
      <c r="AB18" s="157">
        <v>7400</v>
      </c>
      <c r="AC18" s="157">
        <v>7400</v>
      </c>
      <c r="AD18" s="157">
        <v>6650</v>
      </c>
      <c r="AE18" s="157">
        <v>6900</v>
      </c>
      <c r="AF18" s="157">
        <v>6900</v>
      </c>
      <c r="AG18" s="157">
        <v>6650</v>
      </c>
      <c r="AH18" s="157">
        <v>6900</v>
      </c>
      <c r="AI18" s="157">
        <v>6900</v>
      </c>
      <c r="AJ18" s="157">
        <v>6650</v>
      </c>
      <c r="AK18" s="157">
        <v>6900</v>
      </c>
      <c r="AL18" s="157">
        <v>6900</v>
      </c>
    </row>
    <row r="19" spans="1:38" s="106" customFormat="1" ht="14.25" customHeight="1">
      <c r="A19" s="89" t="s">
        <v>241</v>
      </c>
      <c r="B19" s="90" t="s">
        <v>242</v>
      </c>
      <c r="C19" s="157">
        <v>5775</v>
      </c>
      <c r="D19" s="157">
        <v>6150</v>
      </c>
      <c r="E19" s="157">
        <v>6150</v>
      </c>
      <c r="F19" s="157">
        <v>5775</v>
      </c>
      <c r="G19" s="157">
        <v>6150</v>
      </c>
      <c r="H19" s="157">
        <v>6150</v>
      </c>
      <c r="I19" s="157">
        <v>5875</v>
      </c>
      <c r="J19" s="157">
        <v>6150</v>
      </c>
      <c r="K19" s="157">
        <v>6150</v>
      </c>
      <c r="L19" s="157">
        <v>5875</v>
      </c>
      <c r="M19" s="157">
        <v>6150</v>
      </c>
      <c r="N19" s="157">
        <v>6150</v>
      </c>
      <c r="O19" s="157">
        <v>5875</v>
      </c>
      <c r="P19" s="157">
        <v>6150</v>
      </c>
      <c r="Q19" s="157">
        <v>6150</v>
      </c>
      <c r="R19" s="157">
        <v>5875</v>
      </c>
      <c r="S19" s="157">
        <v>6150</v>
      </c>
      <c r="T19" s="157">
        <v>6150</v>
      </c>
      <c r="U19" s="157">
        <v>5775</v>
      </c>
      <c r="V19" s="157">
        <v>6150</v>
      </c>
      <c r="W19" s="157">
        <v>6150</v>
      </c>
      <c r="X19" s="157">
        <v>5775</v>
      </c>
      <c r="Y19" s="157">
        <v>6150</v>
      </c>
      <c r="Z19" s="157">
        <v>6150</v>
      </c>
      <c r="AA19" s="157">
        <v>6875</v>
      </c>
      <c r="AB19" s="157">
        <v>7450</v>
      </c>
      <c r="AC19" s="157">
        <v>7450</v>
      </c>
      <c r="AD19" s="157">
        <v>6675</v>
      </c>
      <c r="AE19" s="157">
        <v>6950</v>
      </c>
      <c r="AF19" s="157">
        <v>6950</v>
      </c>
      <c r="AG19" s="157">
        <v>6675</v>
      </c>
      <c r="AH19" s="157">
        <v>6950</v>
      </c>
      <c r="AI19" s="157">
        <v>6950</v>
      </c>
      <c r="AJ19" s="157">
        <v>6675</v>
      </c>
      <c r="AK19" s="157">
        <v>6950</v>
      </c>
      <c r="AL19" s="157">
        <v>6950</v>
      </c>
    </row>
    <row r="20" spans="1:38" ht="14.25" customHeight="1">
      <c r="A20" s="91" t="s">
        <v>134</v>
      </c>
      <c r="B20" s="88" t="s">
        <v>135</v>
      </c>
      <c r="C20" s="157">
        <v>5800</v>
      </c>
      <c r="D20" s="157">
        <v>6250</v>
      </c>
      <c r="E20" s="157">
        <v>6250</v>
      </c>
      <c r="F20" s="157">
        <v>5800</v>
      </c>
      <c r="G20" s="157">
        <v>6250</v>
      </c>
      <c r="H20" s="157">
        <v>6250</v>
      </c>
      <c r="I20" s="157">
        <v>5900</v>
      </c>
      <c r="J20" s="157">
        <v>6250</v>
      </c>
      <c r="K20" s="157">
        <v>6250</v>
      </c>
      <c r="L20" s="157">
        <v>5900</v>
      </c>
      <c r="M20" s="157">
        <v>6250</v>
      </c>
      <c r="N20" s="157">
        <v>6250</v>
      </c>
      <c r="O20" s="157">
        <v>5900</v>
      </c>
      <c r="P20" s="157">
        <v>6250</v>
      </c>
      <c r="Q20" s="157">
        <v>6250</v>
      </c>
      <c r="R20" s="157">
        <v>5900</v>
      </c>
      <c r="S20" s="157">
        <v>6250</v>
      </c>
      <c r="T20" s="157">
        <v>6250</v>
      </c>
      <c r="U20" s="157">
        <v>5800</v>
      </c>
      <c r="V20" s="157">
        <v>6250</v>
      </c>
      <c r="W20" s="157">
        <v>6250</v>
      </c>
      <c r="X20" s="157">
        <v>5800</v>
      </c>
      <c r="Y20" s="157">
        <v>6250</v>
      </c>
      <c r="Z20" s="157">
        <v>6250</v>
      </c>
      <c r="AA20" s="157">
        <v>6900</v>
      </c>
      <c r="AB20" s="157">
        <v>7550</v>
      </c>
      <c r="AC20" s="157">
        <v>7550</v>
      </c>
      <c r="AD20" s="157">
        <v>6700</v>
      </c>
      <c r="AE20" s="157">
        <v>7050</v>
      </c>
      <c r="AF20" s="157">
        <v>7050</v>
      </c>
      <c r="AG20" s="157">
        <v>6700</v>
      </c>
      <c r="AH20" s="157">
        <v>7050</v>
      </c>
      <c r="AI20" s="157">
        <v>7050</v>
      </c>
      <c r="AJ20" s="157">
        <v>6700</v>
      </c>
      <c r="AK20" s="157">
        <v>7050</v>
      </c>
      <c r="AL20" s="157">
        <v>7050</v>
      </c>
    </row>
    <row r="21" spans="1:38">
      <c r="A21" s="91" t="s">
        <v>275</v>
      </c>
      <c r="B21" s="88" t="s">
        <v>276</v>
      </c>
      <c r="C21" s="157">
        <v>5800</v>
      </c>
      <c r="D21" s="157">
        <v>6250</v>
      </c>
      <c r="E21" s="157">
        <v>6250</v>
      </c>
      <c r="F21" s="157">
        <v>5800</v>
      </c>
      <c r="G21" s="157">
        <v>6250</v>
      </c>
      <c r="H21" s="157">
        <v>6250</v>
      </c>
      <c r="I21" s="157">
        <v>5900</v>
      </c>
      <c r="J21" s="157">
        <v>6250</v>
      </c>
      <c r="K21" s="157">
        <v>6250</v>
      </c>
      <c r="L21" s="157">
        <v>5900</v>
      </c>
      <c r="M21" s="157">
        <v>6250</v>
      </c>
      <c r="N21" s="157">
        <v>6250</v>
      </c>
      <c r="O21" s="157">
        <v>5900</v>
      </c>
      <c r="P21" s="157">
        <v>6250</v>
      </c>
      <c r="Q21" s="157">
        <v>6250</v>
      </c>
      <c r="R21" s="157">
        <v>5900</v>
      </c>
      <c r="S21" s="157">
        <v>6250</v>
      </c>
      <c r="T21" s="157">
        <v>6250</v>
      </c>
      <c r="U21" s="157">
        <v>5800</v>
      </c>
      <c r="V21" s="157">
        <v>6250</v>
      </c>
      <c r="W21" s="157">
        <v>6250</v>
      </c>
      <c r="X21" s="157">
        <v>5800</v>
      </c>
      <c r="Y21" s="157">
        <v>6250</v>
      </c>
      <c r="Z21" s="157">
        <v>6250</v>
      </c>
      <c r="AA21" s="157">
        <v>6900</v>
      </c>
      <c r="AB21" s="157">
        <v>7550</v>
      </c>
      <c r="AC21" s="157">
        <v>7550</v>
      </c>
      <c r="AD21" s="157">
        <v>6700</v>
      </c>
      <c r="AE21" s="157">
        <v>7050</v>
      </c>
      <c r="AF21" s="157">
        <v>7050</v>
      </c>
      <c r="AG21" s="157">
        <v>6700</v>
      </c>
      <c r="AH21" s="157">
        <v>7050</v>
      </c>
      <c r="AI21" s="157">
        <v>7050</v>
      </c>
      <c r="AJ21" s="157">
        <v>6700</v>
      </c>
      <c r="AK21" s="157">
        <v>7050</v>
      </c>
      <c r="AL21" s="157">
        <v>7050</v>
      </c>
    </row>
    <row r="22" spans="1:38">
      <c r="A22" s="100" t="s">
        <v>191</v>
      </c>
      <c r="B22" s="116" t="s">
        <v>158</v>
      </c>
      <c r="C22" s="157">
        <v>5750</v>
      </c>
      <c r="D22" s="157">
        <v>6100</v>
      </c>
      <c r="E22" s="157">
        <v>6100</v>
      </c>
      <c r="F22" s="157">
        <v>5750</v>
      </c>
      <c r="G22" s="157">
        <v>6100</v>
      </c>
      <c r="H22" s="157">
        <v>6100</v>
      </c>
      <c r="I22" s="157">
        <v>5850</v>
      </c>
      <c r="J22" s="157">
        <v>6100</v>
      </c>
      <c r="K22" s="157">
        <v>6100</v>
      </c>
      <c r="L22" s="157">
        <v>5850</v>
      </c>
      <c r="M22" s="157">
        <v>6100</v>
      </c>
      <c r="N22" s="157">
        <v>6100</v>
      </c>
      <c r="O22" s="157">
        <v>5850</v>
      </c>
      <c r="P22" s="157">
        <v>6100</v>
      </c>
      <c r="Q22" s="157">
        <v>6100</v>
      </c>
      <c r="R22" s="157">
        <v>5850</v>
      </c>
      <c r="S22" s="157">
        <v>6100</v>
      </c>
      <c r="T22" s="157">
        <v>6100</v>
      </c>
      <c r="U22" s="157">
        <v>5750</v>
      </c>
      <c r="V22" s="157">
        <v>6100</v>
      </c>
      <c r="W22" s="157">
        <v>6100</v>
      </c>
      <c r="X22" s="157">
        <v>5750</v>
      </c>
      <c r="Y22" s="157">
        <v>6100</v>
      </c>
      <c r="Z22" s="157">
        <v>6100</v>
      </c>
      <c r="AA22" s="157">
        <v>6850</v>
      </c>
      <c r="AB22" s="157">
        <v>7400</v>
      </c>
      <c r="AC22" s="157">
        <v>7400</v>
      </c>
      <c r="AD22" s="157">
        <v>6650</v>
      </c>
      <c r="AE22" s="157">
        <v>6900</v>
      </c>
      <c r="AF22" s="157">
        <v>6900</v>
      </c>
      <c r="AG22" s="157">
        <v>6650</v>
      </c>
      <c r="AH22" s="157">
        <v>6900</v>
      </c>
      <c r="AI22" s="157">
        <v>6900</v>
      </c>
      <c r="AJ22" s="157">
        <v>6650</v>
      </c>
      <c r="AK22" s="157">
        <v>6900</v>
      </c>
      <c r="AL22" s="157">
        <v>6900</v>
      </c>
    </row>
    <row r="23" spans="1:38" ht="14.15" customHeight="1">
      <c r="A23" s="100" t="s">
        <v>277</v>
      </c>
      <c r="B23" s="116" t="s">
        <v>159</v>
      </c>
      <c r="C23" s="157">
        <v>5750</v>
      </c>
      <c r="D23" s="157">
        <v>6100</v>
      </c>
      <c r="E23" s="157">
        <v>6100</v>
      </c>
      <c r="F23" s="157">
        <v>5750</v>
      </c>
      <c r="G23" s="157">
        <v>6100</v>
      </c>
      <c r="H23" s="157">
        <v>6100</v>
      </c>
      <c r="I23" s="157">
        <v>5850</v>
      </c>
      <c r="J23" s="157">
        <v>6100</v>
      </c>
      <c r="K23" s="157">
        <v>6100</v>
      </c>
      <c r="L23" s="157">
        <v>5850</v>
      </c>
      <c r="M23" s="157">
        <v>6100</v>
      </c>
      <c r="N23" s="157">
        <v>6100</v>
      </c>
      <c r="O23" s="157">
        <v>5850</v>
      </c>
      <c r="P23" s="157">
        <v>6100</v>
      </c>
      <c r="Q23" s="157">
        <v>6100</v>
      </c>
      <c r="R23" s="157">
        <v>5850</v>
      </c>
      <c r="S23" s="157">
        <v>6100</v>
      </c>
      <c r="T23" s="157">
        <v>6100</v>
      </c>
      <c r="U23" s="157">
        <v>5750</v>
      </c>
      <c r="V23" s="157">
        <v>6100</v>
      </c>
      <c r="W23" s="157">
        <v>6100</v>
      </c>
      <c r="X23" s="157">
        <v>5750</v>
      </c>
      <c r="Y23" s="157">
        <v>6100</v>
      </c>
      <c r="Z23" s="157">
        <v>6100</v>
      </c>
      <c r="AA23" s="157">
        <v>6850</v>
      </c>
      <c r="AB23" s="157">
        <v>7400</v>
      </c>
      <c r="AC23" s="157">
        <v>7400</v>
      </c>
      <c r="AD23" s="157">
        <v>6650</v>
      </c>
      <c r="AE23" s="157">
        <v>6900</v>
      </c>
      <c r="AF23" s="157">
        <v>6900</v>
      </c>
      <c r="AG23" s="157">
        <v>6650</v>
      </c>
      <c r="AH23" s="157">
        <v>6900</v>
      </c>
      <c r="AI23" s="157">
        <v>6900</v>
      </c>
      <c r="AJ23" s="157">
        <v>6650</v>
      </c>
      <c r="AK23" s="157">
        <v>6900</v>
      </c>
      <c r="AL23" s="157">
        <v>6900</v>
      </c>
    </row>
    <row r="24" spans="1:38" ht="13.5" customHeight="1">
      <c r="A24" s="100" t="s">
        <v>278</v>
      </c>
      <c r="B24" s="116" t="s">
        <v>160</v>
      </c>
      <c r="C24" s="157">
        <v>5750</v>
      </c>
      <c r="D24" s="157">
        <v>6100</v>
      </c>
      <c r="E24" s="157">
        <v>6100</v>
      </c>
      <c r="F24" s="157">
        <v>5750</v>
      </c>
      <c r="G24" s="157">
        <v>6100</v>
      </c>
      <c r="H24" s="157">
        <v>6100</v>
      </c>
      <c r="I24" s="157">
        <v>5850</v>
      </c>
      <c r="J24" s="157">
        <v>6100</v>
      </c>
      <c r="K24" s="157">
        <v>6100</v>
      </c>
      <c r="L24" s="157">
        <v>5850</v>
      </c>
      <c r="M24" s="157">
        <v>6100</v>
      </c>
      <c r="N24" s="157">
        <v>6100</v>
      </c>
      <c r="O24" s="157">
        <v>5850</v>
      </c>
      <c r="P24" s="157">
        <v>6100</v>
      </c>
      <c r="Q24" s="157">
        <v>6100</v>
      </c>
      <c r="R24" s="157">
        <v>5850</v>
      </c>
      <c r="S24" s="157">
        <v>6100</v>
      </c>
      <c r="T24" s="157">
        <v>6100</v>
      </c>
      <c r="U24" s="157">
        <v>5750</v>
      </c>
      <c r="V24" s="157">
        <v>6100</v>
      </c>
      <c r="W24" s="157">
        <v>6100</v>
      </c>
      <c r="X24" s="157">
        <v>5750</v>
      </c>
      <c r="Y24" s="157">
        <v>6100</v>
      </c>
      <c r="Z24" s="157">
        <v>6100</v>
      </c>
      <c r="AA24" s="157">
        <v>6850</v>
      </c>
      <c r="AB24" s="157">
        <v>7400</v>
      </c>
      <c r="AC24" s="157">
        <v>7400</v>
      </c>
      <c r="AD24" s="157">
        <v>6650</v>
      </c>
      <c r="AE24" s="157">
        <v>6900</v>
      </c>
      <c r="AF24" s="157">
        <v>6900</v>
      </c>
      <c r="AG24" s="157">
        <v>6650</v>
      </c>
      <c r="AH24" s="157">
        <v>6900</v>
      </c>
      <c r="AI24" s="157">
        <v>6900</v>
      </c>
      <c r="AJ24" s="157">
        <v>6650</v>
      </c>
      <c r="AK24" s="157">
        <v>6900</v>
      </c>
      <c r="AL24" s="157">
        <v>6900</v>
      </c>
    </row>
    <row r="25" spans="1:38" ht="13.5" customHeight="1">
      <c r="A25" s="100" t="s">
        <v>279</v>
      </c>
      <c r="B25" s="116" t="s">
        <v>161</v>
      </c>
      <c r="C25" s="157">
        <v>5750</v>
      </c>
      <c r="D25" s="157">
        <v>6100</v>
      </c>
      <c r="E25" s="157">
        <v>6100</v>
      </c>
      <c r="F25" s="157">
        <v>5750</v>
      </c>
      <c r="G25" s="157">
        <v>6100</v>
      </c>
      <c r="H25" s="157">
        <v>6100</v>
      </c>
      <c r="I25" s="157">
        <v>5850</v>
      </c>
      <c r="J25" s="157">
        <v>6100</v>
      </c>
      <c r="K25" s="157">
        <v>6100</v>
      </c>
      <c r="L25" s="157">
        <v>5850</v>
      </c>
      <c r="M25" s="157">
        <v>6100</v>
      </c>
      <c r="N25" s="157">
        <v>6100</v>
      </c>
      <c r="O25" s="157">
        <v>5850</v>
      </c>
      <c r="P25" s="157">
        <v>6100</v>
      </c>
      <c r="Q25" s="157">
        <v>6100</v>
      </c>
      <c r="R25" s="157">
        <v>5850</v>
      </c>
      <c r="S25" s="157">
        <v>6100</v>
      </c>
      <c r="T25" s="157">
        <v>6100</v>
      </c>
      <c r="U25" s="157">
        <v>5750</v>
      </c>
      <c r="V25" s="157">
        <v>6100</v>
      </c>
      <c r="W25" s="157">
        <v>6100</v>
      </c>
      <c r="X25" s="157">
        <v>5750</v>
      </c>
      <c r="Y25" s="157">
        <v>6100</v>
      </c>
      <c r="Z25" s="157">
        <v>6100</v>
      </c>
      <c r="AA25" s="157">
        <v>6850</v>
      </c>
      <c r="AB25" s="157">
        <v>7400</v>
      </c>
      <c r="AC25" s="157">
        <v>7400</v>
      </c>
      <c r="AD25" s="157">
        <v>6650</v>
      </c>
      <c r="AE25" s="157">
        <v>6900</v>
      </c>
      <c r="AF25" s="157">
        <v>6900</v>
      </c>
      <c r="AG25" s="157">
        <v>6650</v>
      </c>
      <c r="AH25" s="157">
        <v>6900</v>
      </c>
      <c r="AI25" s="157">
        <v>6900</v>
      </c>
      <c r="AJ25" s="157">
        <v>6650</v>
      </c>
      <c r="AK25" s="157">
        <v>6900</v>
      </c>
      <c r="AL25" s="157">
        <v>6900</v>
      </c>
    </row>
    <row r="26" spans="1:38" ht="13.5" customHeight="1">
      <c r="A26" s="100" t="s">
        <v>31</v>
      </c>
      <c r="B26" s="116" t="s">
        <v>52</v>
      </c>
      <c r="C26" s="157">
        <v>5750</v>
      </c>
      <c r="D26" s="157">
        <v>6100</v>
      </c>
      <c r="E26" s="157">
        <v>6100</v>
      </c>
      <c r="F26" s="157">
        <v>5750</v>
      </c>
      <c r="G26" s="157">
        <v>6100</v>
      </c>
      <c r="H26" s="157">
        <v>6100</v>
      </c>
      <c r="I26" s="157">
        <v>5850</v>
      </c>
      <c r="J26" s="157">
        <v>6100</v>
      </c>
      <c r="K26" s="157">
        <v>6100</v>
      </c>
      <c r="L26" s="157">
        <v>5850</v>
      </c>
      <c r="M26" s="157">
        <v>6100</v>
      </c>
      <c r="N26" s="157">
        <v>6100</v>
      </c>
      <c r="O26" s="157">
        <v>5850</v>
      </c>
      <c r="P26" s="157">
        <v>6100</v>
      </c>
      <c r="Q26" s="157">
        <v>6100</v>
      </c>
      <c r="R26" s="157">
        <v>5850</v>
      </c>
      <c r="S26" s="157">
        <v>6100</v>
      </c>
      <c r="T26" s="157">
        <v>6100</v>
      </c>
      <c r="U26" s="157">
        <v>5750</v>
      </c>
      <c r="V26" s="157">
        <v>6100</v>
      </c>
      <c r="W26" s="157">
        <v>6100</v>
      </c>
      <c r="X26" s="157">
        <v>5750</v>
      </c>
      <c r="Y26" s="157">
        <v>6100</v>
      </c>
      <c r="Z26" s="157">
        <v>6100</v>
      </c>
      <c r="AA26" s="157">
        <v>6850</v>
      </c>
      <c r="AB26" s="157">
        <v>7400</v>
      </c>
      <c r="AC26" s="157">
        <v>7400</v>
      </c>
      <c r="AD26" s="157">
        <v>6650</v>
      </c>
      <c r="AE26" s="157">
        <v>6900</v>
      </c>
      <c r="AF26" s="157">
        <v>6900</v>
      </c>
      <c r="AG26" s="157">
        <v>6650</v>
      </c>
      <c r="AH26" s="157">
        <v>6900</v>
      </c>
      <c r="AI26" s="157">
        <v>6900</v>
      </c>
      <c r="AJ26" s="157">
        <v>6650</v>
      </c>
      <c r="AK26" s="157">
        <v>6900</v>
      </c>
      <c r="AL26" s="157">
        <v>6900</v>
      </c>
    </row>
    <row r="27" spans="1:38" ht="13.5" customHeight="1">
      <c r="A27" s="100" t="s">
        <v>195</v>
      </c>
      <c r="B27" s="116" t="s">
        <v>162</v>
      </c>
      <c r="C27" s="157">
        <v>5900</v>
      </c>
      <c r="D27" s="157">
        <v>6400</v>
      </c>
      <c r="E27" s="157">
        <v>6400</v>
      </c>
      <c r="F27" s="157">
        <v>5900</v>
      </c>
      <c r="G27" s="157">
        <v>6400</v>
      </c>
      <c r="H27" s="157">
        <v>6400</v>
      </c>
      <c r="I27" s="157">
        <v>6000</v>
      </c>
      <c r="J27" s="157">
        <v>6400</v>
      </c>
      <c r="K27" s="157">
        <v>6400</v>
      </c>
      <c r="L27" s="157">
        <v>6000</v>
      </c>
      <c r="M27" s="157">
        <v>6400</v>
      </c>
      <c r="N27" s="157">
        <v>6400</v>
      </c>
      <c r="O27" s="157">
        <v>6000</v>
      </c>
      <c r="P27" s="157">
        <v>6400</v>
      </c>
      <c r="Q27" s="157">
        <v>6400</v>
      </c>
      <c r="R27" s="157">
        <v>6000</v>
      </c>
      <c r="S27" s="157">
        <v>6400</v>
      </c>
      <c r="T27" s="157">
        <v>6400</v>
      </c>
      <c r="U27" s="157">
        <v>5900</v>
      </c>
      <c r="V27" s="157">
        <v>6400</v>
      </c>
      <c r="W27" s="157">
        <v>6400</v>
      </c>
      <c r="X27" s="157">
        <v>5900</v>
      </c>
      <c r="Y27" s="157">
        <v>6400</v>
      </c>
      <c r="Z27" s="157">
        <v>6400</v>
      </c>
      <c r="AA27" s="157">
        <v>7000</v>
      </c>
      <c r="AB27" s="157">
        <v>7700</v>
      </c>
      <c r="AC27" s="157">
        <v>7700</v>
      </c>
      <c r="AD27" s="157">
        <v>6800</v>
      </c>
      <c r="AE27" s="157">
        <v>7200</v>
      </c>
      <c r="AF27" s="157">
        <v>7200</v>
      </c>
      <c r="AG27" s="157">
        <v>6800</v>
      </c>
      <c r="AH27" s="157">
        <v>7200</v>
      </c>
      <c r="AI27" s="157">
        <v>7200</v>
      </c>
      <c r="AJ27" s="157">
        <v>6800</v>
      </c>
      <c r="AK27" s="157">
        <v>7200</v>
      </c>
      <c r="AL27" s="157">
        <v>7200</v>
      </c>
    </row>
    <row r="28" spans="1:38" ht="13.5" customHeight="1">
      <c r="A28" s="100" t="s">
        <v>196</v>
      </c>
      <c r="B28" s="116" t="s">
        <v>163</v>
      </c>
      <c r="C28" s="157">
        <v>5900</v>
      </c>
      <c r="D28" s="157">
        <v>6400</v>
      </c>
      <c r="E28" s="157">
        <v>6400</v>
      </c>
      <c r="F28" s="157">
        <v>5900</v>
      </c>
      <c r="G28" s="157">
        <v>6400</v>
      </c>
      <c r="H28" s="157">
        <v>6400</v>
      </c>
      <c r="I28" s="157">
        <v>6000</v>
      </c>
      <c r="J28" s="157">
        <v>6400</v>
      </c>
      <c r="K28" s="157">
        <v>6400</v>
      </c>
      <c r="L28" s="157">
        <v>6000</v>
      </c>
      <c r="M28" s="157">
        <v>6400</v>
      </c>
      <c r="N28" s="157">
        <v>6400</v>
      </c>
      <c r="O28" s="157">
        <v>6000</v>
      </c>
      <c r="P28" s="157">
        <v>6400</v>
      </c>
      <c r="Q28" s="157">
        <v>6400</v>
      </c>
      <c r="R28" s="157">
        <v>6000</v>
      </c>
      <c r="S28" s="157">
        <v>6400</v>
      </c>
      <c r="T28" s="157">
        <v>6400</v>
      </c>
      <c r="U28" s="157">
        <v>5900</v>
      </c>
      <c r="V28" s="157">
        <v>6400</v>
      </c>
      <c r="W28" s="157">
        <v>6400</v>
      </c>
      <c r="X28" s="157">
        <v>5900</v>
      </c>
      <c r="Y28" s="157">
        <v>6400</v>
      </c>
      <c r="Z28" s="157">
        <v>6400</v>
      </c>
      <c r="AA28" s="157">
        <v>7000</v>
      </c>
      <c r="AB28" s="157">
        <v>7700</v>
      </c>
      <c r="AC28" s="157">
        <v>7700</v>
      </c>
      <c r="AD28" s="157">
        <v>6800</v>
      </c>
      <c r="AE28" s="157">
        <v>7200</v>
      </c>
      <c r="AF28" s="157">
        <v>7200</v>
      </c>
      <c r="AG28" s="157">
        <v>6800</v>
      </c>
      <c r="AH28" s="157">
        <v>7200</v>
      </c>
      <c r="AI28" s="157">
        <v>7200</v>
      </c>
      <c r="AJ28" s="157">
        <v>6800</v>
      </c>
      <c r="AK28" s="157">
        <v>7200</v>
      </c>
      <c r="AL28" s="157">
        <v>7200</v>
      </c>
    </row>
    <row r="29" spans="1:38" ht="13.5" customHeight="1">
      <c r="A29" s="92" t="s">
        <v>43</v>
      </c>
      <c r="B29" s="96" t="s">
        <v>53</v>
      </c>
      <c r="C29" s="157">
        <v>5750</v>
      </c>
      <c r="D29" s="157">
        <v>6100</v>
      </c>
      <c r="E29" s="157">
        <v>6100</v>
      </c>
      <c r="F29" s="157">
        <v>5750</v>
      </c>
      <c r="G29" s="157">
        <v>6100</v>
      </c>
      <c r="H29" s="157">
        <v>6100</v>
      </c>
      <c r="I29" s="157">
        <v>5850</v>
      </c>
      <c r="J29" s="157">
        <v>6100</v>
      </c>
      <c r="K29" s="157">
        <v>6100</v>
      </c>
      <c r="L29" s="157">
        <v>5850</v>
      </c>
      <c r="M29" s="157">
        <v>6100</v>
      </c>
      <c r="N29" s="157">
        <v>6100</v>
      </c>
      <c r="O29" s="157">
        <v>5850</v>
      </c>
      <c r="P29" s="157">
        <v>6100</v>
      </c>
      <c r="Q29" s="157">
        <v>6100</v>
      </c>
      <c r="R29" s="157">
        <v>5850</v>
      </c>
      <c r="S29" s="157">
        <v>6100</v>
      </c>
      <c r="T29" s="157">
        <v>6100</v>
      </c>
      <c r="U29" s="157">
        <v>5750</v>
      </c>
      <c r="V29" s="157">
        <v>6100</v>
      </c>
      <c r="W29" s="157">
        <v>6100</v>
      </c>
      <c r="X29" s="157">
        <v>5750</v>
      </c>
      <c r="Y29" s="157">
        <v>6100</v>
      </c>
      <c r="Z29" s="157">
        <v>6100</v>
      </c>
      <c r="AA29" s="157">
        <v>6850</v>
      </c>
      <c r="AB29" s="157">
        <v>7400</v>
      </c>
      <c r="AC29" s="157">
        <v>7400</v>
      </c>
      <c r="AD29" s="157">
        <v>6650</v>
      </c>
      <c r="AE29" s="157">
        <v>6900</v>
      </c>
      <c r="AF29" s="157">
        <v>6900</v>
      </c>
      <c r="AG29" s="157">
        <v>6650</v>
      </c>
      <c r="AH29" s="157">
        <v>6900</v>
      </c>
      <c r="AI29" s="157">
        <v>6900</v>
      </c>
      <c r="AJ29" s="157">
        <v>6650</v>
      </c>
      <c r="AK29" s="157">
        <v>6900</v>
      </c>
      <c r="AL29" s="157">
        <v>6900</v>
      </c>
    </row>
    <row r="30" spans="1:38" ht="13.5" customHeight="1">
      <c r="A30" s="92" t="s">
        <v>24</v>
      </c>
      <c r="B30" s="96" t="s">
        <v>54</v>
      </c>
      <c r="C30" s="157">
        <v>5750</v>
      </c>
      <c r="D30" s="157">
        <v>6100</v>
      </c>
      <c r="E30" s="157">
        <v>6100</v>
      </c>
      <c r="F30" s="157">
        <v>5750</v>
      </c>
      <c r="G30" s="157">
        <v>6100</v>
      </c>
      <c r="H30" s="157">
        <v>6100</v>
      </c>
      <c r="I30" s="157">
        <v>5850</v>
      </c>
      <c r="J30" s="157">
        <v>6100</v>
      </c>
      <c r="K30" s="157">
        <v>6100</v>
      </c>
      <c r="L30" s="157">
        <v>5850</v>
      </c>
      <c r="M30" s="157">
        <v>6100</v>
      </c>
      <c r="N30" s="157">
        <v>6100</v>
      </c>
      <c r="O30" s="157">
        <v>5850</v>
      </c>
      <c r="P30" s="157">
        <v>6100</v>
      </c>
      <c r="Q30" s="157">
        <v>6100</v>
      </c>
      <c r="R30" s="157">
        <v>5850</v>
      </c>
      <c r="S30" s="157">
        <v>6100</v>
      </c>
      <c r="T30" s="157">
        <v>6100</v>
      </c>
      <c r="U30" s="157">
        <v>5750</v>
      </c>
      <c r="V30" s="157">
        <v>6100</v>
      </c>
      <c r="W30" s="157">
        <v>6100</v>
      </c>
      <c r="X30" s="157">
        <v>5750</v>
      </c>
      <c r="Y30" s="157">
        <v>6100</v>
      </c>
      <c r="Z30" s="157">
        <v>6100</v>
      </c>
      <c r="AA30" s="157">
        <v>6850</v>
      </c>
      <c r="AB30" s="157">
        <v>7400</v>
      </c>
      <c r="AC30" s="157">
        <v>7400</v>
      </c>
      <c r="AD30" s="157">
        <v>6650</v>
      </c>
      <c r="AE30" s="157">
        <v>6900</v>
      </c>
      <c r="AF30" s="157">
        <v>6900</v>
      </c>
      <c r="AG30" s="157">
        <v>6650</v>
      </c>
      <c r="AH30" s="157">
        <v>6900</v>
      </c>
      <c r="AI30" s="157">
        <v>6900</v>
      </c>
      <c r="AJ30" s="157">
        <v>6650</v>
      </c>
      <c r="AK30" s="157">
        <v>6900</v>
      </c>
      <c r="AL30" s="157">
        <v>6900</v>
      </c>
    </row>
    <row r="31" spans="1:38" ht="13.5" customHeight="1">
      <c r="A31" s="92" t="s">
        <v>197</v>
      </c>
      <c r="B31" s="96" t="s">
        <v>164</v>
      </c>
      <c r="C31" s="157">
        <v>5800</v>
      </c>
      <c r="D31" s="157">
        <v>6200</v>
      </c>
      <c r="E31" s="157">
        <v>6200</v>
      </c>
      <c r="F31" s="157">
        <v>5800</v>
      </c>
      <c r="G31" s="157">
        <v>6200</v>
      </c>
      <c r="H31" s="157">
        <v>6200</v>
      </c>
      <c r="I31" s="157">
        <v>5900</v>
      </c>
      <c r="J31" s="157">
        <v>6200</v>
      </c>
      <c r="K31" s="157">
        <v>6200</v>
      </c>
      <c r="L31" s="157">
        <v>5900</v>
      </c>
      <c r="M31" s="157">
        <v>6200</v>
      </c>
      <c r="N31" s="157">
        <v>6200</v>
      </c>
      <c r="O31" s="157">
        <v>5900</v>
      </c>
      <c r="P31" s="157">
        <v>6200</v>
      </c>
      <c r="Q31" s="157">
        <v>6200</v>
      </c>
      <c r="R31" s="157">
        <v>5900</v>
      </c>
      <c r="S31" s="157">
        <v>6200</v>
      </c>
      <c r="T31" s="157">
        <v>6200</v>
      </c>
      <c r="U31" s="157">
        <v>5800</v>
      </c>
      <c r="V31" s="157">
        <v>6200</v>
      </c>
      <c r="W31" s="157">
        <v>6200</v>
      </c>
      <c r="X31" s="157">
        <v>5800</v>
      </c>
      <c r="Y31" s="157">
        <v>6200</v>
      </c>
      <c r="Z31" s="157">
        <v>6200</v>
      </c>
      <c r="AA31" s="157">
        <v>6900</v>
      </c>
      <c r="AB31" s="157">
        <v>7500</v>
      </c>
      <c r="AC31" s="157">
        <v>7500</v>
      </c>
      <c r="AD31" s="157">
        <v>6700</v>
      </c>
      <c r="AE31" s="157">
        <v>7000</v>
      </c>
      <c r="AF31" s="157">
        <v>7000</v>
      </c>
      <c r="AG31" s="157">
        <v>6700</v>
      </c>
      <c r="AH31" s="157">
        <v>7000</v>
      </c>
      <c r="AI31" s="157">
        <v>7000</v>
      </c>
      <c r="AJ31" s="157">
        <v>6700</v>
      </c>
      <c r="AK31" s="157">
        <v>7000</v>
      </c>
      <c r="AL31" s="157">
        <v>7000</v>
      </c>
    </row>
    <row r="32" spans="1:38" s="25" customFormat="1" ht="13.5" customHeight="1">
      <c r="A32" s="92" t="s">
        <v>198</v>
      </c>
      <c r="B32" s="96" t="s">
        <v>165</v>
      </c>
      <c r="C32" s="157">
        <v>5800</v>
      </c>
      <c r="D32" s="157">
        <v>6200</v>
      </c>
      <c r="E32" s="157">
        <v>6200</v>
      </c>
      <c r="F32" s="157">
        <v>5800</v>
      </c>
      <c r="G32" s="157">
        <v>6200</v>
      </c>
      <c r="H32" s="157">
        <v>6200</v>
      </c>
      <c r="I32" s="157">
        <v>5900</v>
      </c>
      <c r="J32" s="157">
        <v>6200</v>
      </c>
      <c r="K32" s="157">
        <v>6200</v>
      </c>
      <c r="L32" s="157">
        <v>5900</v>
      </c>
      <c r="M32" s="157">
        <v>6200</v>
      </c>
      <c r="N32" s="157">
        <v>6200</v>
      </c>
      <c r="O32" s="157">
        <v>5900</v>
      </c>
      <c r="P32" s="157">
        <v>6200</v>
      </c>
      <c r="Q32" s="157">
        <v>6200</v>
      </c>
      <c r="R32" s="157">
        <v>5900</v>
      </c>
      <c r="S32" s="157">
        <v>6200</v>
      </c>
      <c r="T32" s="157">
        <v>6200</v>
      </c>
      <c r="U32" s="157">
        <v>5800</v>
      </c>
      <c r="V32" s="157">
        <v>6200</v>
      </c>
      <c r="W32" s="157">
        <v>6200</v>
      </c>
      <c r="X32" s="157">
        <v>5800</v>
      </c>
      <c r="Y32" s="157">
        <v>6200</v>
      </c>
      <c r="Z32" s="157">
        <v>6200</v>
      </c>
      <c r="AA32" s="157">
        <v>6900</v>
      </c>
      <c r="AB32" s="157">
        <v>7500</v>
      </c>
      <c r="AC32" s="157">
        <v>7500</v>
      </c>
      <c r="AD32" s="157">
        <v>6700</v>
      </c>
      <c r="AE32" s="157">
        <v>7000</v>
      </c>
      <c r="AF32" s="157">
        <v>7000</v>
      </c>
      <c r="AG32" s="157">
        <v>6700</v>
      </c>
      <c r="AH32" s="157">
        <v>7000</v>
      </c>
      <c r="AI32" s="157">
        <v>7000</v>
      </c>
      <c r="AJ32" s="157">
        <v>6700</v>
      </c>
      <c r="AK32" s="157">
        <v>7000</v>
      </c>
      <c r="AL32" s="157">
        <v>7000</v>
      </c>
    </row>
    <row r="33" spans="1:38" ht="13.5" customHeight="1">
      <c r="A33" s="92" t="s">
        <v>25</v>
      </c>
      <c r="B33" s="96" t="s">
        <v>55</v>
      </c>
      <c r="C33" s="157">
        <v>5750</v>
      </c>
      <c r="D33" s="157">
        <v>6100</v>
      </c>
      <c r="E33" s="157">
        <v>6100</v>
      </c>
      <c r="F33" s="157">
        <v>5750</v>
      </c>
      <c r="G33" s="157">
        <v>6100</v>
      </c>
      <c r="H33" s="157">
        <v>6100</v>
      </c>
      <c r="I33" s="157">
        <v>5850</v>
      </c>
      <c r="J33" s="157">
        <v>6100</v>
      </c>
      <c r="K33" s="157">
        <v>6100</v>
      </c>
      <c r="L33" s="157">
        <v>5850</v>
      </c>
      <c r="M33" s="157">
        <v>6100</v>
      </c>
      <c r="N33" s="157">
        <v>6100</v>
      </c>
      <c r="O33" s="157">
        <v>5850</v>
      </c>
      <c r="P33" s="157">
        <v>6100</v>
      </c>
      <c r="Q33" s="157">
        <v>6100</v>
      </c>
      <c r="R33" s="157">
        <v>5850</v>
      </c>
      <c r="S33" s="157">
        <v>6100</v>
      </c>
      <c r="T33" s="157">
        <v>6100</v>
      </c>
      <c r="U33" s="157">
        <v>5750</v>
      </c>
      <c r="V33" s="157">
        <v>6100</v>
      </c>
      <c r="W33" s="157">
        <v>6100</v>
      </c>
      <c r="X33" s="157">
        <v>5750</v>
      </c>
      <c r="Y33" s="157">
        <v>6100</v>
      </c>
      <c r="Z33" s="157">
        <v>6100</v>
      </c>
      <c r="AA33" s="157">
        <v>6850</v>
      </c>
      <c r="AB33" s="157">
        <v>7400</v>
      </c>
      <c r="AC33" s="157">
        <v>7400</v>
      </c>
      <c r="AD33" s="157">
        <v>6650</v>
      </c>
      <c r="AE33" s="157">
        <v>6900</v>
      </c>
      <c r="AF33" s="157">
        <v>6900</v>
      </c>
      <c r="AG33" s="157">
        <v>6650</v>
      </c>
      <c r="AH33" s="157">
        <v>6900</v>
      </c>
      <c r="AI33" s="157">
        <v>6900</v>
      </c>
      <c r="AJ33" s="157">
        <v>6650</v>
      </c>
      <c r="AK33" s="157">
        <v>6900</v>
      </c>
      <c r="AL33" s="157">
        <v>6900</v>
      </c>
    </row>
    <row r="34" spans="1:38" ht="13.5" customHeight="1">
      <c r="A34" s="92" t="s">
        <v>26</v>
      </c>
      <c r="B34" s="96" t="s">
        <v>56</v>
      </c>
      <c r="C34" s="157">
        <v>5800</v>
      </c>
      <c r="D34" s="157">
        <v>6200</v>
      </c>
      <c r="E34" s="157">
        <v>6200</v>
      </c>
      <c r="F34" s="157">
        <v>5800</v>
      </c>
      <c r="G34" s="157">
        <v>6200</v>
      </c>
      <c r="H34" s="157">
        <v>6200</v>
      </c>
      <c r="I34" s="157">
        <v>5900</v>
      </c>
      <c r="J34" s="157">
        <v>6200</v>
      </c>
      <c r="K34" s="157">
        <v>6200</v>
      </c>
      <c r="L34" s="157">
        <v>5900</v>
      </c>
      <c r="M34" s="157">
        <v>6200</v>
      </c>
      <c r="N34" s="157">
        <v>6200</v>
      </c>
      <c r="O34" s="157">
        <v>5900</v>
      </c>
      <c r="P34" s="157">
        <v>6200</v>
      </c>
      <c r="Q34" s="157">
        <v>6200</v>
      </c>
      <c r="R34" s="157">
        <v>5900</v>
      </c>
      <c r="S34" s="157">
        <v>6200</v>
      </c>
      <c r="T34" s="157">
        <v>6200</v>
      </c>
      <c r="U34" s="157">
        <v>5800</v>
      </c>
      <c r="V34" s="157">
        <v>6200</v>
      </c>
      <c r="W34" s="157">
        <v>6200</v>
      </c>
      <c r="X34" s="157">
        <v>5800</v>
      </c>
      <c r="Y34" s="157">
        <v>6200</v>
      </c>
      <c r="Z34" s="157">
        <v>6200</v>
      </c>
      <c r="AA34" s="157">
        <v>6900</v>
      </c>
      <c r="AB34" s="157">
        <v>7500</v>
      </c>
      <c r="AC34" s="157">
        <v>7500</v>
      </c>
      <c r="AD34" s="157">
        <v>6700</v>
      </c>
      <c r="AE34" s="157">
        <v>7000</v>
      </c>
      <c r="AF34" s="157">
        <v>7000</v>
      </c>
      <c r="AG34" s="157">
        <v>6700</v>
      </c>
      <c r="AH34" s="157">
        <v>7000</v>
      </c>
      <c r="AI34" s="157">
        <v>7000</v>
      </c>
      <c r="AJ34" s="157">
        <v>6700</v>
      </c>
      <c r="AK34" s="157">
        <v>7000</v>
      </c>
      <c r="AL34" s="157">
        <v>7000</v>
      </c>
    </row>
    <row r="35" spans="1:38" ht="13.5" customHeight="1">
      <c r="A35" s="92" t="s">
        <v>28</v>
      </c>
      <c r="B35" s="96" t="s">
        <v>57</v>
      </c>
      <c r="C35" s="157">
        <v>5800</v>
      </c>
      <c r="D35" s="157">
        <v>6200</v>
      </c>
      <c r="E35" s="157">
        <v>6200</v>
      </c>
      <c r="F35" s="157">
        <v>5800</v>
      </c>
      <c r="G35" s="157">
        <v>6200</v>
      </c>
      <c r="H35" s="157">
        <v>6200</v>
      </c>
      <c r="I35" s="157">
        <v>5900</v>
      </c>
      <c r="J35" s="157">
        <v>6200</v>
      </c>
      <c r="K35" s="157">
        <v>6200</v>
      </c>
      <c r="L35" s="157">
        <v>5900</v>
      </c>
      <c r="M35" s="157">
        <v>6200</v>
      </c>
      <c r="N35" s="157">
        <v>6200</v>
      </c>
      <c r="O35" s="157">
        <v>5900</v>
      </c>
      <c r="P35" s="157">
        <v>6200</v>
      </c>
      <c r="Q35" s="157">
        <v>6200</v>
      </c>
      <c r="R35" s="157">
        <v>5900</v>
      </c>
      <c r="S35" s="157">
        <v>6200</v>
      </c>
      <c r="T35" s="157">
        <v>6200</v>
      </c>
      <c r="U35" s="157">
        <v>5800</v>
      </c>
      <c r="V35" s="157">
        <v>6200</v>
      </c>
      <c r="W35" s="157">
        <v>6200</v>
      </c>
      <c r="X35" s="157">
        <v>5800</v>
      </c>
      <c r="Y35" s="157">
        <v>6200</v>
      </c>
      <c r="Z35" s="157">
        <v>6200</v>
      </c>
      <c r="AA35" s="157">
        <v>6900</v>
      </c>
      <c r="AB35" s="157">
        <v>7500</v>
      </c>
      <c r="AC35" s="157">
        <v>7500</v>
      </c>
      <c r="AD35" s="157">
        <v>6700</v>
      </c>
      <c r="AE35" s="157">
        <v>7000</v>
      </c>
      <c r="AF35" s="157">
        <v>7000</v>
      </c>
      <c r="AG35" s="157">
        <v>6700</v>
      </c>
      <c r="AH35" s="157">
        <v>7000</v>
      </c>
      <c r="AI35" s="157">
        <v>7000</v>
      </c>
      <c r="AJ35" s="157">
        <v>6700</v>
      </c>
      <c r="AK35" s="157">
        <v>7000</v>
      </c>
      <c r="AL35" s="157">
        <v>7000</v>
      </c>
    </row>
    <row r="36" spans="1:38" ht="13.5" customHeight="1">
      <c r="A36" s="92" t="s">
        <v>27</v>
      </c>
      <c r="B36" s="96" t="s">
        <v>58</v>
      </c>
      <c r="C36" s="157">
        <v>5800</v>
      </c>
      <c r="D36" s="157">
        <v>6200</v>
      </c>
      <c r="E36" s="157">
        <v>6200</v>
      </c>
      <c r="F36" s="157">
        <v>5800</v>
      </c>
      <c r="G36" s="157">
        <v>6200</v>
      </c>
      <c r="H36" s="157">
        <v>6200</v>
      </c>
      <c r="I36" s="157">
        <v>5900</v>
      </c>
      <c r="J36" s="157">
        <v>6200</v>
      </c>
      <c r="K36" s="157">
        <v>6200</v>
      </c>
      <c r="L36" s="157">
        <v>5900</v>
      </c>
      <c r="M36" s="157">
        <v>6200</v>
      </c>
      <c r="N36" s="157">
        <v>6200</v>
      </c>
      <c r="O36" s="157">
        <v>5900</v>
      </c>
      <c r="P36" s="157">
        <v>6200</v>
      </c>
      <c r="Q36" s="157">
        <v>6200</v>
      </c>
      <c r="R36" s="157">
        <v>5900</v>
      </c>
      <c r="S36" s="157">
        <v>6200</v>
      </c>
      <c r="T36" s="157">
        <v>6200</v>
      </c>
      <c r="U36" s="157">
        <v>5800</v>
      </c>
      <c r="V36" s="157">
        <v>6200</v>
      </c>
      <c r="W36" s="157">
        <v>6200</v>
      </c>
      <c r="X36" s="157">
        <v>5800</v>
      </c>
      <c r="Y36" s="157">
        <v>6200</v>
      </c>
      <c r="Z36" s="157">
        <v>6200</v>
      </c>
      <c r="AA36" s="157">
        <v>6900</v>
      </c>
      <c r="AB36" s="157">
        <v>7500</v>
      </c>
      <c r="AC36" s="157">
        <v>7500</v>
      </c>
      <c r="AD36" s="157">
        <v>6700</v>
      </c>
      <c r="AE36" s="157">
        <v>7000</v>
      </c>
      <c r="AF36" s="157">
        <v>7000</v>
      </c>
      <c r="AG36" s="157">
        <v>6700</v>
      </c>
      <c r="AH36" s="157">
        <v>7000</v>
      </c>
      <c r="AI36" s="157">
        <v>7000</v>
      </c>
      <c r="AJ36" s="157">
        <v>6700</v>
      </c>
      <c r="AK36" s="157">
        <v>7000</v>
      </c>
      <c r="AL36" s="157">
        <v>7000</v>
      </c>
    </row>
    <row r="37" spans="1:38" ht="13.5" customHeight="1">
      <c r="A37" s="92" t="s">
        <v>334</v>
      </c>
      <c r="B37" s="96" t="s">
        <v>335</v>
      </c>
      <c r="C37" s="157">
        <v>5800</v>
      </c>
      <c r="D37" s="157">
        <v>6200</v>
      </c>
      <c r="E37" s="157">
        <v>6200</v>
      </c>
      <c r="F37" s="157">
        <v>5800</v>
      </c>
      <c r="G37" s="157">
        <v>6200</v>
      </c>
      <c r="H37" s="157">
        <v>6200</v>
      </c>
      <c r="I37" s="157">
        <v>5900</v>
      </c>
      <c r="J37" s="157">
        <v>6200</v>
      </c>
      <c r="K37" s="157">
        <v>6200</v>
      </c>
      <c r="L37" s="157">
        <v>5900</v>
      </c>
      <c r="M37" s="157">
        <v>6200</v>
      </c>
      <c r="N37" s="157">
        <v>6200</v>
      </c>
      <c r="O37" s="157">
        <v>5900</v>
      </c>
      <c r="P37" s="157">
        <v>6200</v>
      </c>
      <c r="Q37" s="157">
        <v>6200</v>
      </c>
      <c r="R37" s="157">
        <v>5900</v>
      </c>
      <c r="S37" s="157">
        <v>6200</v>
      </c>
      <c r="T37" s="157">
        <v>6200</v>
      </c>
      <c r="U37" s="157">
        <v>5800</v>
      </c>
      <c r="V37" s="157">
        <v>6200</v>
      </c>
      <c r="W37" s="157">
        <v>6200</v>
      </c>
      <c r="X37" s="157">
        <v>5800</v>
      </c>
      <c r="Y37" s="157">
        <v>6200</v>
      </c>
      <c r="Z37" s="157">
        <v>6200</v>
      </c>
      <c r="AA37" s="157">
        <v>6900</v>
      </c>
      <c r="AB37" s="157">
        <v>7500</v>
      </c>
      <c r="AC37" s="157">
        <v>7500</v>
      </c>
      <c r="AD37" s="157">
        <v>6700</v>
      </c>
      <c r="AE37" s="157">
        <v>7000</v>
      </c>
      <c r="AF37" s="157">
        <v>7000</v>
      </c>
      <c r="AG37" s="157">
        <v>6700</v>
      </c>
      <c r="AH37" s="157">
        <v>7000</v>
      </c>
      <c r="AI37" s="157">
        <v>7000</v>
      </c>
      <c r="AJ37" s="157">
        <v>6700</v>
      </c>
      <c r="AK37" s="157">
        <v>7000</v>
      </c>
      <c r="AL37" s="157">
        <v>7000</v>
      </c>
    </row>
    <row r="38" spans="1:38" ht="13.5" customHeight="1">
      <c r="A38" s="92" t="s">
        <v>44</v>
      </c>
      <c r="B38" s="96" t="s">
        <v>122</v>
      </c>
      <c r="C38" s="157">
        <v>5900</v>
      </c>
      <c r="D38" s="157">
        <v>6300</v>
      </c>
      <c r="E38" s="157">
        <v>6300</v>
      </c>
      <c r="F38" s="157">
        <v>5900</v>
      </c>
      <c r="G38" s="157">
        <v>6300</v>
      </c>
      <c r="H38" s="157">
        <v>6300</v>
      </c>
      <c r="I38" s="157">
        <v>6000</v>
      </c>
      <c r="J38" s="157">
        <v>6300</v>
      </c>
      <c r="K38" s="157">
        <v>6300</v>
      </c>
      <c r="L38" s="157">
        <v>6000</v>
      </c>
      <c r="M38" s="157">
        <v>6300</v>
      </c>
      <c r="N38" s="157">
        <v>6300</v>
      </c>
      <c r="O38" s="157">
        <v>6000</v>
      </c>
      <c r="P38" s="157">
        <v>6300</v>
      </c>
      <c r="Q38" s="157">
        <v>6300</v>
      </c>
      <c r="R38" s="157">
        <v>6000</v>
      </c>
      <c r="S38" s="157">
        <v>6300</v>
      </c>
      <c r="T38" s="157">
        <v>6300</v>
      </c>
      <c r="U38" s="157">
        <v>5900</v>
      </c>
      <c r="V38" s="157">
        <v>6300</v>
      </c>
      <c r="W38" s="157">
        <v>6300</v>
      </c>
      <c r="X38" s="157">
        <v>5900</v>
      </c>
      <c r="Y38" s="157">
        <v>6300</v>
      </c>
      <c r="Z38" s="157">
        <v>6300</v>
      </c>
      <c r="AA38" s="157">
        <v>7000</v>
      </c>
      <c r="AB38" s="157">
        <v>7600</v>
      </c>
      <c r="AC38" s="157">
        <v>7600</v>
      </c>
      <c r="AD38" s="157">
        <v>6800</v>
      </c>
      <c r="AE38" s="157">
        <v>7100</v>
      </c>
      <c r="AF38" s="157">
        <v>7100</v>
      </c>
      <c r="AG38" s="157">
        <v>6800</v>
      </c>
      <c r="AH38" s="157">
        <v>7100</v>
      </c>
      <c r="AI38" s="157">
        <v>7100</v>
      </c>
      <c r="AJ38" s="157">
        <v>6800</v>
      </c>
      <c r="AK38" s="157">
        <v>7100</v>
      </c>
      <c r="AL38" s="157">
        <v>7100</v>
      </c>
    </row>
    <row r="39" spans="1:38" ht="13.5" customHeight="1">
      <c r="A39" s="92" t="s">
        <v>45</v>
      </c>
      <c r="B39" s="96" t="s">
        <v>59</v>
      </c>
      <c r="C39" s="157">
        <v>5980</v>
      </c>
      <c r="D39" s="157">
        <v>6560</v>
      </c>
      <c r="E39" s="157">
        <v>6560</v>
      </c>
      <c r="F39" s="157">
        <v>5980</v>
      </c>
      <c r="G39" s="157">
        <v>6560</v>
      </c>
      <c r="H39" s="157">
        <v>6560</v>
      </c>
      <c r="I39" s="157">
        <v>6080</v>
      </c>
      <c r="J39" s="157">
        <v>6560</v>
      </c>
      <c r="K39" s="157">
        <v>6560</v>
      </c>
      <c r="L39" s="157">
        <v>6080</v>
      </c>
      <c r="M39" s="157">
        <v>6560</v>
      </c>
      <c r="N39" s="157">
        <v>6560</v>
      </c>
      <c r="O39" s="157">
        <v>6080</v>
      </c>
      <c r="P39" s="157">
        <v>6560</v>
      </c>
      <c r="Q39" s="157">
        <v>6560</v>
      </c>
      <c r="R39" s="157">
        <v>6080</v>
      </c>
      <c r="S39" s="157">
        <v>6560</v>
      </c>
      <c r="T39" s="157">
        <v>6560</v>
      </c>
      <c r="U39" s="157">
        <v>5980</v>
      </c>
      <c r="V39" s="157">
        <v>6560</v>
      </c>
      <c r="W39" s="157">
        <v>6560</v>
      </c>
      <c r="X39" s="157">
        <v>5980</v>
      </c>
      <c r="Y39" s="157">
        <v>6560</v>
      </c>
      <c r="Z39" s="157">
        <v>6560</v>
      </c>
      <c r="AA39" s="157">
        <v>7080</v>
      </c>
      <c r="AB39" s="157">
        <v>7860</v>
      </c>
      <c r="AC39" s="157">
        <v>7860</v>
      </c>
      <c r="AD39" s="157">
        <v>6880</v>
      </c>
      <c r="AE39" s="157">
        <v>7360</v>
      </c>
      <c r="AF39" s="157">
        <v>7360</v>
      </c>
      <c r="AG39" s="157">
        <v>6880</v>
      </c>
      <c r="AH39" s="157">
        <v>7360</v>
      </c>
      <c r="AI39" s="157">
        <v>7360</v>
      </c>
      <c r="AJ39" s="157">
        <v>6880</v>
      </c>
      <c r="AK39" s="157">
        <v>7360</v>
      </c>
      <c r="AL39" s="157">
        <v>7360</v>
      </c>
    </row>
    <row r="40" spans="1:38" ht="13.5" customHeight="1">
      <c r="A40" s="92" t="s">
        <v>21</v>
      </c>
      <c r="B40" s="96" t="s">
        <v>60</v>
      </c>
      <c r="C40" s="157">
        <v>5750</v>
      </c>
      <c r="D40" s="157">
        <v>6100</v>
      </c>
      <c r="E40" s="157">
        <v>6100</v>
      </c>
      <c r="F40" s="157">
        <v>5750</v>
      </c>
      <c r="G40" s="157">
        <v>6100</v>
      </c>
      <c r="H40" s="157">
        <v>6100</v>
      </c>
      <c r="I40" s="157">
        <v>5850</v>
      </c>
      <c r="J40" s="157">
        <v>6100</v>
      </c>
      <c r="K40" s="157">
        <v>6100</v>
      </c>
      <c r="L40" s="157">
        <v>5850</v>
      </c>
      <c r="M40" s="157">
        <v>6100</v>
      </c>
      <c r="N40" s="157">
        <v>6100</v>
      </c>
      <c r="O40" s="157">
        <v>5850</v>
      </c>
      <c r="P40" s="157">
        <v>6100</v>
      </c>
      <c r="Q40" s="157">
        <v>6100</v>
      </c>
      <c r="R40" s="157">
        <v>5850</v>
      </c>
      <c r="S40" s="157">
        <v>6100</v>
      </c>
      <c r="T40" s="157">
        <v>6100</v>
      </c>
      <c r="U40" s="157">
        <v>5750</v>
      </c>
      <c r="V40" s="157">
        <v>6100</v>
      </c>
      <c r="W40" s="157">
        <v>6100</v>
      </c>
      <c r="X40" s="157">
        <v>5750</v>
      </c>
      <c r="Y40" s="157">
        <v>6100</v>
      </c>
      <c r="Z40" s="157">
        <v>6100</v>
      </c>
      <c r="AA40" s="157">
        <v>6850</v>
      </c>
      <c r="AB40" s="157">
        <v>7400</v>
      </c>
      <c r="AC40" s="157">
        <v>7400</v>
      </c>
      <c r="AD40" s="157">
        <v>6650</v>
      </c>
      <c r="AE40" s="157">
        <v>6900</v>
      </c>
      <c r="AF40" s="157">
        <v>6900</v>
      </c>
      <c r="AG40" s="157">
        <v>6650</v>
      </c>
      <c r="AH40" s="157">
        <v>6900</v>
      </c>
      <c r="AI40" s="157">
        <v>6900</v>
      </c>
      <c r="AJ40" s="157">
        <v>6650</v>
      </c>
      <c r="AK40" s="157">
        <v>6900</v>
      </c>
      <c r="AL40" s="157">
        <v>6900</v>
      </c>
    </row>
    <row r="41" spans="1:38" ht="13.5" customHeight="1">
      <c r="A41" s="92" t="s">
        <v>20</v>
      </c>
      <c r="B41" s="96" t="s">
        <v>61</v>
      </c>
      <c r="C41" s="157">
        <v>5750</v>
      </c>
      <c r="D41" s="157">
        <v>6100</v>
      </c>
      <c r="E41" s="157">
        <v>6100</v>
      </c>
      <c r="F41" s="157">
        <v>5750</v>
      </c>
      <c r="G41" s="157">
        <v>6100</v>
      </c>
      <c r="H41" s="157">
        <v>6100</v>
      </c>
      <c r="I41" s="157">
        <v>5850</v>
      </c>
      <c r="J41" s="157">
        <v>6100</v>
      </c>
      <c r="K41" s="157">
        <v>6100</v>
      </c>
      <c r="L41" s="157">
        <v>5850</v>
      </c>
      <c r="M41" s="157">
        <v>6100</v>
      </c>
      <c r="N41" s="157">
        <v>6100</v>
      </c>
      <c r="O41" s="157">
        <v>5850</v>
      </c>
      <c r="P41" s="157">
        <v>6100</v>
      </c>
      <c r="Q41" s="157">
        <v>6100</v>
      </c>
      <c r="R41" s="157">
        <v>5850</v>
      </c>
      <c r="S41" s="157">
        <v>6100</v>
      </c>
      <c r="T41" s="157">
        <v>6100</v>
      </c>
      <c r="U41" s="157">
        <v>5750</v>
      </c>
      <c r="V41" s="157">
        <v>6100</v>
      </c>
      <c r="W41" s="157">
        <v>6100</v>
      </c>
      <c r="X41" s="157">
        <v>5750</v>
      </c>
      <c r="Y41" s="157">
        <v>6100</v>
      </c>
      <c r="Z41" s="157">
        <v>6100</v>
      </c>
      <c r="AA41" s="157">
        <v>6850</v>
      </c>
      <c r="AB41" s="157">
        <v>7400</v>
      </c>
      <c r="AC41" s="157">
        <v>7400</v>
      </c>
      <c r="AD41" s="157">
        <v>6650</v>
      </c>
      <c r="AE41" s="157">
        <v>6900</v>
      </c>
      <c r="AF41" s="157">
        <v>6900</v>
      </c>
      <c r="AG41" s="157">
        <v>6650</v>
      </c>
      <c r="AH41" s="157">
        <v>6900</v>
      </c>
      <c r="AI41" s="157">
        <v>6900</v>
      </c>
      <c r="AJ41" s="157">
        <v>6650</v>
      </c>
      <c r="AK41" s="157">
        <v>6900</v>
      </c>
      <c r="AL41" s="157">
        <v>6900</v>
      </c>
    </row>
    <row r="42" spans="1:38" ht="13.5" customHeight="1">
      <c r="A42" s="92" t="s">
        <v>22</v>
      </c>
      <c r="B42" s="96" t="s">
        <v>62</v>
      </c>
      <c r="C42" s="157">
        <v>5800</v>
      </c>
      <c r="D42" s="157">
        <v>6200</v>
      </c>
      <c r="E42" s="157">
        <v>6200</v>
      </c>
      <c r="F42" s="157">
        <v>5800</v>
      </c>
      <c r="G42" s="157">
        <v>6200</v>
      </c>
      <c r="H42" s="157">
        <v>6200</v>
      </c>
      <c r="I42" s="157">
        <v>5900</v>
      </c>
      <c r="J42" s="157">
        <v>6200</v>
      </c>
      <c r="K42" s="157">
        <v>6200</v>
      </c>
      <c r="L42" s="157">
        <v>5900</v>
      </c>
      <c r="M42" s="157">
        <v>6200</v>
      </c>
      <c r="N42" s="157">
        <v>6200</v>
      </c>
      <c r="O42" s="157">
        <v>5900</v>
      </c>
      <c r="P42" s="157">
        <v>6200</v>
      </c>
      <c r="Q42" s="157">
        <v>6200</v>
      </c>
      <c r="R42" s="157">
        <v>5900</v>
      </c>
      <c r="S42" s="157">
        <v>6200</v>
      </c>
      <c r="T42" s="157">
        <v>6200</v>
      </c>
      <c r="U42" s="157">
        <v>5800</v>
      </c>
      <c r="V42" s="157">
        <v>6200</v>
      </c>
      <c r="W42" s="157">
        <v>6200</v>
      </c>
      <c r="X42" s="157">
        <v>5800</v>
      </c>
      <c r="Y42" s="157">
        <v>6200</v>
      </c>
      <c r="Z42" s="157">
        <v>6200</v>
      </c>
      <c r="AA42" s="157">
        <v>6900</v>
      </c>
      <c r="AB42" s="157">
        <v>7500</v>
      </c>
      <c r="AC42" s="157">
        <v>7500</v>
      </c>
      <c r="AD42" s="157">
        <v>6700</v>
      </c>
      <c r="AE42" s="157">
        <v>7000</v>
      </c>
      <c r="AF42" s="157">
        <v>7000</v>
      </c>
      <c r="AG42" s="157">
        <v>6700</v>
      </c>
      <c r="AH42" s="157">
        <v>7000</v>
      </c>
      <c r="AI42" s="157">
        <v>7000</v>
      </c>
      <c r="AJ42" s="157">
        <v>6700</v>
      </c>
      <c r="AK42" s="157">
        <v>7000</v>
      </c>
      <c r="AL42" s="157">
        <v>7000</v>
      </c>
    </row>
    <row r="43" spans="1:38" ht="14.25" customHeight="1">
      <c r="A43" s="92" t="s">
        <v>23</v>
      </c>
      <c r="B43" s="96" t="s">
        <v>63</v>
      </c>
      <c r="C43" s="157">
        <v>5850</v>
      </c>
      <c r="D43" s="157">
        <v>6300</v>
      </c>
      <c r="E43" s="157">
        <v>6300</v>
      </c>
      <c r="F43" s="157">
        <v>5850</v>
      </c>
      <c r="G43" s="157">
        <v>6300</v>
      </c>
      <c r="H43" s="157">
        <v>6300</v>
      </c>
      <c r="I43" s="157">
        <v>5950</v>
      </c>
      <c r="J43" s="157">
        <v>6300</v>
      </c>
      <c r="K43" s="157">
        <v>6300</v>
      </c>
      <c r="L43" s="157">
        <v>5950</v>
      </c>
      <c r="M43" s="157">
        <v>6300</v>
      </c>
      <c r="N43" s="157">
        <v>6300</v>
      </c>
      <c r="O43" s="157">
        <v>5950</v>
      </c>
      <c r="P43" s="157">
        <v>6300</v>
      </c>
      <c r="Q43" s="157">
        <v>6300</v>
      </c>
      <c r="R43" s="157">
        <v>5950</v>
      </c>
      <c r="S43" s="157">
        <v>6300</v>
      </c>
      <c r="T43" s="157">
        <v>6300</v>
      </c>
      <c r="U43" s="157">
        <v>5850</v>
      </c>
      <c r="V43" s="157">
        <v>6300</v>
      </c>
      <c r="W43" s="157">
        <v>6300</v>
      </c>
      <c r="X43" s="157">
        <v>5850</v>
      </c>
      <c r="Y43" s="157">
        <v>6300</v>
      </c>
      <c r="Z43" s="157">
        <v>6300</v>
      </c>
      <c r="AA43" s="157">
        <v>6950</v>
      </c>
      <c r="AB43" s="157">
        <v>7600</v>
      </c>
      <c r="AC43" s="157">
        <v>7600</v>
      </c>
      <c r="AD43" s="157">
        <v>6750</v>
      </c>
      <c r="AE43" s="157">
        <v>7100</v>
      </c>
      <c r="AF43" s="157">
        <v>7100</v>
      </c>
      <c r="AG43" s="157">
        <v>6750</v>
      </c>
      <c r="AH43" s="157">
        <v>7100</v>
      </c>
      <c r="AI43" s="157">
        <v>7100</v>
      </c>
      <c r="AJ43" s="157">
        <v>6750</v>
      </c>
      <c r="AK43" s="157">
        <v>7100</v>
      </c>
      <c r="AL43" s="157">
        <v>7100</v>
      </c>
    </row>
    <row r="44" spans="1:38" ht="14.25" customHeight="1">
      <c r="A44" s="92" t="s">
        <v>29</v>
      </c>
      <c r="B44" s="96" t="s">
        <v>64</v>
      </c>
      <c r="C44" s="157">
        <v>5800</v>
      </c>
      <c r="D44" s="157">
        <v>6200</v>
      </c>
      <c r="E44" s="157">
        <v>6200</v>
      </c>
      <c r="F44" s="157">
        <v>5800</v>
      </c>
      <c r="G44" s="157">
        <v>6200</v>
      </c>
      <c r="H44" s="157">
        <v>6200</v>
      </c>
      <c r="I44" s="157">
        <v>5900</v>
      </c>
      <c r="J44" s="157">
        <v>6200</v>
      </c>
      <c r="K44" s="157">
        <v>6200</v>
      </c>
      <c r="L44" s="157">
        <v>5900</v>
      </c>
      <c r="M44" s="157">
        <v>6200</v>
      </c>
      <c r="N44" s="157">
        <v>6200</v>
      </c>
      <c r="O44" s="157">
        <v>5900</v>
      </c>
      <c r="P44" s="157">
        <v>6200</v>
      </c>
      <c r="Q44" s="157">
        <v>6200</v>
      </c>
      <c r="R44" s="157">
        <v>5900</v>
      </c>
      <c r="S44" s="157">
        <v>6200</v>
      </c>
      <c r="T44" s="157">
        <v>6200</v>
      </c>
      <c r="U44" s="157">
        <v>5800</v>
      </c>
      <c r="V44" s="157">
        <v>6200</v>
      </c>
      <c r="W44" s="157">
        <v>6200</v>
      </c>
      <c r="X44" s="157">
        <v>5800</v>
      </c>
      <c r="Y44" s="157">
        <v>6200</v>
      </c>
      <c r="Z44" s="157">
        <v>6200</v>
      </c>
      <c r="AA44" s="157">
        <v>6900</v>
      </c>
      <c r="AB44" s="157">
        <v>7500</v>
      </c>
      <c r="AC44" s="157">
        <v>7500</v>
      </c>
      <c r="AD44" s="157">
        <v>6700</v>
      </c>
      <c r="AE44" s="157">
        <v>7000</v>
      </c>
      <c r="AF44" s="157">
        <v>7000</v>
      </c>
      <c r="AG44" s="157">
        <v>6700</v>
      </c>
      <c r="AH44" s="157">
        <v>7000</v>
      </c>
      <c r="AI44" s="157">
        <v>7000</v>
      </c>
      <c r="AJ44" s="157">
        <v>6700</v>
      </c>
      <c r="AK44" s="157">
        <v>7000</v>
      </c>
      <c r="AL44" s="157">
        <v>7000</v>
      </c>
    </row>
    <row r="45" spans="1:38" ht="14.25" customHeight="1">
      <c r="A45" s="100" t="s">
        <v>199</v>
      </c>
      <c r="B45" s="96" t="s">
        <v>166</v>
      </c>
      <c r="C45" s="157">
        <v>5850</v>
      </c>
      <c r="D45" s="157">
        <v>6300</v>
      </c>
      <c r="E45" s="157">
        <v>6300</v>
      </c>
      <c r="F45" s="157">
        <v>5850</v>
      </c>
      <c r="G45" s="157">
        <v>6300</v>
      </c>
      <c r="H45" s="157">
        <v>6300</v>
      </c>
      <c r="I45" s="157">
        <v>5950</v>
      </c>
      <c r="J45" s="157">
        <v>6300</v>
      </c>
      <c r="K45" s="157">
        <v>6300</v>
      </c>
      <c r="L45" s="157">
        <v>5950</v>
      </c>
      <c r="M45" s="157">
        <v>6300</v>
      </c>
      <c r="N45" s="157">
        <v>6300</v>
      </c>
      <c r="O45" s="157">
        <v>5950</v>
      </c>
      <c r="P45" s="157">
        <v>6300</v>
      </c>
      <c r="Q45" s="157">
        <v>6300</v>
      </c>
      <c r="R45" s="157">
        <v>5950</v>
      </c>
      <c r="S45" s="157">
        <v>6300</v>
      </c>
      <c r="T45" s="157">
        <v>6300</v>
      </c>
      <c r="U45" s="157">
        <v>5850</v>
      </c>
      <c r="V45" s="157">
        <v>6300</v>
      </c>
      <c r="W45" s="157">
        <v>6300</v>
      </c>
      <c r="X45" s="157">
        <v>5850</v>
      </c>
      <c r="Y45" s="157">
        <v>6300</v>
      </c>
      <c r="Z45" s="157">
        <v>6300</v>
      </c>
      <c r="AA45" s="157">
        <v>6950</v>
      </c>
      <c r="AB45" s="157">
        <v>7600</v>
      </c>
      <c r="AC45" s="157">
        <v>7600</v>
      </c>
      <c r="AD45" s="157">
        <v>6750</v>
      </c>
      <c r="AE45" s="157">
        <v>7100</v>
      </c>
      <c r="AF45" s="157">
        <v>7100</v>
      </c>
      <c r="AG45" s="157">
        <v>6750</v>
      </c>
      <c r="AH45" s="157">
        <v>7100</v>
      </c>
      <c r="AI45" s="157">
        <v>7100</v>
      </c>
      <c r="AJ45" s="157">
        <v>6750</v>
      </c>
      <c r="AK45" s="157">
        <v>7100</v>
      </c>
      <c r="AL45" s="157">
        <v>7100</v>
      </c>
    </row>
    <row r="46" spans="1:38">
      <c r="A46" s="100" t="s">
        <v>200</v>
      </c>
      <c r="B46" s="96" t="s">
        <v>167</v>
      </c>
      <c r="C46" s="157">
        <v>5850</v>
      </c>
      <c r="D46" s="157">
        <v>6300</v>
      </c>
      <c r="E46" s="157">
        <v>6300</v>
      </c>
      <c r="F46" s="157">
        <v>5850</v>
      </c>
      <c r="G46" s="157">
        <v>6300</v>
      </c>
      <c r="H46" s="157">
        <v>6300</v>
      </c>
      <c r="I46" s="157">
        <v>5950</v>
      </c>
      <c r="J46" s="157">
        <v>6300</v>
      </c>
      <c r="K46" s="157">
        <v>6300</v>
      </c>
      <c r="L46" s="157">
        <v>5950</v>
      </c>
      <c r="M46" s="157">
        <v>6300</v>
      </c>
      <c r="N46" s="157">
        <v>6300</v>
      </c>
      <c r="O46" s="157">
        <v>5950</v>
      </c>
      <c r="P46" s="157">
        <v>6300</v>
      </c>
      <c r="Q46" s="157">
        <v>6300</v>
      </c>
      <c r="R46" s="157">
        <v>5950</v>
      </c>
      <c r="S46" s="157">
        <v>6300</v>
      </c>
      <c r="T46" s="157">
        <v>6300</v>
      </c>
      <c r="U46" s="157">
        <v>5850</v>
      </c>
      <c r="V46" s="157">
        <v>6300</v>
      </c>
      <c r="W46" s="157">
        <v>6300</v>
      </c>
      <c r="X46" s="157">
        <v>5850</v>
      </c>
      <c r="Y46" s="157">
        <v>6300</v>
      </c>
      <c r="Z46" s="157">
        <v>6300</v>
      </c>
      <c r="AA46" s="157">
        <v>6950</v>
      </c>
      <c r="AB46" s="157">
        <v>7600</v>
      </c>
      <c r="AC46" s="157">
        <v>7600</v>
      </c>
      <c r="AD46" s="157">
        <v>6750</v>
      </c>
      <c r="AE46" s="157">
        <v>7100</v>
      </c>
      <c r="AF46" s="157">
        <v>7100</v>
      </c>
      <c r="AG46" s="157">
        <v>6750</v>
      </c>
      <c r="AH46" s="157">
        <v>7100</v>
      </c>
      <c r="AI46" s="157">
        <v>7100</v>
      </c>
      <c r="AJ46" s="157">
        <v>6750</v>
      </c>
      <c r="AK46" s="157">
        <v>7100</v>
      </c>
      <c r="AL46" s="157">
        <v>7100</v>
      </c>
    </row>
    <row r="47" spans="1:38">
      <c r="A47" s="92" t="s">
        <v>30</v>
      </c>
      <c r="B47" s="96" t="s">
        <v>65</v>
      </c>
      <c r="C47" s="157">
        <v>6000</v>
      </c>
      <c r="D47" s="157">
        <v>6600</v>
      </c>
      <c r="E47" s="157">
        <v>6600</v>
      </c>
      <c r="F47" s="157">
        <v>6000</v>
      </c>
      <c r="G47" s="157">
        <v>6600</v>
      </c>
      <c r="H47" s="157">
        <v>6600</v>
      </c>
      <c r="I47" s="157">
        <v>6100</v>
      </c>
      <c r="J47" s="157">
        <v>6600</v>
      </c>
      <c r="K47" s="157">
        <v>6600</v>
      </c>
      <c r="L47" s="157">
        <v>6100</v>
      </c>
      <c r="M47" s="157">
        <v>6600</v>
      </c>
      <c r="N47" s="157">
        <v>6600</v>
      </c>
      <c r="O47" s="157">
        <v>6100</v>
      </c>
      <c r="P47" s="157">
        <v>6600</v>
      </c>
      <c r="Q47" s="157">
        <v>6600</v>
      </c>
      <c r="R47" s="157">
        <v>6100</v>
      </c>
      <c r="S47" s="157">
        <v>6600</v>
      </c>
      <c r="T47" s="157">
        <v>6600</v>
      </c>
      <c r="U47" s="157">
        <v>6000</v>
      </c>
      <c r="V47" s="157">
        <v>6600</v>
      </c>
      <c r="W47" s="157">
        <v>6600</v>
      </c>
      <c r="X47" s="157">
        <v>6000</v>
      </c>
      <c r="Y47" s="157">
        <v>6600</v>
      </c>
      <c r="Z47" s="157">
        <v>6600</v>
      </c>
      <c r="AA47" s="157">
        <v>7100</v>
      </c>
      <c r="AB47" s="157">
        <v>7900</v>
      </c>
      <c r="AC47" s="157">
        <v>7900</v>
      </c>
      <c r="AD47" s="157">
        <v>6900</v>
      </c>
      <c r="AE47" s="157">
        <v>7400</v>
      </c>
      <c r="AF47" s="157">
        <v>7400</v>
      </c>
      <c r="AG47" s="157">
        <v>6900</v>
      </c>
      <c r="AH47" s="157">
        <v>7400</v>
      </c>
      <c r="AI47" s="157">
        <v>7400</v>
      </c>
      <c r="AJ47" s="157">
        <v>6900</v>
      </c>
      <c r="AK47" s="157">
        <v>7400</v>
      </c>
      <c r="AL47" s="157">
        <v>7400</v>
      </c>
    </row>
    <row r="48" spans="1:38" ht="14.25" customHeight="1">
      <c r="A48" s="92" t="s">
        <v>46</v>
      </c>
      <c r="B48" s="96" t="s">
        <v>66</v>
      </c>
      <c r="C48" s="157">
        <v>5800</v>
      </c>
      <c r="D48" s="157">
        <v>6200</v>
      </c>
      <c r="E48" s="157">
        <v>6200</v>
      </c>
      <c r="F48" s="157">
        <v>5800</v>
      </c>
      <c r="G48" s="157">
        <v>6200</v>
      </c>
      <c r="H48" s="157">
        <v>6200</v>
      </c>
      <c r="I48" s="157">
        <v>5900</v>
      </c>
      <c r="J48" s="157">
        <v>6200</v>
      </c>
      <c r="K48" s="157">
        <v>6200</v>
      </c>
      <c r="L48" s="157">
        <v>5900</v>
      </c>
      <c r="M48" s="157">
        <v>6200</v>
      </c>
      <c r="N48" s="157">
        <v>6200</v>
      </c>
      <c r="O48" s="157">
        <v>5900</v>
      </c>
      <c r="P48" s="157">
        <v>6200</v>
      </c>
      <c r="Q48" s="157">
        <v>6200</v>
      </c>
      <c r="R48" s="157">
        <v>5900</v>
      </c>
      <c r="S48" s="157">
        <v>6200</v>
      </c>
      <c r="T48" s="157">
        <v>6200</v>
      </c>
      <c r="U48" s="157">
        <v>5800</v>
      </c>
      <c r="V48" s="157">
        <v>6200</v>
      </c>
      <c r="W48" s="157">
        <v>6200</v>
      </c>
      <c r="X48" s="157">
        <v>5800</v>
      </c>
      <c r="Y48" s="157">
        <v>6200</v>
      </c>
      <c r="Z48" s="157">
        <v>6200</v>
      </c>
      <c r="AA48" s="157">
        <v>6900</v>
      </c>
      <c r="AB48" s="157">
        <v>7500</v>
      </c>
      <c r="AC48" s="157">
        <v>7500</v>
      </c>
      <c r="AD48" s="157">
        <v>6700</v>
      </c>
      <c r="AE48" s="157">
        <v>7000</v>
      </c>
      <c r="AF48" s="157">
        <v>7000</v>
      </c>
      <c r="AG48" s="157">
        <v>6700</v>
      </c>
      <c r="AH48" s="157">
        <v>7000</v>
      </c>
      <c r="AI48" s="157">
        <v>7000</v>
      </c>
      <c r="AJ48" s="157">
        <v>6700</v>
      </c>
      <c r="AK48" s="157">
        <v>7000</v>
      </c>
      <c r="AL48" s="157">
        <v>7000</v>
      </c>
    </row>
    <row r="49" spans="1:38" ht="14.25" customHeight="1">
      <c r="A49" s="92" t="s">
        <v>125</v>
      </c>
      <c r="B49" s="96" t="s">
        <v>67</v>
      </c>
      <c r="C49" s="157">
        <v>5850</v>
      </c>
      <c r="D49" s="157">
        <v>6300</v>
      </c>
      <c r="E49" s="157">
        <v>6300</v>
      </c>
      <c r="F49" s="157">
        <v>5850</v>
      </c>
      <c r="G49" s="157">
        <v>6300</v>
      </c>
      <c r="H49" s="157">
        <v>6300</v>
      </c>
      <c r="I49" s="157">
        <v>5950</v>
      </c>
      <c r="J49" s="157">
        <v>6300</v>
      </c>
      <c r="K49" s="157">
        <v>6300</v>
      </c>
      <c r="L49" s="157">
        <v>5950</v>
      </c>
      <c r="M49" s="157">
        <v>6300</v>
      </c>
      <c r="N49" s="157">
        <v>6300</v>
      </c>
      <c r="O49" s="157">
        <v>5950</v>
      </c>
      <c r="P49" s="157">
        <v>6300</v>
      </c>
      <c r="Q49" s="157">
        <v>6300</v>
      </c>
      <c r="R49" s="157">
        <v>5950</v>
      </c>
      <c r="S49" s="157">
        <v>6300</v>
      </c>
      <c r="T49" s="157">
        <v>6300</v>
      </c>
      <c r="U49" s="157">
        <v>5850</v>
      </c>
      <c r="V49" s="157">
        <v>6300</v>
      </c>
      <c r="W49" s="157">
        <v>6300</v>
      </c>
      <c r="X49" s="157">
        <v>5850</v>
      </c>
      <c r="Y49" s="157">
        <v>6300</v>
      </c>
      <c r="Z49" s="157">
        <v>6300</v>
      </c>
      <c r="AA49" s="157">
        <v>6950</v>
      </c>
      <c r="AB49" s="157">
        <v>7600</v>
      </c>
      <c r="AC49" s="157">
        <v>7600</v>
      </c>
      <c r="AD49" s="157">
        <v>6750</v>
      </c>
      <c r="AE49" s="157">
        <v>7100</v>
      </c>
      <c r="AF49" s="157">
        <v>7100</v>
      </c>
      <c r="AG49" s="157">
        <v>6750</v>
      </c>
      <c r="AH49" s="157">
        <v>7100</v>
      </c>
      <c r="AI49" s="157">
        <v>7100</v>
      </c>
      <c r="AJ49" s="157">
        <v>6750</v>
      </c>
      <c r="AK49" s="157">
        <v>7100</v>
      </c>
      <c r="AL49" s="157">
        <v>7100</v>
      </c>
    </row>
    <row r="50" spans="1:38">
      <c r="A50" s="92" t="s">
        <v>47</v>
      </c>
      <c r="B50" s="96" t="s">
        <v>68</v>
      </c>
      <c r="C50" s="157">
        <v>5850</v>
      </c>
      <c r="D50" s="157">
        <v>6300</v>
      </c>
      <c r="E50" s="157">
        <v>6300</v>
      </c>
      <c r="F50" s="157">
        <v>5850</v>
      </c>
      <c r="G50" s="157">
        <v>6300</v>
      </c>
      <c r="H50" s="157">
        <v>6300</v>
      </c>
      <c r="I50" s="157">
        <v>5950</v>
      </c>
      <c r="J50" s="157">
        <v>6300</v>
      </c>
      <c r="K50" s="157">
        <v>6300</v>
      </c>
      <c r="L50" s="157">
        <v>5950</v>
      </c>
      <c r="M50" s="157">
        <v>6300</v>
      </c>
      <c r="N50" s="157">
        <v>6300</v>
      </c>
      <c r="O50" s="157">
        <v>5950</v>
      </c>
      <c r="P50" s="157">
        <v>6300</v>
      </c>
      <c r="Q50" s="157">
        <v>6300</v>
      </c>
      <c r="R50" s="157">
        <v>5950</v>
      </c>
      <c r="S50" s="157">
        <v>6300</v>
      </c>
      <c r="T50" s="157">
        <v>6300</v>
      </c>
      <c r="U50" s="157">
        <v>5850</v>
      </c>
      <c r="V50" s="157">
        <v>6300</v>
      </c>
      <c r="W50" s="157">
        <v>6300</v>
      </c>
      <c r="X50" s="157">
        <v>5850</v>
      </c>
      <c r="Y50" s="157">
        <v>6300</v>
      </c>
      <c r="Z50" s="157">
        <v>6300</v>
      </c>
      <c r="AA50" s="157">
        <v>6950</v>
      </c>
      <c r="AB50" s="157">
        <v>7600</v>
      </c>
      <c r="AC50" s="157">
        <v>7600</v>
      </c>
      <c r="AD50" s="157">
        <v>6750</v>
      </c>
      <c r="AE50" s="157">
        <v>7100</v>
      </c>
      <c r="AF50" s="157">
        <v>7100</v>
      </c>
      <c r="AG50" s="157">
        <v>6750</v>
      </c>
      <c r="AH50" s="157">
        <v>7100</v>
      </c>
      <c r="AI50" s="157">
        <v>7100</v>
      </c>
      <c r="AJ50" s="157">
        <v>6750</v>
      </c>
      <c r="AK50" s="157">
        <v>7100</v>
      </c>
      <c r="AL50" s="157">
        <v>7100</v>
      </c>
    </row>
    <row r="51" spans="1:38">
      <c r="A51" s="100" t="s">
        <v>201</v>
      </c>
      <c r="B51" s="101" t="s">
        <v>168</v>
      </c>
      <c r="C51" s="157">
        <v>6000</v>
      </c>
      <c r="D51" s="157">
        <v>6300</v>
      </c>
      <c r="E51" s="157">
        <v>6300</v>
      </c>
      <c r="F51" s="157">
        <v>6000</v>
      </c>
      <c r="G51" s="157">
        <v>6300</v>
      </c>
      <c r="H51" s="157">
        <v>6300</v>
      </c>
      <c r="I51" s="157">
        <v>6100</v>
      </c>
      <c r="J51" s="157">
        <v>6300</v>
      </c>
      <c r="K51" s="157">
        <v>6300</v>
      </c>
      <c r="L51" s="157">
        <v>6100</v>
      </c>
      <c r="M51" s="157">
        <v>6300</v>
      </c>
      <c r="N51" s="157">
        <v>6300</v>
      </c>
      <c r="O51" s="157">
        <v>6100</v>
      </c>
      <c r="P51" s="157">
        <v>6300</v>
      </c>
      <c r="Q51" s="157">
        <v>6300</v>
      </c>
      <c r="R51" s="157">
        <v>6100</v>
      </c>
      <c r="S51" s="157">
        <v>6300</v>
      </c>
      <c r="T51" s="157">
        <v>6300</v>
      </c>
      <c r="U51" s="157">
        <v>6000</v>
      </c>
      <c r="V51" s="157">
        <v>6300</v>
      </c>
      <c r="W51" s="157">
        <v>6300</v>
      </c>
      <c r="X51" s="157">
        <v>6000</v>
      </c>
      <c r="Y51" s="157">
        <v>6300</v>
      </c>
      <c r="Z51" s="157">
        <v>6300</v>
      </c>
      <c r="AA51" s="157">
        <v>7100</v>
      </c>
      <c r="AB51" s="157">
        <v>7600</v>
      </c>
      <c r="AC51" s="157">
        <v>7600</v>
      </c>
      <c r="AD51" s="157">
        <v>6900</v>
      </c>
      <c r="AE51" s="157">
        <v>7100</v>
      </c>
      <c r="AF51" s="157">
        <v>7100</v>
      </c>
      <c r="AG51" s="157">
        <v>6900</v>
      </c>
      <c r="AH51" s="157">
        <v>7100</v>
      </c>
      <c r="AI51" s="157">
        <v>7100</v>
      </c>
      <c r="AJ51" s="157">
        <v>6900</v>
      </c>
      <c r="AK51" s="157">
        <v>7100</v>
      </c>
      <c r="AL51" s="157">
        <v>7100</v>
      </c>
    </row>
    <row r="52" spans="1:38">
      <c r="A52" s="100" t="s">
        <v>202</v>
      </c>
      <c r="B52" s="101" t="s">
        <v>169</v>
      </c>
      <c r="C52" s="157">
        <v>6000</v>
      </c>
      <c r="D52" s="157">
        <v>6300</v>
      </c>
      <c r="E52" s="157">
        <v>6300</v>
      </c>
      <c r="F52" s="157">
        <v>6000</v>
      </c>
      <c r="G52" s="157">
        <v>6300</v>
      </c>
      <c r="H52" s="157">
        <v>6300</v>
      </c>
      <c r="I52" s="157">
        <v>6100</v>
      </c>
      <c r="J52" s="157">
        <v>6300</v>
      </c>
      <c r="K52" s="157">
        <v>6300</v>
      </c>
      <c r="L52" s="157">
        <v>6100</v>
      </c>
      <c r="M52" s="157">
        <v>6300</v>
      </c>
      <c r="N52" s="157">
        <v>6300</v>
      </c>
      <c r="O52" s="157">
        <v>6100</v>
      </c>
      <c r="P52" s="157">
        <v>6300</v>
      </c>
      <c r="Q52" s="157">
        <v>6300</v>
      </c>
      <c r="R52" s="157">
        <v>6100</v>
      </c>
      <c r="S52" s="157">
        <v>6300</v>
      </c>
      <c r="T52" s="157">
        <v>6300</v>
      </c>
      <c r="U52" s="157">
        <v>6000</v>
      </c>
      <c r="V52" s="157">
        <v>6300</v>
      </c>
      <c r="W52" s="157">
        <v>6300</v>
      </c>
      <c r="X52" s="157">
        <v>6000</v>
      </c>
      <c r="Y52" s="157">
        <v>6300</v>
      </c>
      <c r="Z52" s="157">
        <v>6300</v>
      </c>
      <c r="AA52" s="157">
        <v>7100</v>
      </c>
      <c r="AB52" s="157">
        <v>7600</v>
      </c>
      <c r="AC52" s="157">
        <v>7600</v>
      </c>
      <c r="AD52" s="157">
        <v>6900</v>
      </c>
      <c r="AE52" s="157">
        <v>7100</v>
      </c>
      <c r="AF52" s="157">
        <v>7100</v>
      </c>
      <c r="AG52" s="157">
        <v>6900</v>
      </c>
      <c r="AH52" s="157">
        <v>7100</v>
      </c>
      <c r="AI52" s="157">
        <v>7100</v>
      </c>
      <c r="AJ52" s="157">
        <v>6900</v>
      </c>
      <c r="AK52" s="157">
        <v>7100</v>
      </c>
      <c r="AL52" s="157">
        <v>7100</v>
      </c>
    </row>
    <row r="53" spans="1:38">
      <c r="A53" s="100" t="s">
        <v>203</v>
      </c>
      <c r="B53" s="101" t="s">
        <v>170</v>
      </c>
      <c r="C53" s="157">
        <v>6000</v>
      </c>
      <c r="D53" s="157">
        <v>6300</v>
      </c>
      <c r="E53" s="157">
        <v>6300</v>
      </c>
      <c r="F53" s="157">
        <v>6000</v>
      </c>
      <c r="G53" s="157">
        <v>6300</v>
      </c>
      <c r="H53" s="157">
        <v>6300</v>
      </c>
      <c r="I53" s="157">
        <v>6100</v>
      </c>
      <c r="J53" s="157">
        <v>6300</v>
      </c>
      <c r="K53" s="157">
        <v>6300</v>
      </c>
      <c r="L53" s="157">
        <v>6100</v>
      </c>
      <c r="M53" s="157">
        <v>6300</v>
      </c>
      <c r="N53" s="157">
        <v>6300</v>
      </c>
      <c r="O53" s="157">
        <v>6100</v>
      </c>
      <c r="P53" s="157">
        <v>6300</v>
      </c>
      <c r="Q53" s="157">
        <v>6300</v>
      </c>
      <c r="R53" s="157">
        <v>6100</v>
      </c>
      <c r="S53" s="157">
        <v>6300</v>
      </c>
      <c r="T53" s="157">
        <v>6300</v>
      </c>
      <c r="U53" s="157">
        <v>6000</v>
      </c>
      <c r="V53" s="157">
        <v>6300</v>
      </c>
      <c r="W53" s="157">
        <v>6300</v>
      </c>
      <c r="X53" s="157">
        <v>6000</v>
      </c>
      <c r="Y53" s="157">
        <v>6300</v>
      </c>
      <c r="Z53" s="157">
        <v>6300</v>
      </c>
      <c r="AA53" s="157">
        <v>7100</v>
      </c>
      <c r="AB53" s="157">
        <v>7600</v>
      </c>
      <c r="AC53" s="157">
        <v>7600</v>
      </c>
      <c r="AD53" s="157">
        <v>6900</v>
      </c>
      <c r="AE53" s="157">
        <v>7100</v>
      </c>
      <c r="AF53" s="157">
        <v>7100</v>
      </c>
      <c r="AG53" s="157">
        <v>6900</v>
      </c>
      <c r="AH53" s="157">
        <v>7100</v>
      </c>
      <c r="AI53" s="157">
        <v>7100</v>
      </c>
      <c r="AJ53" s="157">
        <v>6900</v>
      </c>
      <c r="AK53" s="157">
        <v>7100</v>
      </c>
      <c r="AL53" s="157">
        <v>7100</v>
      </c>
    </row>
    <row r="54" spans="1:38">
      <c r="A54" s="100" t="s">
        <v>204</v>
      </c>
      <c r="B54" s="101" t="s">
        <v>171</v>
      </c>
      <c r="C54" s="157">
        <v>6000</v>
      </c>
      <c r="D54" s="157">
        <v>6300</v>
      </c>
      <c r="E54" s="157">
        <v>6300</v>
      </c>
      <c r="F54" s="157">
        <v>6000</v>
      </c>
      <c r="G54" s="157">
        <v>6300</v>
      </c>
      <c r="H54" s="157">
        <v>6300</v>
      </c>
      <c r="I54" s="157">
        <v>6100</v>
      </c>
      <c r="J54" s="157">
        <v>6300</v>
      </c>
      <c r="K54" s="157">
        <v>6300</v>
      </c>
      <c r="L54" s="157">
        <v>6100</v>
      </c>
      <c r="M54" s="157">
        <v>6300</v>
      </c>
      <c r="N54" s="157">
        <v>6300</v>
      </c>
      <c r="O54" s="157">
        <v>6100</v>
      </c>
      <c r="P54" s="157">
        <v>6300</v>
      </c>
      <c r="Q54" s="157">
        <v>6300</v>
      </c>
      <c r="R54" s="157">
        <v>6100</v>
      </c>
      <c r="S54" s="157">
        <v>6300</v>
      </c>
      <c r="T54" s="157">
        <v>6300</v>
      </c>
      <c r="U54" s="157">
        <v>6000</v>
      </c>
      <c r="V54" s="157">
        <v>6300</v>
      </c>
      <c r="W54" s="157">
        <v>6300</v>
      </c>
      <c r="X54" s="157">
        <v>6000</v>
      </c>
      <c r="Y54" s="157">
        <v>6300</v>
      </c>
      <c r="Z54" s="157">
        <v>6300</v>
      </c>
      <c r="AA54" s="157">
        <v>7100</v>
      </c>
      <c r="AB54" s="157">
        <v>7600</v>
      </c>
      <c r="AC54" s="157">
        <v>7600</v>
      </c>
      <c r="AD54" s="157">
        <v>6900</v>
      </c>
      <c r="AE54" s="157">
        <v>7100</v>
      </c>
      <c r="AF54" s="157">
        <v>7100</v>
      </c>
      <c r="AG54" s="157">
        <v>6900</v>
      </c>
      <c r="AH54" s="157">
        <v>7100</v>
      </c>
      <c r="AI54" s="157">
        <v>7100</v>
      </c>
      <c r="AJ54" s="157">
        <v>6900</v>
      </c>
      <c r="AK54" s="157">
        <v>7100</v>
      </c>
      <c r="AL54" s="157">
        <v>7100</v>
      </c>
    </row>
    <row r="55" spans="1:38" ht="14.25" customHeight="1">
      <c r="A55" s="100" t="s">
        <v>205</v>
      </c>
      <c r="B55" s="101" t="s">
        <v>172</v>
      </c>
      <c r="C55" s="157">
        <v>6000</v>
      </c>
      <c r="D55" s="157">
        <v>6300</v>
      </c>
      <c r="E55" s="157">
        <v>6300</v>
      </c>
      <c r="F55" s="157">
        <v>6000</v>
      </c>
      <c r="G55" s="157">
        <v>6300</v>
      </c>
      <c r="H55" s="157">
        <v>6300</v>
      </c>
      <c r="I55" s="157">
        <v>6100</v>
      </c>
      <c r="J55" s="157">
        <v>6300</v>
      </c>
      <c r="K55" s="157">
        <v>6300</v>
      </c>
      <c r="L55" s="157">
        <v>6100</v>
      </c>
      <c r="M55" s="157">
        <v>6300</v>
      </c>
      <c r="N55" s="157">
        <v>6300</v>
      </c>
      <c r="O55" s="157">
        <v>6100</v>
      </c>
      <c r="P55" s="157">
        <v>6300</v>
      </c>
      <c r="Q55" s="157">
        <v>6300</v>
      </c>
      <c r="R55" s="157">
        <v>6100</v>
      </c>
      <c r="S55" s="157">
        <v>6300</v>
      </c>
      <c r="T55" s="157">
        <v>6300</v>
      </c>
      <c r="U55" s="157">
        <v>6000</v>
      </c>
      <c r="V55" s="157">
        <v>6300</v>
      </c>
      <c r="W55" s="157">
        <v>6300</v>
      </c>
      <c r="X55" s="157">
        <v>6000</v>
      </c>
      <c r="Y55" s="157">
        <v>6300</v>
      </c>
      <c r="Z55" s="157">
        <v>6300</v>
      </c>
      <c r="AA55" s="157">
        <v>7100</v>
      </c>
      <c r="AB55" s="157">
        <v>7600</v>
      </c>
      <c r="AC55" s="157">
        <v>7600</v>
      </c>
      <c r="AD55" s="157">
        <v>6900</v>
      </c>
      <c r="AE55" s="157">
        <v>7100</v>
      </c>
      <c r="AF55" s="157">
        <v>7100</v>
      </c>
      <c r="AG55" s="157">
        <v>6900</v>
      </c>
      <c r="AH55" s="157">
        <v>7100</v>
      </c>
      <c r="AI55" s="157">
        <v>7100</v>
      </c>
      <c r="AJ55" s="157">
        <v>6900</v>
      </c>
      <c r="AK55" s="157">
        <v>7100</v>
      </c>
      <c r="AL55" s="157">
        <v>7100</v>
      </c>
    </row>
    <row r="56" spans="1:38" ht="14.25" customHeight="1">
      <c r="A56" s="100" t="s">
        <v>206</v>
      </c>
      <c r="B56" s="101" t="s">
        <v>173</v>
      </c>
      <c r="C56" s="160">
        <v>6000</v>
      </c>
      <c r="D56" s="160">
        <v>6300</v>
      </c>
      <c r="E56" s="160">
        <v>6300</v>
      </c>
      <c r="F56" s="160">
        <v>6000</v>
      </c>
      <c r="G56" s="160">
        <v>6300</v>
      </c>
      <c r="H56" s="160">
        <v>6300</v>
      </c>
      <c r="I56" s="160">
        <v>6100</v>
      </c>
      <c r="J56" s="160">
        <v>6300</v>
      </c>
      <c r="K56" s="160">
        <v>6300</v>
      </c>
      <c r="L56" s="160">
        <v>6100</v>
      </c>
      <c r="M56" s="160">
        <v>6300</v>
      </c>
      <c r="N56" s="160">
        <v>6300</v>
      </c>
      <c r="O56" s="157">
        <v>6100</v>
      </c>
      <c r="P56" s="160">
        <v>6300</v>
      </c>
      <c r="Q56" s="160">
        <v>6300</v>
      </c>
      <c r="R56" s="160">
        <v>6100</v>
      </c>
      <c r="S56" s="160">
        <v>6300</v>
      </c>
      <c r="T56" s="160">
        <v>6300</v>
      </c>
      <c r="U56" s="160">
        <v>6000</v>
      </c>
      <c r="V56" s="160">
        <v>6300</v>
      </c>
      <c r="W56" s="160">
        <v>6300</v>
      </c>
      <c r="X56" s="160">
        <v>6000</v>
      </c>
      <c r="Y56" s="160">
        <v>6300</v>
      </c>
      <c r="Z56" s="160">
        <v>6300</v>
      </c>
      <c r="AA56" s="160">
        <v>7100</v>
      </c>
      <c r="AB56" s="160">
        <v>7600</v>
      </c>
      <c r="AC56" s="160">
        <v>7600</v>
      </c>
      <c r="AD56" s="157">
        <v>6900</v>
      </c>
      <c r="AE56" s="157">
        <v>7100</v>
      </c>
      <c r="AF56" s="157">
        <v>7100</v>
      </c>
      <c r="AG56" s="157">
        <v>6900</v>
      </c>
      <c r="AH56" s="157">
        <v>7100</v>
      </c>
      <c r="AI56" s="157">
        <v>7100</v>
      </c>
      <c r="AJ56" s="157">
        <v>6900</v>
      </c>
      <c r="AK56" s="157">
        <v>7100</v>
      </c>
      <c r="AL56" s="157">
        <v>7100</v>
      </c>
    </row>
    <row r="57" spans="1:38" ht="14.25" customHeight="1">
      <c r="A57" s="100" t="s">
        <v>207</v>
      </c>
      <c r="B57" s="101" t="s">
        <v>174</v>
      </c>
      <c r="C57" s="160">
        <v>6000</v>
      </c>
      <c r="D57" s="160">
        <v>6300</v>
      </c>
      <c r="E57" s="160">
        <v>6300</v>
      </c>
      <c r="F57" s="160">
        <v>6000</v>
      </c>
      <c r="G57" s="160">
        <v>6300</v>
      </c>
      <c r="H57" s="160">
        <v>6300</v>
      </c>
      <c r="I57" s="160">
        <v>6100</v>
      </c>
      <c r="J57" s="160">
        <v>6300</v>
      </c>
      <c r="K57" s="160">
        <v>6300</v>
      </c>
      <c r="L57" s="160">
        <v>6100</v>
      </c>
      <c r="M57" s="160">
        <v>6300</v>
      </c>
      <c r="N57" s="160">
        <v>6300</v>
      </c>
      <c r="O57" s="157">
        <v>6100</v>
      </c>
      <c r="P57" s="160">
        <v>6300</v>
      </c>
      <c r="Q57" s="160">
        <v>6300</v>
      </c>
      <c r="R57" s="160">
        <v>6100</v>
      </c>
      <c r="S57" s="160">
        <v>6300</v>
      </c>
      <c r="T57" s="160">
        <v>6300</v>
      </c>
      <c r="U57" s="160">
        <v>6000</v>
      </c>
      <c r="V57" s="160">
        <v>6300</v>
      </c>
      <c r="W57" s="160">
        <v>6300</v>
      </c>
      <c r="X57" s="160">
        <v>6000</v>
      </c>
      <c r="Y57" s="160">
        <v>6300</v>
      </c>
      <c r="Z57" s="160">
        <v>6300</v>
      </c>
      <c r="AA57" s="160">
        <v>7100</v>
      </c>
      <c r="AB57" s="160">
        <v>7600</v>
      </c>
      <c r="AC57" s="160">
        <v>7600</v>
      </c>
      <c r="AD57" s="157">
        <v>6900</v>
      </c>
      <c r="AE57" s="157">
        <v>7100</v>
      </c>
      <c r="AF57" s="157">
        <v>7100</v>
      </c>
      <c r="AG57" s="157">
        <v>6900</v>
      </c>
      <c r="AH57" s="157">
        <v>7100</v>
      </c>
      <c r="AI57" s="157">
        <v>7100</v>
      </c>
      <c r="AJ57" s="157">
        <v>6900</v>
      </c>
      <c r="AK57" s="157">
        <v>7100</v>
      </c>
      <c r="AL57" s="157">
        <v>7100</v>
      </c>
    </row>
    <row r="58" spans="1:38">
      <c r="A58" s="100" t="s">
        <v>208</v>
      </c>
      <c r="B58" s="101" t="s">
        <v>175</v>
      </c>
      <c r="C58" s="160">
        <v>6000</v>
      </c>
      <c r="D58" s="160">
        <v>6300</v>
      </c>
      <c r="E58" s="160">
        <v>6300</v>
      </c>
      <c r="F58" s="160">
        <v>6000</v>
      </c>
      <c r="G58" s="160">
        <v>6300</v>
      </c>
      <c r="H58" s="160">
        <v>6300</v>
      </c>
      <c r="I58" s="160">
        <v>6100</v>
      </c>
      <c r="J58" s="160">
        <v>6300</v>
      </c>
      <c r="K58" s="160">
        <v>6300</v>
      </c>
      <c r="L58" s="160">
        <v>6100</v>
      </c>
      <c r="M58" s="160">
        <v>6300</v>
      </c>
      <c r="N58" s="160">
        <v>6300</v>
      </c>
      <c r="O58" s="157">
        <v>6100</v>
      </c>
      <c r="P58" s="160">
        <v>6300</v>
      </c>
      <c r="Q58" s="160">
        <v>6300</v>
      </c>
      <c r="R58" s="160">
        <v>6100</v>
      </c>
      <c r="S58" s="160">
        <v>6300</v>
      </c>
      <c r="T58" s="160">
        <v>6300</v>
      </c>
      <c r="U58" s="160">
        <v>6000</v>
      </c>
      <c r="V58" s="160">
        <v>6300</v>
      </c>
      <c r="W58" s="160">
        <v>6300</v>
      </c>
      <c r="X58" s="160">
        <v>6000</v>
      </c>
      <c r="Y58" s="160">
        <v>6300</v>
      </c>
      <c r="Z58" s="160">
        <v>6300</v>
      </c>
      <c r="AA58" s="160">
        <v>7100</v>
      </c>
      <c r="AB58" s="160">
        <v>7600</v>
      </c>
      <c r="AC58" s="160">
        <v>7600</v>
      </c>
      <c r="AD58" s="157">
        <v>6900</v>
      </c>
      <c r="AE58" s="157">
        <v>7100</v>
      </c>
      <c r="AF58" s="157">
        <v>7100</v>
      </c>
      <c r="AG58" s="157">
        <v>6900</v>
      </c>
      <c r="AH58" s="157">
        <v>7100</v>
      </c>
      <c r="AI58" s="157">
        <v>7100</v>
      </c>
      <c r="AJ58" s="157">
        <v>6900</v>
      </c>
      <c r="AK58" s="157">
        <v>7100</v>
      </c>
      <c r="AL58" s="157">
        <v>7100</v>
      </c>
    </row>
    <row r="59" spans="1:38">
      <c r="A59" s="100" t="s">
        <v>209</v>
      </c>
      <c r="B59" s="101" t="s">
        <v>176</v>
      </c>
      <c r="C59" s="160">
        <v>6000</v>
      </c>
      <c r="D59" s="160">
        <v>6300</v>
      </c>
      <c r="E59" s="160">
        <v>6300</v>
      </c>
      <c r="F59" s="160">
        <v>6000</v>
      </c>
      <c r="G59" s="160">
        <v>6300</v>
      </c>
      <c r="H59" s="160">
        <v>6300</v>
      </c>
      <c r="I59" s="160">
        <v>6100</v>
      </c>
      <c r="J59" s="160">
        <v>6300</v>
      </c>
      <c r="K59" s="160">
        <v>6300</v>
      </c>
      <c r="L59" s="160">
        <v>6100</v>
      </c>
      <c r="M59" s="160">
        <v>6300</v>
      </c>
      <c r="N59" s="160">
        <v>6300</v>
      </c>
      <c r="O59" s="157">
        <v>6100</v>
      </c>
      <c r="P59" s="160">
        <v>6300</v>
      </c>
      <c r="Q59" s="160">
        <v>6300</v>
      </c>
      <c r="R59" s="160">
        <v>6100</v>
      </c>
      <c r="S59" s="160">
        <v>6300</v>
      </c>
      <c r="T59" s="160">
        <v>6300</v>
      </c>
      <c r="U59" s="160">
        <v>6000</v>
      </c>
      <c r="V59" s="160">
        <v>6300</v>
      </c>
      <c r="W59" s="160">
        <v>6300</v>
      </c>
      <c r="X59" s="160">
        <v>6000</v>
      </c>
      <c r="Y59" s="160">
        <v>6300</v>
      </c>
      <c r="Z59" s="160">
        <v>6300</v>
      </c>
      <c r="AA59" s="160">
        <v>7100</v>
      </c>
      <c r="AB59" s="160">
        <v>7600</v>
      </c>
      <c r="AC59" s="160">
        <v>7600</v>
      </c>
      <c r="AD59" s="157">
        <v>6900</v>
      </c>
      <c r="AE59" s="157">
        <v>7100</v>
      </c>
      <c r="AF59" s="157">
        <v>7100</v>
      </c>
      <c r="AG59" s="157">
        <v>6900</v>
      </c>
      <c r="AH59" s="157">
        <v>7100</v>
      </c>
      <c r="AI59" s="157">
        <v>7100</v>
      </c>
      <c r="AJ59" s="157">
        <v>6900</v>
      </c>
      <c r="AK59" s="157">
        <v>7100</v>
      </c>
      <c r="AL59" s="157">
        <v>7100</v>
      </c>
    </row>
    <row r="60" spans="1:38">
      <c r="A60" s="117" t="s">
        <v>274</v>
      </c>
      <c r="B60" s="118" t="s">
        <v>138</v>
      </c>
      <c r="C60" s="238">
        <v>6200</v>
      </c>
      <c r="D60" s="238">
        <v>6500</v>
      </c>
      <c r="E60" s="238">
        <v>6500</v>
      </c>
      <c r="F60" s="238">
        <v>6200</v>
      </c>
      <c r="G60" s="238">
        <v>6500</v>
      </c>
      <c r="H60" s="238">
        <v>6500</v>
      </c>
      <c r="I60" s="238">
        <v>6300</v>
      </c>
      <c r="J60" s="238">
        <v>6500</v>
      </c>
      <c r="K60" s="238">
        <v>6500</v>
      </c>
      <c r="L60" s="238">
        <v>6300</v>
      </c>
      <c r="M60" s="238">
        <v>6500</v>
      </c>
      <c r="N60" s="238">
        <v>6500</v>
      </c>
      <c r="O60" s="238">
        <v>6300</v>
      </c>
      <c r="P60" s="238">
        <v>6500</v>
      </c>
      <c r="Q60" s="238">
        <v>6500</v>
      </c>
      <c r="R60" s="238">
        <v>6300</v>
      </c>
      <c r="S60" s="238">
        <v>6500</v>
      </c>
      <c r="T60" s="238">
        <v>6500</v>
      </c>
      <c r="U60" s="238">
        <v>6200</v>
      </c>
      <c r="V60" s="238">
        <v>6500</v>
      </c>
      <c r="W60" s="238">
        <v>6500</v>
      </c>
      <c r="X60" s="238">
        <v>6200</v>
      </c>
      <c r="Y60" s="238">
        <v>6500</v>
      </c>
      <c r="Z60" s="238">
        <v>6500</v>
      </c>
      <c r="AA60" s="238">
        <v>7300</v>
      </c>
      <c r="AB60" s="238">
        <v>7800</v>
      </c>
      <c r="AC60" s="238">
        <v>7800</v>
      </c>
      <c r="AD60" s="238">
        <v>7100</v>
      </c>
      <c r="AE60" s="238">
        <v>7300</v>
      </c>
      <c r="AF60" s="238">
        <v>7300</v>
      </c>
      <c r="AG60" s="238">
        <v>7100</v>
      </c>
      <c r="AH60" s="238">
        <v>7300</v>
      </c>
      <c r="AI60" s="238">
        <v>7300</v>
      </c>
      <c r="AJ60" s="238">
        <v>7100</v>
      </c>
      <c r="AK60" s="238">
        <v>7300</v>
      </c>
      <c r="AL60" s="238">
        <v>7300</v>
      </c>
    </row>
    <row r="61" spans="1:38">
      <c r="A61" s="117" t="s">
        <v>310</v>
      </c>
      <c r="B61" s="118" t="s">
        <v>139</v>
      </c>
      <c r="C61" s="238">
        <v>6200</v>
      </c>
      <c r="D61" s="238">
        <v>6500</v>
      </c>
      <c r="E61" s="238">
        <v>6500</v>
      </c>
      <c r="F61" s="238">
        <v>6200</v>
      </c>
      <c r="G61" s="238">
        <v>6500</v>
      </c>
      <c r="H61" s="238">
        <v>6500</v>
      </c>
      <c r="I61" s="238">
        <v>6300</v>
      </c>
      <c r="J61" s="238">
        <v>6500</v>
      </c>
      <c r="K61" s="238">
        <v>6500</v>
      </c>
      <c r="L61" s="238">
        <v>6300</v>
      </c>
      <c r="M61" s="238">
        <v>6500</v>
      </c>
      <c r="N61" s="238">
        <v>6500</v>
      </c>
      <c r="O61" s="238">
        <v>6300</v>
      </c>
      <c r="P61" s="238">
        <v>6500</v>
      </c>
      <c r="Q61" s="238">
        <v>6500</v>
      </c>
      <c r="R61" s="238">
        <v>6300</v>
      </c>
      <c r="S61" s="238">
        <v>6500</v>
      </c>
      <c r="T61" s="238">
        <v>6500</v>
      </c>
      <c r="U61" s="238">
        <v>6200</v>
      </c>
      <c r="V61" s="238">
        <v>6500</v>
      </c>
      <c r="W61" s="238">
        <v>6500</v>
      </c>
      <c r="X61" s="238">
        <v>6200</v>
      </c>
      <c r="Y61" s="238">
        <v>6500</v>
      </c>
      <c r="Z61" s="238">
        <v>6500</v>
      </c>
      <c r="AA61" s="238">
        <v>7300</v>
      </c>
      <c r="AB61" s="238">
        <v>7800</v>
      </c>
      <c r="AC61" s="238">
        <v>7800</v>
      </c>
      <c r="AD61" s="238">
        <v>7100</v>
      </c>
      <c r="AE61" s="238">
        <v>7300</v>
      </c>
      <c r="AF61" s="238">
        <v>7300</v>
      </c>
      <c r="AG61" s="238">
        <v>7100</v>
      </c>
      <c r="AH61" s="238">
        <v>7300</v>
      </c>
      <c r="AI61" s="238">
        <v>7300</v>
      </c>
      <c r="AJ61" s="238">
        <v>7100</v>
      </c>
      <c r="AK61" s="238">
        <v>7300</v>
      </c>
      <c r="AL61" s="238">
        <v>7300</v>
      </c>
    </row>
    <row r="62" spans="1:38">
      <c r="A62" s="117" t="s">
        <v>265</v>
      </c>
      <c r="B62" s="118" t="s">
        <v>264</v>
      </c>
      <c r="C62" s="238">
        <v>6200</v>
      </c>
      <c r="D62" s="238">
        <v>6500</v>
      </c>
      <c r="E62" s="238">
        <v>6500</v>
      </c>
      <c r="F62" s="238">
        <v>6200</v>
      </c>
      <c r="G62" s="238">
        <v>6500</v>
      </c>
      <c r="H62" s="238">
        <v>6500</v>
      </c>
      <c r="I62" s="238">
        <v>6300</v>
      </c>
      <c r="J62" s="238">
        <v>6500</v>
      </c>
      <c r="K62" s="238">
        <v>6500</v>
      </c>
      <c r="L62" s="238">
        <v>6300</v>
      </c>
      <c r="M62" s="238">
        <v>6500</v>
      </c>
      <c r="N62" s="238">
        <v>6500</v>
      </c>
      <c r="O62" s="238">
        <v>6300</v>
      </c>
      <c r="P62" s="238">
        <v>6500</v>
      </c>
      <c r="Q62" s="238">
        <v>6500</v>
      </c>
      <c r="R62" s="238">
        <v>6300</v>
      </c>
      <c r="S62" s="238">
        <v>6500</v>
      </c>
      <c r="T62" s="238">
        <v>6500</v>
      </c>
      <c r="U62" s="238">
        <v>6200</v>
      </c>
      <c r="V62" s="238">
        <v>6500</v>
      </c>
      <c r="W62" s="238">
        <v>6500</v>
      </c>
      <c r="X62" s="238">
        <v>6200</v>
      </c>
      <c r="Y62" s="238">
        <v>6500</v>
      </c>
      <c r="Z62" s="238">
        <v>6500</v>
      </c>
      <c r="AA62" s="238">
        <v>7300</v>
      </c>
      <c r="AB62" s="238">
        <v>7800</v>
      </c>
      <c r="AC62" s="238">
        <v>7800</v>
      </c>
      <c r="AD62" s="238">
        <v>7100</v>
      </c>
      <c r="AE62" s="238">
        <v>7300</v>
      </c>
      <c r="AF62" s="238">
        <v>7300</v>
      </c>
      <c r="AG62" s="238">
        <v>7100</v>
      </c>
      <c r="AH62" s="238">
        <v>7300</v>
      </c>
      <c r="AI62" s="238">
        <v>7300</v>
      </c>
      <c r="AJ62" s="238">
        <v>7100</v>
      </c>
      <c r="AK62" s="238">
        <v>7300</v>
      </c>
      <c r="AL62" s="238">
        <v>7300</v>
      </c>
    </row>
    <row r="63" spans="1:38">
      <c r="A63" s="117" t="s">
        <v>267</v>
      </c>
      <c r="B63" s="118" t="s">
        <v>266</v>
      </c>
      <c r="C63" s="238">
        <v>6200</v>
      </c>
      <c r="D63" s="238">
        <v>6500</v>
      </c>
      <c r="E63" s="238">
        <v>6500</v>
      </c>
      <c r="F63" s="238">
        <v>6200</v>
      </c>
      <c r="G63" s="238">
        <v>6500</v>
      </c>
      <c r="H63" s="238">
        <v>6500</v>
      </c>
      <c r="I63" s="238">
        <v>6300</v>
      </c>
      <c r="J63" s="238">
        <v>6500</v>
      </c>
      <c r="K63" s="238">
        <v>6500</v>
      </c>
      <c r="L63" s="238">
        <v>6300</v>
      </c>
      <c r="M63" s="238">
        <v>6500</v>
      </c>
      <c r="N63" s="238">
        <v>6500</v>
      </c>
      <c r="O63" s="238">
        <v>6300</v>
      </c>
      <c r="P63" s="238">
        <v>6500</v>
      </c>
      <c r="Q63" s="238">
        <v>6500</v>
      </c>
      <c r="R63" s="238">
        <v>6300</v>
      </c>
      <c r="S63" s="238">
        <v>6500</v>
      </c>
      <c r="T63" s="238">
        <v>6500</v>
      </c>
      <c r="U63" s="238">
        <v>6200</v>
      </c>
      <c r="V63" s="238">
        <v>6500</v>
      </c>
      <c r="W63" s="238">
        <v>6500</v>
      </c>
      <c r="X63" s="238">
        <v>6200</v>
      </c>
      <c r="Y63" s="238">
        <v>6500</v>
      </c>
      <c r="Z63" s="238">
        <v>6500</v>
      </c>
      <c r="AA63" s="238">
        <v>7300</v>
      </c>
      <c r="AB63" s="238">
        <v>7800</v>
      </c>
      <c r="AC63" s="238">
        <v>7800</v>
      </c>
      <c r="AD63" s="238">
        <v>7100</v>
      </c>
      <c r="AE63" s="238">
        <v>7300</v>
      </c>
      <c r="AF63" s="238">
        <v>7300</v>
      </c>
      <c r="AG63" s="238">
        <v>7100</v>
      </c>
      <c r="AH63" s="238">
        <v>7300</v>
      </c>
      <c r="AI63" s="238">
        <v>7300</v>
      </c>
      <c r="AJ63" s="238">
        <v>7100</v>
      </c>
      <c r="AK63" s="238">
        <v>7300</v>
      </c>
      <c r="AL63" s="238">
        <v>7300</v>
      </c>
    </row>
    <row r="64" spans="1:38">
      <c r="A64" s="117" t="s">
        <v>269</v>
      </c>
      <c r="B64" s="118" t="s">
        <v>268</v>
      </c>
      <c r="C64" s="238">
        <v>6200</v>
      </c>
      <c r="D64" s="238">
        <v>6500</v>
      </c>
      <c r="E64" s="238">
        <v>6500</v>
      </c>
      <c r="F64" s="238">
        <v>6200</v>
      </c>
      <c r="G64" s="238">
        <v>6500</v>
      </c>
      <c r="H64" s="238">
        <v>6500</v>
      </c>
      <c r="I64" s="238">
        <v>6300</v>
      </c>
      <c r="J64" s="238">
        <v>6500</v>
      </c>
      <c r="K64" s="238">
        <v>6500</v>
      </c>
      <c r="L64" s="238">
        <v>6300</v>
      </c>
      <c r="M64" s="238">
        <v>6500</v>
      </c>
      <c r="N64" s="238">
        <v>6500</v>
      </c>
      <c r="O64" s="238">
        <v>6300</v>
      </c>
      <c r="P64" s="238">
        <v>6500</v>
      </c>
      <c r="Q64" s="238">
        <v>6500</v>
      </c>
      <c r="R64" s="238">
        <v>6300</v>
      </c>
      <c r="S64" s="238">
        <v>6500</v>
      </c>
      <c r="T64" s="238">
        <v>6500</v>
      </c>
      <c r="U64" s="238">
        <v>6200</v>
      </c>
      <c r="V64" s="238">
        <v>6500</v>
      </c>
      <c r="W64" s="238">
        <v>6500</v>
      </c>
      <c r="X64" s="238">
        <v>6200</v>
      </c>
      <c r="Y64" s="238">
        <v>6500</v>
      </c>
      <c r="Z64" s="238">
        <v>6500</v>
      </c>
      <c r="AA64" s="238">
        <v>7300</v>
      </c>
      <c r="AB64" s="238">
        <v>7800</v>
      </c>
      <c r="AC64" s="238">
        <v>7800</v>
      </c>
      <c r="AD64" s="238">
        <v>7100</v>
      </c>
      <c r="AE64" s="238">
        <v>7300</v>
      </c>
      <c r="AF64" s="238">
        <v>7300</v>
      </c>
      <c r="AG64" s="238">
        <v>7100</v>
      </c>
      <c r="AH64" s="238">
        <v>7300</v>
      </c>
      <c r="AI64" s="238">
        <v>7300</v>
      </c>
      <c r="AJ64" s="238">
        <v>7100</v>
      </c>
      <c r="AK64" s="238">
        <v>7300</v>
      </c>
      <c r="AL64" s="238">
        <v>7300</v>
      </c>
    </row>
    <row r="65" spans="1:38">
      <c r="A65" s="117" t="s">
        <v>271</v>
      </c>
      <c r="B65" s="118" t="s">
        <v>270</v>
      </c>
      <c r="C65" s="238">
        <v>6200</v>
      </c>
      <c r="D65" s="238">
        <v>6500</v>
      </c>
      <c r="E65" s="238">
        <v>6500</v>
      </c>
      <c r="F65" s="238">
        <v>6200</v>
      </c>
      <c r="G65" s="238">
        <v>6500</v>
      </c>
      <c r="H65" s="238">
        <v>6500</v>
      </c>
      <c r="I65" s="238">
        <v>6300</v>
      </c>
      <c r="J65" s="238">
        <v>6500</v>
      </c>
      <c r="K65" s="238">
        <v>6500</v>
      </c>
      <c r="L65" s="238">
        <v>6300</v>
      </c>
      <c r="M65" s="238">
        <v>6500</v>
      </c>
      <c r="N65" s="238">
        <v>6500</v>
      </c>
      <c r="O65" s="238">
        <v>6300</v>
      </c>
      <c r="P65" s="238">
        <v>6500</v>
      </c>
      <c r="Q65" s="238">
        <v>6500</v>
      </c>
      <c r="R65" s="238">
        <v>6300</v>
      </c>
      <c r="S65" s="238">
        <v>6500</v>
      </c>
      <c r="T65" s="238">
        <v>6500</v>
      </c>
      <c r="U65" s="238">
        <v>6200</v>
      </c>
      <c r="V65" s="238">
        <v>6500</v>
      </c>
      <c r="W65" s="238">
        <v>6500</v>
      </c>
      <c r="X65" s="238">
        <v>6200</v>
      </c>
      <c r="Y65" s="238">
        <v>6500</v>
      </c>
      <c r="Z65" s="238">
        <v>6500</v>
      </c>
      <c r="AA65" s="238">
        <v>7300</v>
      </c>
      <c r="AB65" s="238">
        <v>7800</v>
      </c>
      <c r="AC65" s="238">
        <v>7800</v>
      </c>
      <c r="AD65" s="238">
        <v>7100</v>
      </c>
      <c r="AE65" s="238">
        <v>7300</v>
      </c>
      <c r="AF65" s="238">
        <v>7300</v>
      </c>
      <c r="AG65" s="238">
        <v>7100</v>
      </c>
      <c r="AH65" s="238">
        <v>7300</v>
      </c>
      <c r="AI65" s="238">
        <v>7300</v>
      </c>
      <c r="AJ65" s="238">
        <v>7100</v>
      </c>
      <c r="AK65" s="238">
        <v>7300</v>
      </c>
      <c r="AL65" s="238">
        <v>7300</v>
      </c>
    </row>
    <row r="66" spans="1:38">
      <c r="A66" s="117" t="s">
        <v>273</v>
      </c>
      <c r="B66" s="118" t="s">
        <v>272</v>
      </c>
      <c r="C66" s="238">
        <v>6200</v>
      </c>
      <c r="D66" s="238">
        <v>6500</v>
      </c>
      <c r="E66" s="238">
        <v>6500</v>
      </c>
      <c r="F66" s="238">
        <v>6200</v>
      </c>
      <c r="G66" s="238">
        <v>6500</v>
      </c>
      <c r="H66" s="238">
        <v>6500</v>
      </c>
      <c r="I66" s="238">
        <v>6300</v>
      </c>
      <c r="J66" s="238">
        <v>6500</v>
      </c>
      <c r="K66" s="238">
        <v>6500</v>
      </c>
      <c r="L66" s="238">
        <v>6300</v>
      </c>
      <c r="M66" s="238">
        <v>6500</v>
      </c>
      <c r="N66" s="238">
        <v>6500</v>
      </c>
      <c r="O66" s="238">
        <v>6300</v>
      </c>
      <c r="P66" s="238">
        <v>6500</v>
      </c>
      <c r="Q66" s="238">
        <v>6500</v>
      </c>
      <c r="R66" s="238">
        <v>6300</v>
      </c>
      <c r="S66" s="238">
        <v>6500</v>
      </c>
      <c r="T66" s="238">
        <v>6500</v>
      </c>
      <c r="U66" s="238">
        <v>6200</v>
      </c>
      <c r="V66" s="238">
        <v>6500</v>
      </c>
      <c r="W66" s="238">
        <v>6500</v>
      </c>
      <c r="X66" s="238">
        <v>6200</v>
      </c>
      <c r="Y66" s="238">
        <v>6500</v>
      </c>
      <c r="Z66" s="238">
        <v>6500</v>
      </c>
      <c r="AA66" s="238">
        <v>7300</v>
      </c>
      <c r="AB66" s="238">
        <v>7800</v>
      </c>
      <c r="AC66" s="238">
        <v>7800</v>
      </c>
      <c r="AD66" s="238">
        <v>7100</v>
      </c>
      <c r="AE66" s="238">
        <v>7300</v>
      </c>
      <c r="AF66" s="238">
        <v>7300</v>
      </c>
      <c r="AG66" s="238">
        <v>7100</v>
      </c>
      <c r="AH66" s="238">
        <v>7300</v>
      </c>
      <c r="AI66" s="238">
        <v>7300</v>
      </c>
      <c r="AJ66" s="238">
        <v>7100</v>
      </c>
      <c r="AK66" s="238">
        <v>7300</v>
      </c>
      <c r="AL66" s="238">
        <v>7300</v>
      </c>
    </row>
    <row r="68" spans="1:38">
      <c r="U68" s="228"/>
    </row>
    <row r="69" spans="1:38" s="9" customFormat="1" ht="14.25" customHeight="1">
      <c r="A69" s="290" t="s">
        <v>312</v>
      </c>
      <c r="B69" s="291"/>
      <c r="C69" s="259" t="s">
        <v>36</v>
      </c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1"/>
    </row>
    <row r="70" spans="1:38" s="9" customFormat="1" ht="14.25" customHeight="1">
      <c r="A70" s="292"/>
      <c r="B70" s="293"/>
      <c r="C70" s="262" t="s">
        <v>81</v>
      </c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4"/>
    </row>
    <row r="71" spans="1:38" s="9" customFormat="1" ht="30.65" customHeight="1">
      <c r="A71" s="292"/>
      <c r="B71" s="293"/>
      <c r="C71" s="262" t="s">
        <v>33</v>
      </c>
      <c r="D71" s="263"/>
      <c r="E71" s="264"/>
      <c r="F71" s="265" t="s">
        <v>146</v>
      </c>
      <c r="G71" s="266"/>
      <c r="H71" s="267"/>
      <c r="I71" s="265" t="s">
        <v>147</v>
      </c>
      <c r="J71" s="266"/>
      <c r="K71" s="267"/>
      <c r="L71" s="265" t="s">
        <v>148</v>
      </c>
      <c r="M71" s="266"/>
      <c r="N71" s="267"/>
      <c r="O71" s="265" t="s">
        <v>150</v>
      </c>
      <c r="P71" s="266"/>
      <c r="Q71" s="267"/>
      <c r="R71" s="265" t="s">
        <v>132</v>
      </c>
      <c r="S71" s="266"/>
      <c r="T71" s="267"/>
      <c r="U71" s="265" t="s">
        <v>152</v>
      </c>
      <c r="V71" s="266"/>
      <c r="W71" s="267"/>
      <c r="X71" s="265" t="s">
        <v>149</v>
      </c>
      <c r="Y71" s="266"/>
      <c r="Z71" s="267"/>
      <c r="AA71" s="297" t="s">
        <v>83</v>
      </c>
      <c r="AB71" s="298"/>
      <c r="AC71" s="299"/>
      <c r="AD71" s="268" t="s">
        <v>91</v>
      </c>
      <c r="AE71" s="269"/>
      <c r="AF71" s="270"/>
      <c r="AG71" s="268" t="s">
        <v>89</v>
      </c>
      <c r="AH71" s="269"/>
      <c r="AI71" s="270"/>
      <c r="AJ71" s="268" t="s">
        <v>102</v>
      </c>
      <c r="AK71" s="269"/>
      <c r="AL71" s="270"/>
    </row>
    <row r="72" spans="1:38" s="9" customFormat="1" ht="30.65" customHeight="1">
      <c r="A72" s="294"/>
      <c r="B72" s="295"/>
      <c r="C72" s="286" t="s">
        <v>82</v>
      </c>
      <c r="D72" s="281"/>
      <c r="E72" s="282"/>
      <c r="F72" s="280" t="s">
        <v>126</v>
      </c>
      <c r="G72" s="281"/>
      <c r="H72" s="282"/>
      <c r="I72" s="280" t="s">
        <v>98</v>
      </c>
      <c r="J72" s="281"/>
      <c r="K72" s="282"/>
      <c r="L72" s="280" t="s">
        <v>187</v>
      </c>
      <c r="M72" s="281"/>
      <c r="N72" s="282"/>
      <c r="O72" s="280" t="s">
        <v>188</v>
      </c>
      <c r="P72" s="281"/>
      <c r="Q72" s="282"/>
      <c r="R72" s="280" t="s">
        <v>133</v>
      </c>
      <c r="S72" s="281"/>
      <c r="T72" s="282"/>
      <c r="U72" s="280" t="s">
        <v>336</v>
      </c>
      <c r="V72" s="281"/>
      <c r="W72" s="282"/>
      <c r="X72" s="280" t="s">
        <v>308</v>
      </c>
      <c r="Y72" s="281"/>
      <c r="Z72" s="282"/>
      <c r="AA72" s="283" t="s">
        <v>34</v>
      </c>
      <c r="AB72" s="284"/>
      <c r="AC72" s="285"/>
      <c r="AD72" s="283" t="s">
        <v>104</v>
      </c>
      <c r="AE72" s="284"/>
      <c r="AF72" s="285"/>
      <c r="AG72" s="283" t="s">
        <v>223</v>
      </c>
      <c r="AH72" s="284"/>
      <c r="AI72" s="285"/>
      <c r="AJ72" s="283" t="s">
        <v>224</v>
      </c>
      <c r="AK72" s="284"/>
      <c r="AL72" s="302"/>
    </row>
    <row r="73" spans="1:38" ht="14.25" customHeight="1">
      <c r="A73" s="199" t="s">
        <v>37</v>
      </c>
      <c r="B73" s="200" t="s">
        <v>35</v>
      </c>
      <c r="C73" s="201" t="s">
        <v>38</v>
      </c>
      <c r="D73" s="201" t="s">
        <v>39</v>
      </c>
      <c r="E73" s="201" t="s">
        <v>40</v>
      </c>
      <c r="F73" s="201" t="s">
        <v>38</v>
      </c>
      <c r="G73" s="201" t="s">
        <v>39</v>
      </c>
      <c r="H73" s="201" t="s">
        <v>40</v>
      </c>
      <c r="I73" s="201" t="s">
        <v>38</v>
      </c>
      <c r="J73" s="201" t="s">
        <v>39</v>
      </c>
      <c r="K73" s="201" t="s">
        <v>40</v>
      </c>
      <c r="L73" s="201" t="s">
        <v>38</v>
      </c>
      <c r="M73" s="201" t="s">
        <v>39</v>
      </c>
      <c r="N73" s="201" t="s">
        <v>40</v>
      </c>
      <c r="O73" s="201" t="s">
        <v>38</v>
      </c>
      <c r="P73" s="201" t="s">
        <v>39</v>
      </c>
      <c r="Q73" s="201" t="s">
        <v>40</v>
      </c>
      <c r="R73" s="223" t="s">
        <v>38</v>
      </c>
      <c r="S73" s="223" t="s">
        <v>39</v>
      </c>
      <c r="T73" s="223" t="s">
        <v>40</v>
      </c>
      <c r="U73" s="223" t="s">
        <v>38</v>
      </c>
      <c r="V73" s="223" t="s">
        <v>39</v>
      </c>
      <c r="W73" s="223" t="s">
        <v>40</v>
      </c>
      <c r="X73" s="223" t="s">
        <v>38</v>
      </c>
      <c r="Y73" s="223" t="s">
        <v>39</v>
      </c>
      <c r="Z73" s="223" t="s">
        <v>40</v>
      </c>
      <c r="AA73" s="201" t="s">
        <v>38</v>
      </c>
      <c r="AB73" s="201" t="s">
        <v>39</v>
      </c>
      <c r="AC73" s="201" t="s">
        <v>40</v>
      </c>
      <c r="AD73" s="201" t="s">
        <v>38</v>
      </c>
      <c r="AE73" s="201" t="s">
        <v>39</v>
      </c>
      <c r="AF73" s="201" t="s">
        <v>40</v>
      </c>
      <c r="AG73" s="201" t="s">
        <v>38</v>
      </c>
      <c r="AH73" s="201" t="s">
        <v>39</v>
      </c>
      <c r="AI73" s="201" t="s">
        <v>40</v>
      </c>
      <c r="AJ73" s="201" t="s">
        <v>38</v>
      </c>
      <c r="AK73" s="201" t="s">
        <v>39</v>
      </c>
      <c r="AL73" s="202" t="s">
        <v>40</v>
      </c>
    </row>
    <row r="74" spans="1:38" s="188" customFormat="1">
      <c r="A74" s="197" t="s">
        <v>210</v>
      </c>
      <c r="B74" s="198" t="s">
        <v>177</v>
      </c>
      <c r="C74" s="230">
        <v>6900</v>
      </c>
      <c r="D74" s="230">
        <v>7200</v>
      </c>
      <c r="E74" s="230">
        <v>7200</v>
      </c>
      <c r="F74" s="230">
        <v>6900</v>
      </c>
      <c r="G74" s="230">
        <v>7200</v>
      </c>
      <c r="H74" s="230">
        <v>7200</v>
      </c>
      <c r="I74" s="230">
        <v>7000</v>
      </c>
      <c r="J74" s="230">
        <v>7200</v>
      </c>
      <c r="K74" s="230">
        <v>7200</v>
      </c>
      <c r="L74" s="230">
        <v>7000</v>
      </c>
      <c r="M74" s="230">
        <v>7200</v>
      </c>
      <c r="N74" s="230">
        <v>7200</v>
      </c>
      <c r="O74" s="230">
        <v>7000</v>
      </c>
      <c r="P74" s="230">
        <v>7200</v>
      </c>
      <c r="Q74" s="230">
        <v>7200</v>
      </c>
      <c r="R74" s="230">
        <v>7000</v>
      </c>
      <c r="S74" s="230">
        <v>7200</v>
      </c>
      <c r="T74" s="230">
        <v>7200</v>
      </c>
      <c r="U74" s="230">
        <v>6900</v>
      </c>
      <c r="V74" s="230">
        <v>7200</v>
      </c>
      <c r="W74" s="230">
        <v>7200</v>
      </c>
      <c r="X74" s="230">
        <v>6900</v>
      </c>
      <c r="Y74" s="230">
        <v>7200</v>
      </c>
      <c r="Z74" s="230">
        <v>7200</v>
      </c>
      <c r="AA74" s="230">
        <v>8000</v>
      </c>
      <c r="AB74" s="230">
        <v>8500</v>
      </c>
      <c r="AC74" s="230">
        <v>8500</v>
      </c>
      <c r="AD74" s="230">
        <v>7700</v>
      </c>
      <c r="AE74" s="230">
        <v>8000</v>
      </c>
      <c r="AF74" s="230">
        <v>8000</v>
      </c>
      <c r="AG74" s="230">
        <v>7700</v>
      </c>
      <c r="AH74" s="230">
        <v>8000</v>
      </c>
      <c r="AI74" s="230">
        <v>8000</v>
      </c>
      <c r="AJ74" s="230">
        <v>7700</v>
      </c>
      <c r="AK74" s="230">
        <v>8000</v>
      </c>
      <c r="AL74" s="230">
        <v>8000</v>
      </c>
    </row>
    <row r="75" spans="1:38" s="188" customFormat="1">
      <c r="A75" s="186" t="s">
        <v>211</v>
      </c>
      <c r="B75" s="187" t="s">
        <v>178</v>
      </c>
      <c r="C75" s="230">
        <v>6900</v>
      </c>
      <c r="D75" s="230">
        <v>7200</v>
      </c>
      <c r="E75" s="230">
        <v>7200</v>
      </c>
      <c r="F75" s="230">
        <v>6900</v>
      </c>
      <c r="G75" s="230">
        <v>7200</v>
      </c>
      <c r="H75" s="230">
        <v>7200</v>
      </c>
      <c r="I75" s="230">
        <v>7000</v>
      </c>
      <c r="J75" s="230">
        <v>7200</v>
      </c>
      <c r="K75" s="230">
        <v>7200</v>
      </c>
      <c r="L75" s="230">
        <v>7000</v>
      </c>
      <c r="M75" s="230">
        <v>7200</v>
      </c>
      <c r="N75" s="230">
        <v>7200</v>
      </c>
      <c r="O75" s="230">
        <v>7000</v>
      </c>
      <c r="P75" s="230">
        <v>7200</v>
      </c>
      <c r="Q75" s="230">
        <v>7200</v>
      </c>
      <c r="R75" s="230">
        <v>7000</v>
      </c>
      <c r="S75" s="230">
        <v>7200</v>
      </c>
      <c r="T75" s="230">
        <v>7200</v>
      </c>
      <c r="U75" s="230">
        <v>6900</v>
      </c>
      <c r="V75" s="230">
        <v>7200</v>
      </c>
      <c r="W75" s="230">
        <v>7200</v>
      </c>
      <c r="X75" s="230">
        <v>6900</v>
      </c>
      <c r="Y75" s="230">
        <v>7200</v>
      </c>
      <c r="Z75" s="230">
        <v>7200</v>
      </c>
      <c r="AA75" s="230">
        <v>8000</v>
      </c>
      <c r="AB75" s="230">
        <v>8500</v>
      </c>
      <c r="AC75" s="230">
        <v>8500</v>
      </c>
      <c r="AD75" s="230">
        <v>7700</v>
      </c>
      <c r="AE75" s="230">
        <v>8000</v>
      </c>
      <c r="AF75" s="230">
        <v>8000</v>
      </c>
      <c r="AG75" s="230">
        <v>7700</v>
      </c>
      <c r="AH75" s="230">
        <v>8000</v>
      </c>
      <c r="AI75" s="230">
        <v>8000</v>
      </c>
      <c r="AJ75" s="230">
        <v>7700</v>
      </c>
      <c r="AK75" s="230">
        <v>8000</v>
      </c>
      <c r="AL75" s="230">
        <v>8000</v>
      </c>
    </row>
    <row r="76" spans="1:38" s="188" customFormat="1">
      <c r="A76" s="186" t="s">
        <v>212</v>
      </c>
      <c r="B76" s="187" t="s">
        <v>179</v>
      </c>
      <c r="C76" s="230">
        <v>6900</v>
      </c>
      <c r="D76" s="230">
        <v>7200</v>
      </c>
      <c r="E76" s="230">
        <v>7200</v>
      </c>
      <c r="F76" s="230">
        <v>6900</v>
      </c>
      <c r="G76" s="230">
        <v>7200</v>
      </c>
      <c r="H76" s="230">
        <v>7200</v>
      </c>
      <c r="I76" s="230">
        <v>7000</v>
      </c>
      <c r="J76" s="230">
        <v>7200</v>
      </c>
      <c r="K76" s="230">
        <v>7200</v>
      </c>
      <c r="L76" s="230">
        <v>7000</v>
      </c>
      <c r="M76" s="230">
        <v>7200</v>
      </c>
      <c r="N76" s="230">
        <v>7200</v>
      </c>
      <c r="O76" s="230">
        <v>7000</v>
      </c>
      <c r="P76" s="230">
        <v>7200</v>
      </c>
      <c r="Q76" s="230">
        <v>7200</v>
      </c>
      <c r="R76" s="230">
        <v>7000</v>
      </c>
      <c r="S76" s="230">
        <v>7200</v>
      </c>
      <c r="T76" s="230">
        <v>7200</v>
      </c>
      <c r="U76" s="230">
        <v>6900</v>
      </c>
      <c r="V76" s="230">
        <v>7200</v>
      </c>
      <c r="W76" s="230">
        <v>7200</v>
      </c>
      <c r="X76" s="230">
        <v>6900</v>
      </c>
      <c r="Y76" s="230">
        <v>7200</v>
      </c>
      <c r="Z76" s="230">
        <v>7200</v>
      </c>
      <c r="AA76" s="230">
        <v>8000</v>
      </c>
      <c r="AB76" s="230">
        <v>8500</v>
      </c>
      <c r="AC76" s="230">
        <v>8500</v>
      </c>
      <c r="AD76" s="230">
        <v>7700</v>
      </c>
      <c r="AE76" s="230">
        <v>8000</v>
      </c>
      <c r="AF76" s="230">
        <v>8000</v>
      </c>
      <c r="AG76" s="230">
        <v>7700</v>
      </c>
      <c r="AH76" s="230">
        <v>8000</v>
      </c>
      <c r="AI76" s="230">
        <v>8000</v>
      </c>
      <c r="AJ76" s="230">
        <v>7700</v>
      </c>
      <c r="AK76" s="230">
        <v>8000</v>
      </c>
      <c r="AL76" s="230">
        <v>8000</v>
      </c>
    </row>
    <row r="77" spans="1:38" s="188" customFormat="1">
      <c r="A77" s="186" t="s">
        <v>213</v>
      </c>
      <c r="B77" s="189" t="s">
        <v>180</v>
      </c>
      <c r="C77" s="230">
        <v>6900</v>
      </c>
      <c r="D77" s="230">
        <v>7200</v>
      </c>
      <c r="E77" s="230">
        <v>7200</v>
      </c>
      <c r="F77" s="230">
        <v>6900</v>
      </c>
      <c r="G77" s="230">
        <v>7200</v>
      </c>
      <c r="H77" s="230">
        <v>7200</v>
      </c>
      <c r="I77" s="230">
        <v>7000</v>
      </c>
      <c r="J77" s="230">
        <v>7200</v>
      </c>
      <c r="K77" s="230">
        <v>7200</v>
      </c>
      <c r="L77" s="230">
        <v>7000</v>
      </c>
      <c r="M77" s="230">
        <v>7200</v>
      </c>
      <c r="N77" s="230">
        <v>7200</v>
      </c>
      <c r="O77" s="230">
        <v>7000</v>
      </c>
      <c r="P77" s="230">
        <v>7200</v>
      </c>
      <c r="Q77" s="230">
        <v>7200</v>
      </c>
      <c r="R77" s="230">
        <v>7000</v>
      </c>
      <c r="S77" s="230">
        <v>7200</v>
      </c>
      <c r="T77" s="230">
        <v>7200</v>
      </c>
      <c r="U77" s="230">
        <v>6900</v>
      </c>
      <c r="V77" s="230">
        <v>7200</v>
      </c>
      <c r="W77" s="230">
        <v>7200</v>
      </c>
      <c r="X77" s="230">
        <v>6900</v>
      </c>
      <c r="Y77" s="230">
        <v>7200</v>
      </c>
      <c r="Z77" s="230">
        <v>7200</v>
      </c>
      <c r="AA77" s="230">
        <v>8000</v>
      </c>
      <c r="AB77" s="230">
        <v>8500</v>
      </c>
      <c r="AC77" s="230">
        <v>8500</v>
      </c>
      <c r="AD77" s="230">
        <v>7700</v>
      </c>
      <c r="AE77" s="230">
        <v>8000</v>
      </c>
      <c r="AF77" s="230">
        <v>8000</v>
      </c>
      <c r="AG77" s="230">
        <v>7700</v>
      </c>
      <c r="AH77" s="230">
        <v>8000</v>
      </c>
      <c r="AI77" s="230">
        <v>8000</v>
      </c>
      <c r="AJ77" s="230">
        <v>7700</v>
      </c>
      <c r="AK77" s="230">
        <v>8000</v>
      </c>
      <c r="AL77" s="230">
        <v>8000</v>
      </c>
    </row>
    <row r="78" spans="1:38" s="188" customFormat="1">
      <c r="A78" s="186" t="s">
        <v>214</v>
      </c>
      <c r="B78" s="189" t="s">
        <v>181</v>
      </c>
      <c r="C78" s="230">
        <v>6900</v>
      </c>
      <c r="D78" s="230">
        <v>7200</v>
      </c>
      <c r="E78" s="230">
        <v>7200</v>
      </c>
      <c r="F78" s="230">
        <v>6900</v>
      </c>
      <c r="G78" s="230">
        <v>7200</v>
      </c>
      <c r="H78" s="230">
        <v>7200</v>
      </c>
      <c r="I78" s="230">
        <v>7000</v>
      </c>
      <c r="J78" s="230">
        <v>7200</v>
      </c>
      <c r="K78" s="230">
        <v>7200</v>
      </c>
      <c r="L78" s="230">
        <v>7000</v>
      </c>
      <c r="M78" s="230">
        <v>7200</v>
      </c>
      <c r="N78" s="230">
        <v>7200</v>
      </c>
      <c r="O78" s="230">
        <v>7000</v>
      </c>
      <c r="P78" s="230">
        <v>7200</v>
      </c>
      <c r="Q78" s="230">
        <v>7200</v>
      </c>
      <c r="R78" s="230">
        <v>7000</v>
      </c>
      <c r="S78" s="230">
        <v>7200</v>
      </c>
      <c r="T78" s="230">
        <v>7200</v>
      </c>
      <c r="U78" s="230">
        <v>6900</v>
      </c>
      <c r="V78" s="230">
        <v>7200</v>
      </c>
      <c r="W78" s="230">
        <v>7200</v>
      </c>
      <c r="X78" s="230">
        <v>6900</v>
      </c>
      <c r="Y78" s="230">
        <v>7200</v>
      </c>
      <c r="Z78" s="230">
        <v>7200</v>
      </c>
      <c r="AA78" s="230">
        <v>8000</v>
      </c>
      <c r="AB78" s="230">
        <v>8500</v>
      </c>
      <c r="AC78" s="230">
        <v>8500</v>
      </c>
      <c r="AD78" s="230">
        <v>7700</v>
      </c>
      <c r="AE78" s="230">
        <v>8000</v>
      </c>
      <c r="AF78" s="230">
        <v>8000</v>
      </c>
      <c r="AG78" s="230">
        <v>7700</v>
      </c>
      <c r="AH78" s="230">
        <v>8000</v>
      </c>
      <c r="AI78" s="230">
        <v>8000</v>
      </c>
      <c r="AJ78" s="230">
        <v>7700</v>
      </c>
      <c r="AK78" s="230">
        <v>8000</v>
      </c>
      <c r="AL78" s="230">
        <v>8000</v>
      </c>
    </row>
    <row r="79" spans="1:38" s="188" customFormat="1">
      <c r="A79" s="186" t="s">
        <v>215</v>
      </c>
      <c r="B79" s="189" t="s">
        <v>182</v>
      </c>
      <c r="C79" s="230">
        <v>6900</v>
      </c>
      <c r="D79" s="230">
        <v>7200</v>
      </c>
      <c r="E79" s="230">
        <v>7200</v>
      </c>
      <c r="F79" s="230">
        <v>6900</v>
      </c>
      <c r="G79" s="230">
        <v>7200</v>
      </c>
      <c r="H79" s="230">
        <v>7200</v>
      </c>
      <c r="I79" s="230">
        <v>7000</v>
      </c>
      <c r="J79" s="230">
        <v>7200</v>
      </c>
      <c r="K79" s="230">
        <v>7200</v>
      </c>
      <c r="L79" s="230">
        <v>7000</v>
      </c>
      <c r="M79" s="230">
        <v>7200</v>
      </c>
      <c r="N79" s="230">
        <v>7200</v>
      </c>
      <c r="O79" s="230">
        <v>7000</v>
      </c>
      <c r="P79" s="230">
        <v>7200</v>
      </c>
      <c r="Q79" s="230">
        <v>7200</v>
      </c>
      <c r="R79" s="230">
        <v>7000</v>
      </c>
      <c r="S79" s="230">
        <v>7200</v>
      </c>
      <c r="T79" s="230">
        <v>7200</v>
      </c>
      <c r="U79" s="230">
        <v>6900</v>
      </c>
      <c r="V79" s="230">
        <v>7200</v>
      </c>
      <c r="W79" s="230">
        <v>7200</v>
      </c>
      <c r="X79" s="230">
        <v>6900</v>
      </c>
      <c r="Y79" s="230">
        <v>7200</v>
      </c>
      <c r="Z79" s="230">
        <v>7200</v>
      </c>
      <c r="AA79" s="230">
        <v>8000</v>
      </c>
      <c r="AB79" s="230">
        <v>8500</v>
      </c>
      <c r="AC79" s="230">
        <v>8500</v>
      </c>
      <c r="AD79" s="230">
        <v>7700</v>
      </c>
      <c r="AE79" s="230">
        <v>8000</v>
      </c>
      <c r="AF79" s="230">
        <v>8000</v>
      </c>
      <c r="AG79" s="230">
        <v>7700</v>
      </c>
      <c r="AH79" s="230">
        <v>8000</v>
      </c>
      <c r="AI79" s="230">
        <v>8000</v>
      </c>
      <c r="AJ79" s="230">
        <v>7700</v>
      </c>
      <c r="AK79" s="230">
        <v>8000</v>
      </c>
      <c r="AL79" s="230">
        <v>8000</v>
      </c>
    </row>
    <row r="80" spans="1:38" s="188" customFormat="1">
      <c r="A80" s="186" t="s">
        <v>216</v>
      </c>
      <c r="B80" s="190" t="s">
        <v>183</v>
      </c>
      <c r="C80" s="230">
        <v>7000</v>
      </c>
      <c r="D80" s="230">
        <v>7300</v>
      </c>
      <c r="E80" s="230">
        <v>7300</v>
      </c>
      <c r="F80" s="230">
        <v>7000</v>
      </c>
      <c r="G80" s="230">
        <v>7300</v>
      </c>
      <c r="H80" s="230">
        <v>7300</v>
      </c>
      <c r="I80" s="230">
        <v>7100</v>
      </c>
      <c r="J80" s="230">
        <v>7300</v>
      </c>
      <c r="K80" s="230">
        <v>7300</v>
      </c>
      <c r="L80" s="230">
        <v>7100</v>
      </c>
      <c r="M80" s="230">
        <v>7300</v>
      </c>
      <c r="N80" s="230">
        <v>7300</v>
      </c>
      <c r="O80" s="230">
        <v>7100</v>
      </c>
      <c r="P80" s="230">
        <v>7300</v>
      </c>
      <c r="Q80" s="230">
        <v>7300</v>
      </c>
      <c r="R80" s="230">
        <v>7100</v>
      </c>
      <c r="S80" s="230">
        <v>7300</v>
      </c>
      <c r="T80" s="230">
        <v>7300</v>
      </c>
      <c r="U80" s="230">
        <v>7000</v>
      </c>
      <c r="V80" s="230">
        <v>7300</v>
      </c>
      <c r="W80" s="230">
        <v>7300</v>
      </c>
      <c r="X80" s="230">
        <v>7000</v>
      </c>
      <c r="Y80" s="230">
        <v>7300</v>
      </c>
      <c r="Z80" s="230">
        <v>7300</v>
      </c>
      <c r="AA80" s="230">
        <v>8100</v>
      </c>
      <c r="AB80" s="230">
        <v>8600</v>
      </c>
      <c r="AC80" s="230">
        <v>8600</v>
      </c>
      <c r="AD80" s="230">
        <v>7800</v>
      </c>
      <c r="AE80" s="230">
        <v>8100</v>
      </c>
      <c r="AF80" s="230">
        <v>8100</v>
      </c>
      <c r="AG80" s="230">
        <v>7800</v>
      </c>
      <c r="AH80" s="230">
        <v>8100</v>
      </c>
      <c r="AI80" s="230">
        <v>8100</v>
      </c>
      <c r="AJ80" s="230">
        <v>7800</v>
      </c>
      <c r="AK80" s="230">
        <v>8100</v>
      </c>
      <c r="AL80" s="230">
        <v>8100</v>
      </c>
    </row>
    <row r="81" spans="1:38" s="188" customFormat="1">
      <c r="A81" s="191" t="s">
        <v>217</v>
      </c>
      <c r="B81" s="192" t="s">
        <v>184</v>
      </c>
      <c r="C81" s="230">
        <v>7000</v>
      </c>
      <c r="D81" s="230">
        <v>7300</v>
      </c>
      <c r="E81" s="230">
        <v>7300</v>
      </c>
      <c r="F81" s="230">
        <v>7000</v>
      </c>
      <c r="G81" s="230">
        <v>7300</v>
      </c>
      <c r="H81" s="230">
        <v>7300</v>
      </c>
      <c r="I81" s="230">
        <v>7100</v>
      </c>
      <c r="J81" s="230">
        <v>7300</v>
      </c>
      <c r="K81" s="230">
        <v>7300</v>
      </c>
      <c r="L81" s="230">
        <v>7100</v>
      </c>
      <c r="M81" s="230">
        <v>7300</v>
      </c>
      <c r="N81" s="230">
        <v>7300</v>
      </c>
      <c r="O81" s="230">
        <v>7100</v>
      </c>
      <c r="P81" s="230">
        <v>7300</v>
      </c>
      <c r="Q81" s="230">
        <v>7300</v>
      </c>
      <c r="R81" s="230">
        <v>7100</v>
      </c>
      <c r="S81" s="230">
        <v>7300</v>
      </c>
      <c r="T81" s="230">
        <v>7300</v>
      </c>
      <c r="U81" s="230">
        <v>7000</v>
      </c>
      <c r="V81" s="230">
        <v>7300</v>
      </c>
      <c r="W81" s="230">
        <v>7300</v>
      </c>
      <c r="X81" s="230">
        <v>7000</v>
      </c>
      <c r="Y81" s="230">
        <v>7300</v>
      </c>
      <c r="Z81" s="230">
        <v>7300</v>
      </c>
      <c r="AA81" s="230">
        <v>8100</v>
      </c>
      <c r="AB81" s="230">
        <v>8600</v>
      </c>
      <c r="AC81" s="230">
        <v>8600</v>
      </c>
      <c r="AD81" s="230">
        <v>7800</v>
      </c>
      <c r="AE81" s="230">
        <v>8100</v>
      </c>
      <c r="AF81" s="230">
        <v>8100</v>
      </c>
      <c r="AG81" s="230">
        <v>7800</v>
      </c>
      <c r="AH81" s="230">
        <v>8100</v>
      </c>
      <c r="AI81" s="230">
        <v>8100</v>
      </c>
      <c r="AJ81" s="230">
        <v>7800</v>
      </c>
      <c r="AK81" s="230">
        <v>8100</v>
      </c>
      <c r="AL81" s="230">
        <v>8100</v>
      </c>
    </row>
    <row r="82" spans="1:38" s="188" customFormat="1">
      <c r="A82" s="186" t="s">
        <v>218</v>
      </c>
      <c r="B82" s="190" t="s">
        <v>185</v>
      </c>
      <c r="C82" s="230">
        <v>7100</v>
      </c>
      <c r="D82" s="230">
        <v>7400</v>
      </c>
      <c r="E82" s="230">
        <v>7400</v>
      </c>
      <c r="F82" s="230">
        <v>7100</v>
      </c>
      <c r="G82" s="230">
        <v>7400</v>
      </c>
      <c r="H82" s="230">
        <v>7400</v>
      </c>
      <c r="I82" s="230">
        <v>7200</v>
      </c>
      <c r="J82" s="230">
        <v>7400</v>
      </c>
      <c r="K82" s="230">
        <v>7400</v>
      </c>
      <c r="L82" s="230">
        <v>7200</v>
      </c>
      <c r="M82" s="230">
        <v>7400</v>
      </c>
      <c r="N82" s="230">
        <v>7400</v>
      </c>
      <c r="O82" s="230">
        <v>7200</v>
      </c>
      <c r="P82" s="230">
        <v>7400</v>
      </c>
      <c r="Q82" s="230">
        <v>7400</v>
      </c>
      <c r="R82" s="230">
        <v>7200</v>
      </c>
      <c r="S82" s="230">
        <v>7400</v>
      </c>
      <c r="T82" s="230">
        <v>7400</v>
      </c>
      <c r="U82" s="230">
        <v>7100</v>
      </c>
      <c r="V82" s="230">
        <v>7400</v>
      </c>
      <c r="W82" s="230">
        <v>7400</v>
      </c>
      <c r="X82" s="230">
        <v>7100</v>
      </c>
      <c r="Y82" s="230">
        <v>7400</v>
      </c>
      <c r="Z82" s="230">
        <v>7400</v>
      </c>
      <c r="AA82" s="230">
        <v>8200</v>
      </c>
      <c r="AB82" s="230">
        <v>8700</v>
      </c>
      <c r="AC82" s="230">
        <v>8700</v>
      </c>
      <c r="AD82" s="230">
        <v>7900</v>
      </c>
      <c r="AE82" s="230">
        <v>8200</v>
      </c>
      <c r="AF82" s="230">
        <v>8200</v>
      </c>
      <c r="AG82" s="230">
        <v>7900</v>
      </c>
      <c r="AH82" s="230">
        <v>8200</v>
      </c>
      <c r="AI82" s="230">
        <v>8200</v>
      </c>
      <c r="AJ82" s="230">
        <v>7900</v>
      </c>
      <c r="AK82" s="230">
        <v>8200</v>
      </c>
      <c r="AL82" s="230">
        <v>8200</v>
      </c>
    </row>
    <row r="83" spans="1:38" s="188" customFormat="1">
      <c r="A83" s="186" t="s">
        <v>219</v>
      </c>
      <c r="B83" s="190" t="s">
        <v>186</v>
      </c>
      <c r="C83" s="230">
        <v>7300</v>
      </c>
      <c r="D83" s="230">
        <v>7600</v>
      </c>
      <c r="E83" s="230">
        <v>7600</v>
      </c>
      <c r="F83" s="230">
        <v>7300</v>
      </c>
      <c r="G83" s="230">
        <v>7600</v>
      </c>
      <c r="H83" s="230">
        <v>7600</v>
      </c>
      <c r="I83" s="230">
        <v>7400</v>
      </c>
      <c r="J83" s="230">
        <v>7600</v>
      </c>
      <c r="K83" s="230">
        <v>7600</v>
      </c>
      <c r="L83" s="230">
        <v>7400</v>
      </c>
      <c r="M83" s="230">
        <v>7600</v>
      </c>
      <c r="N83" s="230">
        <v>7600</v>
      </c>
      <c r="O83" s="230">
        <v>7400</v>
      </c>
      <c r="P83" s="230">
        <v>7600</v>
      </c>
      <c r="Q83" s="230">
        <v>7600</v>
      </c>
      <c r="R83" s="230">
        <v>7400</v>
      </c>
      <c r="S83" s="230">
        <v>7600</v>
      </c>
      <c r="T83" s="230">
        <v>7600</v>
      </c>
      <c r="U83" s="230">
        <v>7300</v>
      </c>
      <c r="V83" s="230">
        <v>7600</v>
      </c>
      <c r="W83" s="230">
        <v>7600</v>
      </c>
      <c r="X83" s="230">
        <v>7300</v>
      </c>
      <c r="Y83" s="230">
        <v>7600</v>
      </c>
      <c r="Z83" s="230">
        <v>7600</v>
      </c>
      <c r="AA83" s="230">
        <v>8400</v>
      </c>
      <c r="AB83" s="230">
        <v>8900</v>
      </c>
      <c r="AC83" s="230">
        <v>8900</v>
      </c>
      <c r="AD83" s="230">
        <v>8100</v>
      </c>
      <c r="AE83" s="230">
        <v>8400</v>
      </c>
      <c r="AF83" s="230">
        <v>8400</v>
      </c>
      <c r="AG83" s="230">
        <v>8100</v>
      </c>
      <c r="AH83" s="230">
        <v>8400</v>
      </c>
      <c r="AI83" s="230">
        <v>8400</v>
      </c>
      <c r="AJ83" s="230">
        <v>8100</v>
      </c>
      <c r="AK83" s="230">
        <v>8400</v>
      </c>
      <c r="AL83" s="230">
        <v>8400</v>
      </c>
    </row>
    <row r="84" spans="1:38" s="188" customFormat="1">
      <c r="A84" s="191" t="s">
        <v>262</v>
      </c>
      <c r="B84" s="193" t="s">
        <v>263</v>
      </c>
      <c r="C84" s="230">
        <v>7300</v>
      </c>
      <c r="D84" s="230">
        <v>7600</v>
      </c>
      <c r="E84" s="230">
        <v>7600</v>
      </c>
      <c r="F84" s="230">
        <v>7300</v>
      </c>
      <c r="G84" s="230">
        <v>7600</v>
      </c>
      <c r="H84" s="230">
        <v>7600</v>
      </c>
      <c r="I84" s="230">
        <v>7400</v>
      </c>
      <c r="J84" s="230">
        <v>7600</v>
      </c>
      <c r="K84" s="230">
        <v>7600</v>
      </c>
      <c r="L84" s="230">
        <v>7400</v>
      </c>
      <c r="M84" s="230">
        <v>7600</v>
      </c>
      <c r="N84" s="230">
        <v>7600</v>
      </c>
      <c r="O84" s="230">
        <v>7400</v>
      </c>
      <c r="P84" s="230">
        <v>7600</v>
      </c>
      <c r="Q84" s="230">
        <v>7600</v>
      </c>
      <c r="R84" s="230">
        <v>7400</v>
      </c>
      <c r="S84" s="230">
        <v>7600</v>
      </c>
      <c r="T84" s="230">
        <v>7600</v>
      </c>
      <c r="U84" s="230">
        <v>7300</v>
      </c>
      <c r="V84" s="230">
        <v>7600</v>
      </c>
      <c r="W84" s="230">
        <v>7600</v>
      </c>
      <c r="X84" s="230">
        <v>7300</v>
      </c>
      <c r="Y84" s="230">
        <v>7600</v>
      </c>
      <c r="Z84" s="230">
        <v>7600</v>
      </c>
      <c r="AA84" s="230">
        <v>8400</v>
      </c>
      <c r="AB84" s="230">
        <v>8900</v>
      </c>
      <c r="AC84" s="230">
        <v>8900</v>
      </c>
      <c r="AD84" s="230">
        <v>8100</v>
      </c>
      <c r="AE84" s="230">
        <v>8400</v>
      </c>
      <c r="AF84" s="230">
        <v>8400</v>
      </c>
      <c r="AG84" s="230">
        <v>8100</v>
      </c>
      <c r="AH84" s="230">
        <v>8400</v>
      </c>
      <c r="AI84" s="230">
        <v>8400</v>
      </c>
      <c r="AJ84" s="230">
        <v>8100</v>
      </c>
      <c r="AK84" s="230">
        <v>8400</v>
      </c>
      <c r="AL84" s="230">
        <v>8400</v>
      </c>
    </row>
    <row r="85" spans="1:38" s="188" customFormat="1">
      <c r="A85" s="191" t="s">
        <v>32</v>
      </c>
      <c r="B85" s="193" t="s">
        <v>100</v>
      </c>
      <c r="C85" s="230">
        <v>6900</v>
      </c>
      <c r="D85" s="230">
        <v>7200</v>
      </c>
      <c r="E85" s="230">
        <v>7200</v>
      </c>
      <c r="F85" s="230">
        <v>6900</v>
      </c>
      <c r="G85" s="230">
        <v>7200</v>
      </c>
      <c r="H85" s="230">
        <v>7200</v>
      </c>
      <c r="I85" s="230">
        <v>7000</v>
      </c>
      <c r="J85" s="230">
        <v>7200</v>
      </c>
      <c r="K85" s="230">
        <v>7200</v>
      </c>
      <c r="L85" s="230">
        <v>7000</v>
      </c>
      <c r="M85" s="230">
        <v>7200</v>
      </c>
      <c r="N85" s="230">
        <v>7200</v>
      </c>
      <c r="O85" s="230">
        <v>7000</v>
      </c>
      <c r="P85" s="230">
        <v>7200</v>
      </c>
      <c r="Q85" s="230">
        <v>7200</v>
      </c>
      <c r="R85" s="230">
        <v>7000</v>
      </c>
      <c r="S85" s="230">
        <v>7200</v>
      </c>
      <c r="T85" s="230">
        <v>7200</v>
      </c>
      <c r="U85" s="230">
        <v>6900</v>
      </c>
      <c r="V85" s="230">
        <v>7200</v>
      </c>
      <c r="W85" s="230">
        <v>7200</v>
      </c>
      <c r="X85" s="230">
        <v>6900</v>
      </c>
      <c r="Y85" s="230">
        <v>7200</v>
      </c>
      <c r="Z85" s="230">
        <v>7200</v>
      </c>
      <c r="AA85" s="230">
        <v>8000</v>
      </c>
      <c r="AB85" s="230">
        <v>8500</v>
      </c>
      <c r="AC85" s="230">
        <v>8500</v>
      </c>
      <c r="AD85" s="230">
        <v>7700</v>
      </c>
      <c r="AE85" s="230">
        <v>8000</v>
      </c>
      <c r="AF85" s="230">
        <v>8000</v>
      </c>
      <c r="AG85" s="230">
        <v>7700</v>
      </c>
      <c r="AH85" s="230">
        <v>8000</v>
      </c>
      <c r="AI85" s="230">
        <v>8000</v>
      </c>
      <c r="AJ85" s="230">
        <v>7700</v>
      </c>
      <c r="AK85" s="230">
        <v>8000</v>
      </c>
      <c r="AL85" s="230">
        <v>8000</v>
      </c>
    </row>
    <row r="86" spans="1:38" s="188" customFormat="1">
      <c r="A86" s="191" t="s">
        <v>315</v>
      </c>
      <c r="B86" s="193" t="s">
        <v>101</v>
      </c>
      <c r="C86" s="230">
        <v>6900</v>
      </c>
      <c r="D86" s="230">
        <v>7200</v>
      </c>
      <c r="E86" s="230">
        <v>7200</v>
      </c>
      <c r="F86" s="230">
        <v>6900</v>
      </c>
      <c r="G86" s="230">
        <v>7200</v>
      </c>
      <c r="H86" s="230">
        <v>7200</v>
      </c>
      <c r="I86" s="230">
        <v>7000</v>
      </c>
      <c r="J86" s="230">
        <v>7200</v>
      </c>
      <c r="K86" s="230">
        <v>7200</v>
      </c>
      <c r="L86" s="230">
        <v>7000</v>
      </c>
      <c r="M86" s="230">
        <v>7200</v>
      </c>
      <c r="N86" s="230">
        <v>7200</v>
      </c>
      <c r="O86" s="230">
        <v>7000</v>
      </c>
      <c r="P86" s="230">
        <v>7200</v>
      </c>
      <c r="Q86" s="230">
        <v>7200</v>
      </c>
      <c r="R86" s="230">
        <v>7000</v>
      </c>
      <c r="S86" s="230">
        <v>7200</v>
      </c>
      <c r="T86" s="230">
        <v>7200</v>
      </c>
      <c r="U86" s="230">
        <v>6900</v>
      </c>
      <c r="V86" s="230">
        <v>7200</v>
      </c>
      <c r="W86" s="230">
        <v>7200</v>
      </c>
      <c r="X86" s="230">
        <v>6900</v>
      </c>
      <c r="Y86" s="230">
        <v>7200</v>
      </c>
      <c r="Z86" s="230">
        <v>7200</v>
      </c>
      <c r="AA86" s="230">
        <v>8000</v>
      </c>
      <c r="AB86" s="230">
        <v>8500</v>
      </c>
      <c r="AC86" s="230">
        <v>8500</v>
      </c>
      <c r="AD86" s="230">
        <v>7700</v>
      </c>
      <c r="AE86" s="230">
        <v>8000</v>
      </c>
      <c r="AF86" s="230">
        <v>8000</v>
      </c>
      <c r="AG86" s="230">
        <v>7700</v>
      </c>
      <c r="AH86" s="230">
        <v>8000</v>
      </c>
      <c r="AI86" s="230">
        <v>8000</v>
      </c>
      <c r="AJ86" s="230">
        <v>7700</v>
      </c>
      <c r="AK86" s="230">
        <v>8000</v>
      </c>
      <c r="AL86" s="230">
        <v>8000</v>
      </c>
    </row>
    <row r="87" spans="1:38" s="188" customFormat="1">
      <c r="A87" s="191" t="s">
        <v>316</v>
      </c>
      <c r="B87" s="193" t="s">
        <v>99</v>
      </c>
      <c r="C87" s="230">
        <v>7000</v>
      </c>
      <c r="D87" s="230">
        <v>7300</v>
      </c>
      <c r="E87" s="230">
        <v>7300</v>
      </c>
      <c r="F87" s="230">
        <v>7000</v>
      </c>
      <c r="G87" s="230">
        <v>7300</v>
      </c>
      <c r="H87" s="230">
        <v>7300</v>
      </c>
      <c r="I87" s="230">
        <v>7100</v>
      </c>
      <c r="J87" s="230">
        <v>7300</v>
      </c>
      <c r="K87" s="230">
        <v>7300</v>
      </c>
      <c r="L87" s="230">
        <v>7100</v>
      </c>
      <c r="M87" s="230">
        <v>7300</v>
      </c>
      <c r="N87" s="230">
        <v>7300</v>
      </c>
      <c r="O87" s="230">
        <v>7100</v>
      </c>
      <c r="P87" s="230">
        <v>7300</v>
      </c>
      <c r="Q87" s="230">
        <v>7300</v>
      </c>
      <c r="R87" s="230">
        <v>7100</v>
      </c>
      <c r="S87" s="230">
        <v>7300</v>
      </c>
      <c r="T87" s="230">
        <v>7300</v>
      </c>
      <c r="U87" s="230">
        <v>7000</v>
      </c>
      <c r="V87" s="230">
        <v>7300</v>
      </c>
      <c r="W87" s="230">
        <v>7300</v>
      </c>
      <c r="X87" s="230">
        <v>7000</v>
      </c>
      <c r="Y87" s="230">
        <v>7300</v>
      </c>
      <c r="Z87" s="230">
        <v>7300</v>
      </c>
      <c r="AA87" s="230">
        <v>8100</v>
      </c>
      <c r="AB87" s="230">
        <v>8600</v>
      </c>
      <c r="AC87" s="230">
        <v>8600</v>
      </c>
      <c r="AD87" s="230">
        <v>7800</v>
      </c>
      <c r="AE87" s="230">
        <v>8100</v>
      </c>
      <c r="AF87" s="230">
        <v>8100</v>
      </c>
      <c r="AG87" s="230">
        <v>7800</v>
      </c>
      <c r="AH87" s="230">
        <v>8100</v>
      </c>
      <c r="AI87" s="230">
        <v>8100</v>
      </c>
      <c r="AJ87" s="230">
        <v>7800</v>
      </c>
      <c r="AK87" s="230">
        <v>8100</v>
      </c>
      <c r="AL87" s="230">
        <v>8100</v>
      </c>
    </row>
    <row r="89" spans="1:38">
      <c r="A89" s="2" t="s">
        <v>129</v>
      </c>
    </row>
    <row r="90" spans="1:38" ht="21">
      <c r="A90" s="2" t="s">
        <v>341</v>
      </c>
    </row>
    <row r="91" spans="1:38" hidden="1">
      <c r="A91" s="249" t="s">
        <v>137</v>
      </c>
      <c r="B91" s="249"/>
    </row>
    <row r="92" spans="1:38">
      <c r="A92" s="83" t="s">
        <v>342</v>
      </c>
      <c r="B92" s="107"/>
    </row>
    <row r="93" spans="1:38">
      <c r="A93" s="83" t="s">
        <v>343</v>
      </c>
      <c r="B93" s="107"/>
    </row>
    <row r="94" spans="1:38">
      <c r="A94" s="83" t="s">
        <v>344</v>
      </c>
      <c r="B94" s="107"/>
    </row>
    <row r="95" spans="1:38" ht="15.5">
      <c r="A95" s="161"/>
    </row>
    <row r="96" spans="1:38" ht="15.5">
      <c r="A96" s="161"/>
    </row>
    <row r="97" spans="1:4" ht="15.5">
      <c r="A97" s="161" t="s">
        <v>345</v>
      </c>
    </row>
    <row r="98" spans="1:4" s="161" customFormat="1" ht="15.5"/>
    <row r="99" spans="1:4" s="111" customFormat="1" ht="20.5" hidden="1" customHeight="1">
      <c r="A99" s="108" t="s">
        <v>258</v>
      </c>
      <c r="B99" s="109"/>
      <c r="C99" s="110"/>
      <c r="D99" s="110"/>
    </row>
    <row r="101" spans="1:4">
      <c r="A101" s="83" t="s">
        <v>322</v>
      </c>
    </row>
    <row r="102" spans="1:4">
      <c r="A102" s="83" t="s">
        <v>290</v>
      </c>
    </row>
    <row r="103" spans="1:4">
      <c r="A103" s="112" t="s">
        <v>280</v>
      </c>
    </row>
    <row r="104" spans="1:4">
      <c r="A104" s="29" t="s">
        <v>145</v>
      </c>
    </row>
    <row r="106" spans="1:4">
      <c r="A106" s="250" t="s">
        <v>153</v>
      </c>
      <c r="B106" s="250" t="s">
        <v>154</v>
      </c>
    </row>
    <row r="107" spans="1:4">
      <c r="A107" s="250"/>
      <c r="B107" s="250"/>
    </row>
    <row r="108" spans="1:4">
      <c r="A108" s="21" t="s">
        <v>33</v>
      </c>
      <c r="B108" s="35">
        <v>18</v>
      </c>
    </row>
    <row r="109" spans="1:4">
      <c r="A109" s="26" t="s">
        <v>146</v>
      </c>
      <c r="B109" s="85">
        <v>14</v>
      </c>
    </row>
    <row r="110" spans="1:4">
      <c r="A110" s="21" t="s">
        <v>147</v>
      </c>
      <c r="B110" s="35">
        <v>18</v>
      </c>
    </row>
    <row r="111" spans="1:4">
      <c r="A111" s="21" t="s">
        <v>148</v>
      </c>
      <c r="B111" s="35">
        <v>18</v>
      </c>
    </row>
    <row r="112" spans="1:4">
      <c r="A112" s="21" t="s">
        <v>150</v>
      </c>
      <c r="B112" s="35">
        <v>18</v>
      </c>
    </row>
    <row r="113" spans="1:2">
      <c r="A113" s="21" t="s">
        <v>132</v>
      </c>
      <c r="B113" s="35">
        <v>18</v>
      </c>
    </row>
    <row r="114" spans="1:2">
      <c r="A114" s="21" t="s">
        <v>149</v>
      </c>
      <c r="B114" s="5">
        <v>18</v>
      </c>
    </row>
    <row r="115" spans="1:2">
      <c r="A115" s="27" t="s">
        <v>83</v>
      </c>
      <c r="B115" s="35">
        <v>21</v>
      </c>
    </row>
    <row r="116" spans="1:2">
      <c r="A116" s="27" t="s">
        <v>91</v>
      </c>
      <c r="B116" s="35">
        <v>18</v>
      </c>
    </row>
    <row r="117" spans="1:2">
      <c r="A117" s="33" t="s">
        <v>89</v>
      </c>
      <c r="B117" s="5">
        <v>18</v>
      </c>
    </row>
    <row r="118" spans="1:2">
      <c r="A118" s="33" t="s">
        <v>281</v>
      </c>
      <c r="B118" s="5">
        <v>18</v>
      </c>
    </row>
    <row r="119" spans="1:2">
      <c r="A119" s="33" t="s">
        <v>95</v>
      </c>
      <c r="B119" s="5">
        <v>18</v>
      </c>
    </row>
    <row r="120" spans="1:2">
      <c r="A120" s="33" t="s">
        <v>97</v>
      </c>
      <c r="B120" s="5">
        <v>18</v>
      </c>
    </row>
    <row r="121" spans="1:2">
      <c r="A121" s="33" t="s">
        <v>131</v>
      </c>
      <c r="B121" s="5">
        <v>18</v>
      </c>
    </row>
    <row r="122" spans="1:2">
      <c r="A122" s="33" t="s">
        <v>309</v>
      </c>
      <c r="B122" s="5">
        <v>18</v>
      </c>
    </row>
    <row r="123" spans="1:2">
      <c r="A123" s="33" t="s">
        <v>152</v>
      </c>
      <c r="B123" s="5">
        <v>18</v>
      </c>
    </row>
  </sheetData>
  <autoFilter ref="A10:AM61" xr:uid="{9FE17A64-BEF8-489D-880E-926F87BAF405}"/>
  <mergeCells count="60">
    <mergeCell ref="A4:B4"/>
    <mergeCell ref="C7:AL7"/>
    <mergeCell ref="C8:E8"/>
    <mergeCell ref="A69:B72"/>
    <mergeCell ref="A6:B9"/>
    <mergeCell ref="AA71:AC71"/>
    <mergeCell ref="O71:Q71"/>
    <mergeCell ref="U71:W71"/>
    <mergeCell ref="X71:Z71"/>
    <mergeCell ref="C6:AL6"/>
    <mergeCell ref="AJ72:AL72"/>
    <mergeCell ref="I71:K71"/>
    <mergeCell ref="L71:N71"/>
    <mergeCell ref="AD72:AF72"/>
    <mergeCell ref="AG72:AI72"/>
    <mergeCell ref="AJ8:AL8"/>
    <mergeCell ref="C2:D2"/>
    <mergeCell ref="F2:G2"/>
    <mergeCell ref="U72:W72"/>
    <mergeCell ref="X72:Z72"/>
    <mergeCell ref="AA72:AC72"/>
    <mergeCell ref="C72:E72"/>
    <mergeCell ref="F72:H72"/>
    <mergeCell ref="I72:K72"/>
    <mergeCell ref="L72:N72"/>
    <mergeCell ref="O72:Q72"/>
    <mergeCell ref="X8:Z8"/>
    <mergeCell ref="R8:T8"/>
    <mergeCell ref="R9:T9"/>
    <mergeCell ref="R71:T71"/>
    <mergeCell ref="R72:T72"/>
    <mergeCell ref="AD71:AF71"/>
    <mergeCell ref="AG71:AI71"/>
    <mergeCell ref="AJ71:AL71"/>
    <mergeCell ref="F8:H8"/>
    <mergeCell ref="I8:K8"/>
    <mergeCell ref="L8:N8"/>
    <mergeCell ref="O8:Q8"/>
    <mergeCell ref="AG9:AI9"/>
    <mergeCell ref="U8:W8"/>
    <mergeCell ref="U9:W9"/>
    <mergeCell ref="AA8:AC8"/>
    <mergeCell ref="AD8:AF8"/>
    <mergeCell ref="AG8:AI8"/>
    <mergeCell ref="A91:B91"/>
    <mergeCell ref="A106:A107"/>
    <mergeCell ref="B106:B107"/>
    <mergeCell ref="AD9:AF9"/>
    <mergeCell ref="C9:E9"/>
    <mergeCell ref="AA9:AC9"/>
    <mergeCell ref="F9:H9"/>
    <mergeCell ref="I9:K9"/>
    <mergeCell ref="L9:N9"/>
    <mergeCell ref="O9:Q9"/>
    <mergeCell ref="X9:Z9"/>
    <mergeCell ref="C69:AL69"/>
    <mergeCell ref="C70:AL70"/>
    <mergeCell ref="C71:E71"/>
    <mergeCell ref="F71:H71"/>
    <mergeCell ref="AJ9:AL9"/>
  </mergeCells>
  <pageMargins left="0.25" right="0.25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3399"/>
  </sheetPr>
  <dimension ref="A1:J57"/>
  <sheetViews>
    <sheetView zoomScale="70" zoomScaleNormal="70" zoomScaleSheetLayoutView="79" workbookViewId="0">
      <selection activeCell="D32" sqref="D32"/>
    </sheetView>
  </sheetViews>
  <sheetFormatPr defaultRowHeight="14.5"/>
  <cols>
    <col min="1" max="1" width="36.54296875" customWidth="1"/>
    <col min="2" max="2" width="28" customWidth="1"/>
    <col min="3" max="6" width="16.81640625" customWidth="1"/>
    <col min="7" max="8" width="16.7265625" customWidth="1"/>
    <col min="9" max="10" width="16.81640625" customWidth="1"/>
  </cols>
  <sheetData>
    <row r="1" spans="1:10" ht="23.5">
      <c r="A1" s="123" t="s">
        <v>123</v>
      </c>
      <c r="B1" s="124"/>
      <c r="C1" s="121"/>
      <c r="D1" s="122"/>
    </row>
    <row r="2" spans="1:10" ht="13" customHeight="1">
      <c r="A2" s="125"/>
      <c r="B2" s="124"/>
    </row>
    <row r="3" spans="1:10" ht="13" customHeight="1">
      <c r="A3" s="9"/>
      <c r="B3" s="124"/>
      <c r="C3" s="6" t="s">
        <v>0</v>
      </c>
      <c r="D3" s="6" t="s">
        <v>1</v>
      </c>
    </row>
    <row r="4" spans="1:10" ht="13" customHeight="1">
      <c r="A4" s="287" t="s">
        <v>2</v>
      </c>
      <c r="B4" s="287"/>
      <c r="C4" s="114" t="str">
        <f>DRY!C4</f>
        <v>2026-08-01</v>
      </c>
      <c r="D4" s="114" t="str">
        <f>DRY!D4</f>
        <v>2026-08-07</v>
      </c>
    </row>
    <row r="5" spans="1:10" ht="13" customHeight="1"/>
    <row r="6" spans="1:10" ht="13" customHeight="1">
      <c r="C6" s="304" t="s">
        <v>36</v>
      </c>
      <c r="D6" s="305"/>
      <c r="E6" s="305"/>
      <c r="F6" s="305"/>
      <c r="G6" s="305"/>
      <c r="H6" s="305"/>
      <c r="I6" s="305"/>
      <c r="J6" s="306"/>
    </row>
    <row r="7" spans="1:10" ht="13" customHeight="1">
      <c r="C7" s="307" t="s">
        <v>81</v>
      </c>
      <c r="D7" s="307"/>
      <c r="E7" s="307"/>
      <c r="F7" s="307"/>
      <c r="G7" s="307"/>
      <c r="H7" s="307"/>
      <c r="I7" s="307"/>
      <c r="J7" s="307"/>
    </row>
    <row r="8" spans="1:10" ht="13" customHeight="1">
      <c r="C8" s="113" t="s">
        <v>33</v>
      </c>
      <c r="D8" s="105" t="s">
        <v>146</v>
      </c>
      <c r="E8" s="105" t="s">
        <v>147</v>
      </c>
      <c r="F8" s="105" t="s">
        <v>148</v>
      </c>
      <c r="G8" s="105" t="s">
        <v>150</v>
      </c>
      <c r="H8" s="105" t="s">
        <v>132</v>
      </c>
      <c r="I8" s="105" t="s">
        <v>152</v>
      </c>
      <c r="J8" s="105" t="s">
        <v>149</v>
      </c>
    </row>
    <row r="9" spans="1:10" ht="13" customHeight="1">
      <c r="C9" s="32" t="s">
        <v>82</v>
      </c>
      <c r="D9" s="32" t="s">
        <v>126</v>
      </c>
      <c r="E9" s="32" t="s">
        <v>98</v>
      </c>
      <c r="F9" s="32" t="s">
        <v>187</v>
      </c>
      <c r="G9" s="32" t="s">
        <v>188</v>
      </c>
      <c r="H9" s="32" t="s">
        <v>133</v>
      </c>
      <c r="I9" s="32" t="s">
        <v>336</v>
      </c>
      <c r="J9" s="32" t="s">
        <v>308</v>
      </c>
    </row>
    <row r="10" spans="1:10" ht="13" customHeight="1">
      <c r="A10" s="30" t="s">
        <v>37</v>
      </c>
      <c r="B10" s="31" t="s">
        <v>35</v>
      </c>
      <c r="C10" s="32" t="s">
        <v>41</v>
      </c>
      <c r="D10" s="32" t="s">
        <v>41</v>
      </c>
      <c r="E10" s="32" t="s">
        <v>41</v>
      </c>
      <c r="F10" s="32" t="s">
        <v>41</v>
      </c>
      <c r="G10" s="32" t="s">
        <v>41</v>
      </c>
      <c r="H10" s="32" t="s">
        <v>41</v>
      </c>
      <c r="I10" s="32" t="s">
        <v>41</v>
      </c>
      <c r="J10" s="32" t="s">
        <v>41</v>
      </c>
    </row>
    <row r="11" spans="1:10" ht="13" customHeight="1">
      <c r="A11" s="93" t="s">
        <v>259</v>
      </c>
      <c r="B11" s="94" t="s">
        <v>243</v>
      </c>
      <c r="C11" s="239">
        <v>4800</v>
      </c>
      <c r="D11" s="239">
        <v>4800</v>
      </c>
      <c r="E11" s="239">
        <v>4800</v>
      </c>
      <c r="F11" s="239">
        <v>4800</v>
      </c>
      <c r="G11" s="239">
        <v>4800</v>
      </c>
      <c r="H11" s="239">
        <v>4800</v>
      </c>
      <c r="I11" s="239">
        <v>4800</v>
      </c>
      <c r="J11" s="239">
        <v>4800</v>
      </c>
    </row>
    <row r="12" spans="1:10" ht="13" customHeight="1">
      <c r="A12" s="93" t="s">
        <v>6</v>
      </c>
      <c r="B12" s="94" t="s">
        <v>48</v>
      </c>
      <c r="C12" s="239">
        <v>4800</v>
      </c>
      <c r="D12" s="239">
        <v>4800</v>
      </c>
      <c r="E12" s="239">
        <v>4800</v>
      </c>
      <c r="F12" s="239">
        <v>4800</v>
      </c>
      <c r="G12" s="239">
        <v>4800</v>
      </c>
      <c r="H12" s="239">
        <v>4800</v>
      </c>
      <c r="I12" s="239">
        <v>4800</v>
      </c>
      <c r="J12" s="239">
        <v>4800</v>
      </c>
    </row>
    <row r="13" spans="1:10" ht="13" customHeight="1">
      <c r="A13" s="95" t="s">
        <v>15</v>
      </c>
      <c r="B13" s="96" t="s">
        <v>50</v>
      </c>
      <c r="C13" s="166">
        <v>4900</v>
      </c>
      <c r="D13" s="166">
        <v>4900</v>
      </c>
      <c r="E13" s="166">
        <v>4900</v>
      </c>
      <c r="F13" s="166">
        <v>4900</v>
      </c>
      <c r="G13" s="166">
        <v>4900</v>
      </c>
      <c r="H13" s="166">
        <v>4900</v>
      </c>
      <c r="I13" s="166">
        <v>4900</v>
      </c>
      <c r="J13" s="166">
        <v>4900</v>
      </c>
    </row>
    <row r="14" spans="1:10" ht="13" customHeight="1">
      <c r="A14" s="93" t="s">
        <v>4</v>
      </c>
      <c r="B14" s="94" t="s">
        <v>70</v>
      </c>
      <c r="C14" s="240">
        <v>4800</v>
      </c>
      <c r="D14" s="240">
        <v>4800</v>
      </c>
      <c r="E14" s="240">
        <v>4800</v>
      </c>
      <c r="F14" s="240">
        <v>4800</v>
      </c>
      <c r="G14" s="240">
        <v>4800</v>
      </c>
      <c r="H14" s="240">
        <v>4800</v>
      </c>
      <c r="I14" s="240">
        <v>4800</v>
      </c>
      <c r="J14" s="240">
        <v>4800</v>
      </c>
    </row>
    <row r="15" spans="1:10" ht="13" customHeight="1">
      <c r="A15" s="93" t="s">
        <v>3</v>
      </c>
      <c r="B15" s="94" t="s">
        <v>69</v>
      </c>
      <c r="C15" s="240">
        <v>4800</v>
      </c>
      <c r="D15" s="240">
        <v>4800</v>
      </c>
      <c r="E15" s="240">
        <v>4800</v>
      </c>
      <c r="F15" s="240">
        <v>4800</v>
      </c>
      <c r="G15" s="240">
        <v>4800</v>
      </c>
      <c r="H15" s="240">
        <v>4800</v>
      </c>
      <c r="I15" s="240">
        <v>4800</v>
      </c>
      <c r="J15" s="240">
        <v>4800</v>
      </c>
    </row>
    <row r="16" spans="1:10" ht="13" customHeight="1">
      <c r="A16" s="97" t="s">
        <v>16</v>
      </c>
      <c r="B16" s="96" t="s">
        <v>51</v>
      </c>
      <c r="C16" s="166">
        <v>4900</v>
      </c>
      <c r="D16" s="166">
        <v>4900</v>
      </c>
      <c r="E16" s="166">
        <v>4900</v>
      </c>
      <c r="F16" s="166">
        <v>4900</v>
      </c>
      <c r="G16" s="166">
        <v>4900</v>
      </c>
      <c r="H16" s="166">
        <v>4900</v>
      </c>
      <c r="I16" s="166">
        <v>4900</v>
      </c>
      <c r="J16" s="166">
        <v>4900</v>
      </c>
    </row>
    <row r="17" spans="1:10" ht="13" customHeight="1">
      <c r="A17" s="98" t="s">
        <v>244</v>
      </c>
      <c r="B17" s="99" t="s">
        <v>242</v>
      </c>
      <c r="C17" s="237">
        <v>4950</v>
      </c>
      <c r="D17" s="237">
        <v>4950</v>
      </c>
      <c r="E17" s="237">
        <v>4950</v>
      </c>
      <c r="F17" s="237">
        <v>4950</v>
      </c>
      <c r="G17" s="237">
        <v>4950</v>
      </c>
      <c r="H17" s="237">
        <v>4950</v>
      </c>
      <c r="I17" s="237">
        <v>4950</v>
      </c>
      <c r="J17" s="237">
        <v>4950</v>
      </c>
    </row>
    <row r="18" spans="1:10" ht="13" customHeight="1">
      <c r="A18" s="95" t="s">
        <v>191</v>
      </c>
      <c r="B18" s="96" t="s">
        <v>158</v>
      </c>
      <c r="C18" s="166">
        <v>4900</v>
      </c>
      <c r="D18" s="166">
        <v>4900</v>
      </c>
      <c r="E18" s="166">
        <v>4900</v>
      </c>
      <c r="F18" s="166">
        <v>4900</v>
      </c>
      <c r="G18" s="166">
        <v>4900</v>
      </c>
      <c r="H18" s="166">
        <v>4900</v>
      </c>
      <c r="I18" s="166">
        <v>4900</v>
      </c>
      <c r="J18" s="166">
        <v>4900</v>
      </c>
    </row>
    <row r="19" spans="1:10" ht="13" customHeight="1">
      <c r="A19" s="95" t="s">
        <v>192</v>
      </c>
      <c r="B19" s="96" t="s">
        <v>159</v>
      </c>
      <c r="C19" s="166">
        <v>4900</v>
      </c>
      <c r="D19" s="166">
        <v>4900</v>
      </c>
      <c r="E19" s="166">
        <v>4900</v>
      </c>
      <c r="F19" s="166">
        <v>4900</v>
      </c>
      <c r="G19" s="166">
        <v>4900</v>
      </c>
      <c r="H19" s="166">
        <v>4900</v>
      </c>
      <c r="I19" s="166">
        <v>4900</v>
      </c>
      <c r="J19" s="166">
        <v>4900</v>
      </c>
    </row>
    <row r="20" spans="1:10" ht="13" customHeight="1">
      <c r="A20" s="95" t="s">
        <v>193</v>
      </c>
      <c r="B20" s="96" t="s">
        <v>160</v>
      </c>
      <c r="C20" s="166">
        <v>4900</v>
      </c>
      <c r="D20" s="166">
        <v>4900</v>
      </c>
      <c r="E20" s="166">
        <v>4900</v>
      </c>
      <c r="F20" s="166">
        <v>4900</v>
      </c>
      <c r="G20" s="166">
        <v>4900</v>
      </c>
      <c r="H20" s="166">
        <v>4900</v>
      </c>
      <c r="I20" s="166">
        <v>4900</v>
      </c>
      <c r="J20" s="166">
        <v>4900</v>
      </c>
    </row>
    <row r="21" spans="1:10" ht="13" customHeight="1">
      <c r="A21" s="95" t="s">
        <v>194</v>
      </c>
      <c r="B21" s="96" t="s">
        <v>161</v>
      </c>
      <c r="C21" s="166">
        <v>4900</v>
      </c>
      <c r="D21" s="166">
        <v>4900</v>
      </c>
      <c r="E21" s="166">
        <v>4900</v>
      </c>
      <c r="F21" s="166">
        <v>4900</v>
      </c>
      <c r="G21" s="166">
        <v>4900</v>
      </c>
      <c r="H21" s="166">
        <v>4900</v>
      </c>
      <c r="I21" s="166">
        <v>4900</v>
      </c>
      <c r="J21" s="166">
        <v>4900</v>
      </c>
    </row>
    <row r="22" spans="1:10" ht="13" customHeight="1">
      <c r="A22" s="95" t="s">
        <v>31</v>
      </c>
      <c r="B22" s="96" t="s">
        <v>52</v>
      </c>
      <c r="C22" s="166">
        <v>4900</v>
      </c>
      <c r="D22" s="166">
        <v>4900</v>
      </c>
      <c r="E22" s="166">
        <v>4900</v>
      </c>
      <c r="F22" s="166">
        <v>4900</v>
      </c>
      <c r="G22" s="166">
        <v>4900</v>
      </c>
      <c r="H22" s="166">
        <v>4900</v>
      </c>
      <c r="I22" s="166">
        <v>4900</v>
      </c>
      <c r="J22" s="166">
        <v>4900</v>
      </c>
    </row>
    <row r="23" spans="1:10" ht="13" customHeight="1">
      <c r="A23" s="97" t="s">
        <v>43</v>
      </c>
      <c r="B23" s="96" t="s">
        <v>53</v>
      </c>
      <c r="C23" s="166">
        <v>4900</v>
      </c>
      <c r="D23" s="166">
        <v>4900</v>
      </c>
      <c r="E23" s="166">
        <v>4900</v>
      </c>
      <c r="F23" s="166">
        <v>4900</v>
      </c>
      <c r="G23" s="166">
        <v>4900</v>
      </c>
      <c r="H23" s="166">
        <v>4900</v>
      </c>
      <c r="I23" s="166">
        <v>4900</v>
      </c>
      <c r="J23" s="166">
        <v>4900</v>
      </c>
    </row>
    <row r="24" spans="1:10" ht="13" customHeight="1">
      <c r="A24" s="97" t="s">
        <v>25</v>
      </c>
      <c r="B24" s="96" t="s">
        <v>55</v>
      </c>
      <c r="C24" s="166">
        <v>4900</v>
      </c>
      <c r="D24" s="166">
        <v>4900</v>
      </c>
      <c r="E24" s="166">
        <v>4900</v>
      </c>
      <c r="F24" s="166">
        <v>4900</v>
      </c>
      <c r="G24" s="166">
        <v>4900</v>
      </c>
      <c r="H24" s="166">
        <v>4900</v>
      </c>
      <c r="I24" s="166">
        <v>4900</v>
      </c>
      <c r="J24" s="166">
        <v>4900</v>
      </c>
    </row>
    <row r="25" spans="1:10" ht="13" customHeight="1">
      <c r="A25" s="95" t="s">
        <v>21</v>
      </c>
      <c r="B25" s="96" t="s">
        <v>60</v>
      </c>
      <c r="C25" s="166">
        <v>4900</v>
      </c>
      <c r="D25" s="166">
        <v>4900</v>
      </c>
      <c r="E25" s="166">
        <v>4900</v>
      </c>
      <c r="F25" s="166">
        <v>4900</v>
      </c>
      <c r="G25" s="166">
        <v>4900</v>
      </c>
      <c r="H25" s="166">
        <v>4900</v>
      </c>
      <c r="I25" s="166">
        <v>4900</v>
      </c>
      <c r="J25" s="166">
        <v>4900</v>
      </c>
    </row>
    <row r="26" spans="1:10" ht="13" customHeight="1">
      <c r="A26" s="95" t="s">
        <v>20</v>
      </c>
      <c r="B26" s="96" t="s">
        <v>61</v>
      </c>
      <c r="C26" s="166">
        <v>4900</v>
      </c>
      <c r="D26" s="166">
        <v>4900</v>
      </c>
      <c r="E26" s="166">
        <v>4900</v>
      </c>
      <c r="F26" s="166">
        <v>4900</v>
      </c>
      <c r="G26" s="166">
        <v>4900</v>
      </c>
      <c r="H26" s="166">
        <v>4900</v>
      </c>
      <c r="I26" s="166">
        <v>4900</v>
      </c>
      <c r="J26" s="166">
        <v>4900</v>
      </c>
    </row>
    <row r="27" spans="1:10" ht="13" customHeight="1">
      <c r="A27" s="97" t="s">
        <v>29</v>
      </c>
      <c r="B27" s="96" t="s">
        <v>64</v>
      </c>
      <c r="C27" s="166">
        <v>5000</v>
      </c>
      <c r="D27" s="166">
        <v>5000</v>
      </c>
      <c r="E27" s="166">
        <v>5000</v>
      </c>
      <c r="F27" s="166">
        <v>5000</v>
      </c>
      <c r="G27" s="166">
        <v>5000</v>
      </c>
      <c r="H27" s="166">
        <v>5000</v>
      </c>
      <c r="I27" s="166">
        <v>5000</v>
      </c>
      <c r="J27" s="166">
        <v>5000</v>
      </c>
    </row>
    <row r="28" spans="1:10" ht="13" customHeight="1">
      <c r="A28" s="27"/>
      <c r="B28" s="5"/>
    </row>
    <row r="29" spans="1:10" ht="13" customHeight="1">
      <c r="A29" s="27"/>
      <c r="B29" s="5"/>
    </row>
    <row r="30" spans="1:10" ht="13" customHeight="1">
      <c r="A30" s="2" t="s">
        <v>129</v>
      </c>
      <c r="B30" s="5"/>
    </row>
    <row r="31" spans="1:10" ht="13" customHeight="1">
      <c r="A31" s="2" t="s">
        <v>341</v>
      </c>
      <c r="B31" s="5"/>
    </row>
    <row r="32" spans="1:10" ht="15.5">
      <c r="A32" s="161"/>
    </row>
    <row r="34" spans="1:5" ht="15.5">
      <c r="A34" s="161" t="str">
        <f>IF(DRY!A96="","",DRY!A96)</f>
        <v/>
      </c>
    </row>
    <row r="35" spans="1:5" ht="15.5">
      <c r="A35" s="161" t="str">
        <f>DRY!A97</f>
        <v>ONE Bunker Surcharge (OBS): fixed as USD 320 per TEU (Dry) &amp; USD 511 per TEU (RF) during Jul-Sep'26</v>
      </c>
    </row>
    <row r="36" spans="1:5" ht="15.5">
      <c r="A36" s="161"/>
    </row>
    <row r="38" spans="1:5" ht="18.649999999999999" hidden="1" customHeight="1">
      <c r="A38" s="108" t="s">
        <v>258</v>
      </c>
      <c r="B38" s="24"/>
      <c r="C38" s="84"/>
      <c r="D38" s="84"/>
      <c r="E38" s="84"/>
    </row>
    <row r="39" spans="1:5" ht="15.5" hidden="1">
      <c r="A39" s="161"/>
    </row>
    <row r="40" spans="1:5">
      <c r="A40" s="21" t="s">
        <v>130</v>
      </c>
    </row>
    <row r="41" spans="1:5">
      <c r="A41" s="83" t="s">
        <v>322</v>
      </c>
    </row>
    <row r="42" spans="1:5">
      <c r="A42" s="83" t="s">
        <v>290</v>
      </c>
    </row>
    <row r="43" spans="1:5">
      <c r="A43" s="112" t="s">
        <v>280</v>
      </c>
    </row>
    <row r="44" spans="1:5">
      <c r="A44" s="29" t="s">
        <v>145</v>
      </c>
    </row>
    <row r="45" spans="1:5">
      <c r="A45" s="29"/>
    </row>
    <row r="46" spans="1:5" ht="14.5" customHeight="1">
      <c r="A46" s="250" t="s">
        <v>153</v>
      </c>
      <c r="B46" s="303" t="s">
        <v>155</v>
      </c>
    </row>
    <row r="47" spans="1:5">
      <c r="A47" s="250"/>
      <c r="B47" s="303"/>
    </row>
    <row r="48" spans="1:5">
      <c r="A48" s="21" t="s">
        <v>33</v>
      </c>
      <c r="B48" s="5">
        <v>14</v>
      </c>
    </row>
    <row r="49" spans="1:2">
      <c r="A49" s="26" t="s">
        <v>146</v>
      </c>
      <c r="B49" s="85">
        <v>10</v>
      </c>
    </row>
    <row r="50" spans="1:2">
      <c r="A50" s="21" t="s">
        <v>147</v>
      </c>
      <c r="B50" s="5">
        <v>14</v>
      </c>
    </row>
    <row r="51" spans="1:2">
      <c r="A51" s="21" t="s">
        <v>148</v>
      </c>
      <c r="B51" s="5">
        <v>14</v>
      </c>
    </row>
    <row r="52" spans="1:2">
      <c r="A52" s="21" t="s">
        <v>150</v>
      </c>
      <c r="B52" s="5">
        <v>14</v>
      </c>
    </row>
    <row r="53" spans="1:2">
      <c r="A53" s="21" t="s">
        <v>132</v>
      </c>
      <c r="B53" s="5">
        <v>14</v>
      </c>
    </row>
    <row r="54" spans="1:2" ht="14.5" hidden="1" customHeight="1">
      <c r="A54" s="27" t="s">
        <v>83</v>
      </c>
      <c r="B54" s="5">
        <v>14</v>
      </c>
    </row>
    <row r="55" spans="1:2" hidden="1">
      <c r="A55" s="27" t="s">
        <v>91</v>
      </c>
      <c r="B55" s="5">
        <v>14</v>
      </c>
    </row>
    <row r="56" spans="1:2">
      <c r="A56" s="21" t="s">
        <v>149</v>
      </c>
      <c r="B56" s="5">
        <v>14</v>
      </c>
    </row>
    <row r="57" spans="1:2">
      <c r="A57" s="21" t="s">
        <v>152</v>
      </c>
      <c r="B57" s="5">
        <v>14</v>
      </c>
    </row>
  </sheetData>
  <mergeCells count="5">
    <mergeCell ref="A46:A47"/>
    <mergeCell ref="B46:B47"/>
    <mergeCell ref="A4:B4"/>
    <mergeCell ref="C6:J6"/>
    <mergeCell ref="C7:J7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3399"/>
  </sheetPr>
  <dimension ref="A1:M128"/>
  <sheetViews>
    <sheetView tabSelected="1" zoomScale="70" zoomScaleNormal="70" workbookViewId="0">
      <pane xSplit="2" topLeftCell="C1" activePane="topRight" state="frozen"/>
      <selection activeCell="C11" sqref="C11"/>
      <selection pane="topRight" activeCell="G56" sqref="G56"/>
    </sheetView>
  </sheetViews>
  <sheetFormatPr defaultColWidth="14.453125" defaultRowHeight="14.5"/>
  <cols>
    <col min="1" max="1" width="44.453125" style="50" customWidth="1"/>
    <col min="2" max="2" width="32.54296875" style="51" customWidth="1"/>
    <col min="3" max="3" width="18" style="48" customWidth="1"/>
    <col min="4" max="4" width="17.453125" style="48" customWidth="1"/>
    <col min="5" max="7" width="16.453125" style="48" customWidth="1"/>
    <col min="8" max="16384" width="14.453125" style="48"/>
  </cols>
  <sheetData>
    <row r="1" spans="1:7" ht="20.149999999999999" customHeight="1">
      <c r="A1" s="46" t="s">
        <v>123</v>
      </c>
      <c r="B1" s="47"/>
      <c r="C1" s="126"/>
      <c r="D1" s="127"/>
    </row>
    <row r="2" spans="1:7" ht="18" customHeight="1">
      <c r="A2" s="49"/>
      <c r="B2" s="47"/>
      <c r="C2" s="277" t="s">
        <v>311</v>
      </c>
      <c r="D2" s="277"/>
      <c r="E2" s="185"/>
      <c r="F2" s="278" t="s">
        <v>312</v>
      </c>
      <c r="G2" s="279"/>
    </row>
    <row r="3" spans="1:7" ht="14.25" customHeight="1">
      <c r="C3" s="128" t="s">
        <v>0</v>
      </c>
      <c r="D3" s="128" t="s">
        <v>1</v>
      </c>
      <c r="F3" s="6" t="s">
        <v>0</v>
      </c>
      <c r="G3" s="6" t="s">
        <v>1</v>
      </c>
    </row>
    <row r="4" spans="1:7" ht="14.5" customHeight="1">
      <c r="A4" s="308" t="s">
        <v>2</v>
      </c>
      <c r="B4" s="308"/>
      <c r="C4" s="119" t="str">
        <f>DRY!C4</f>
        <v>2026-08-01</v>
      </c>
      <c r="D4" s="119" t="str">
        <f>DRY!D4</f>
        <v>2026-08-07</v>
      </c>
      <c r="F4" s="119" t="str">
        <f>DRY!F4</f>
        <v>2026-08-01</v>
      </c>
      <c r="G4" s="119" t="str">
        <f>DRY!G4</f>
        <v>2026-08-07</v>
      </c>
    </row>
    <row r="5" spans="1:7">
      <c r="B5" s="179"/>
      <c r="C5" s="180"/>
      <c r="D5" s="180"/>
      <c r="E5" s="180"/>
      <c r="F5" s="180"/>
    </row>
    <row r="6" spans="1:7" ht="14.25" customHeight="1">
      <c r="C6" s="228"/>
      <c r="D6" s="52"/>
    </row>
    <row r="7" spans="1:7" s="50" customFormat="1" ht="14.25" customHeight="1">
      <c r="A7" s="296" t="s">
        <v>311</v>
      </c>
      <c r="B7" s="296"/>
      <c r="C7" s="277" t="s">
        <v>36</v>
      </c>
      <c r="D7" s="277"/>
      <c r="E7" s="277"/>
      <c r="F7" s="277"/>
    </row>
    <row r="8" spans="1:7" s="50" customFormat="1" ht="14.25" customHeight="1">
      <c r="A8" s="296"/>
      <c r="B8" s="296"/>
      <c r="C8" s="310" t="s">
        <v>81</v>
      </c>
      <c r="D8" s="310"/>
      <c r="E8" s="310"/>
      <c r="F8" s="310"/>
    </row>
    <row r="9" spans="1:7" s="50" customFormat="1" ht="27" customHeight="1">
      <c r="A9" s="296"/>
      <c r="B9" s="296"/>
      <c r="C9" s="275" t="s">
        <v>240</v>
      </c>
      <c r="D9" s="275"/>
      <c r="E9" s="310" t="s">
        <v>83</v>
      </c>
      <c r="F9" s="310"/>
    </row>
    <row r="10" spans="1:7" s="50" customFormat="1" ht="32" customHeight="1">
      <c r="A10" s="296"/>
      <c r="B10" s="296"/>
      <c r="C10" s="309" t="s">
        <v>337</v>
      </c>
      <c r="D10" s="309"/>
      <c r="E10" s="309" t="s">
        <v>34</v>
      </c>
      <c r="F10" s="320"/>
    </row>
    <row r="11" spans="1:7" ht="14" customHeight="1">
      <c r="A11" s="183" t="s">
        <v>37</v>
      </c>
      <c r="B11" s="184" t="s">
        <v>35</v>
      </c>
      <c r="C11" s="82" t="s">
        <v>230</v>
      </c>
      <c r="D11" s="82" t="s">
        <v>231</v>
      </c>
      <c r="E11" s="82" t="s">
        <v>230</v>
      </c>
      <c r="F11" s="82" t="s">
        <v>231</v>
      </c>
    </row>
    <row r="12" spans="1:7" ht="14.25" customHeight="1">
      <c r="A12" s="53" t="s">
        <v>6</v>
      </c>
      <c r="B12" s="54" t="s">
        <v>48</v>
      </c>
      <c r="C12" s="236">
        <v>6400</v>
      </c>
      <c r="D12" s="86">
        <v>6800</v>
      </c>
      <c r="E12" s="86">
        <v>7400</v>
      </c>
      <c r="F12" s="86">
        <v>8100</v>
      </c>
    </row>
    <row r="13" spans="1:7" ht="14.25" customHeight="1">
      <c r="A13" s="53" t="s">
        <v>5</v>
      </c>
      <c r="B13" s="54" t="s">
        <v>71</v>
      </c>
      <c r="C13" s="86">
        <v>6400</v>
      </c>
      <c r="D13" s="86">
        <v>6800</v>
      </c>
      <c r="E13" s="86">
        <v>7400</v>
      </c>
      <c r="F13" s="86">
        <v>8100</v>
      </c>
    </row>
    <row r="14" spans="1:7" ht="14.25" customHeight="1">
      <c r="A14" s="53" t="s">
        <v>9</v>
      </c>
      <c r="B14" s="54" t="s">
        <v>72</v>
      </c>
      <c r="C14" s="237">
        <v>6400</v>
      </c>
      <c r="D14" s="168">
        <v>6800</v>
      </c>
      <c r="E14" s="168">
        <v>7400</v>
      </c>
      <c r="F14" s="168">
        <v>8100</v>
      </c>
    </row>
    <row r="15" spans="1:7" ht="14.25" customHeight="1">
      <c r="A15" s="53" t="s">
        <v>10</v>
      </c>
      <c r="B15" s="54" t="s">
        <v>73</v>
      </c>
      <c r="C15" s="237">
        <v>6400</v>
      </c>
      <c r="D15" s="168">
        <v>6800</v>
      </c>
      <c r="E15" s="168">
        <v>7400</v>
      </c>
      <c r="F15" s="168">
        <v>8100</v>
      </c>
    </row>
    <row r="16" spans="1:7" ht="14.25" customHeight="1">
      <c r="A16" s="53" t="s">
        <v>12</v>
      </c>
      <c r="B16" s="54" t="s">
        <v>74</v>
      </c>
      <c r="C16" s="237">
        <v>6400</v>
      </c>
      <c r="D16" s="168">
        <v>6800</v>
      </c>
      <c r="E16" s="168">
        <v>7400</v>
      </c>
      <c r="F16" s="168">
        <v>8100</v>
      </c>
    </row>
    <row r="17" spans="1:6" ht="14.25" customHeight="1">
      <c r="A17" s="53" t="s">
        <v>11</v>
      </c>
      <c r="B17" s="54" t="s">
        <v>75</v>
      </c>
      <c r="C17" s="237">
        <v>6400</v>
      </c>
      <c r="D17" s="168">
        <v>6800</v>
      </c>
      <c r="E17" s="168">
        <v>7400</v>
      </c>
      <c r="F17" s="168">
        <v>8100</v>
      </c>
    </row>
    <row r="18" spans="1:6" ht="14.25" customHeight="1">
      <c r="A18" s="53" t="s">
        <v>49</v>
      </c>
      <c r="B18" s="54" t="s">
        <v>76</v>
      </c>
      <c r="C18" s="237">
        <v>6400</v>
      </c>
      <c r="D18" s="168">
        <v>6800</v>
      </c>
      <c r="E18" s="168">
        <v>7400</v>
      </c>
      <c r="F18" s="168">
        <v>8100</v>
      </c>
    </row>
    <row r="19" spans="1:6" ht="14.25" customHeight="1">
      <c r="A19" s="53" t="s">
        <v>7</v>
      </c>
      <c r="B19" s="54" t="s">
        <v>77</v>
      </c>
      <c r="C19" s="237">
        <v>6400</v>
      </c>
      <c r="D19" s="168">
        <v>6800</v>
      </c>
      <c r="E19" s="168">
        <v>7400</v>
      </c>
      <c r="F19" s="168">
        <v>8100</v>
      </c>
    </row>
    <row r="20" spans="1:6" ht="14.25" customHeight="1">
      <c r="A20" s="53" t="s">
        <v>13</v>
      </c>
      <c r="B20" s="54" t="s">
        <v>78</v>
      </c>
      <c r="C20" s="237">
        <v>6400</v>
      </c>
      <c r="D20" s="168">
        <v>6800</v>
      </c>
      <c r="E20" s="168">
        <v>7400</v>
      </c>
      <c r="F20" s="168">
        <v>8100</v>
      </c>
    </row>
    <row r="21" spans="1:6" ht="14.25" customHeight="1">
      <c r="A21" s="53" t="s">
        <v>14</v>
      </c>
      <c r="B21" s="54" t="s">
        <v>79</v>
      </c>
      <c r="C21" s="237">
        <v>6400</v>
      </c>
      <c r="D21" s="168">
        <v>6800</v>
      </c>
      <c r="E21" s="168">
        <v>7400</v>
      </c>
      <c r="F21" s="168">
        <v>8100</v>
      </c>
    </row>
    <row r="22" spans="1:6" ht="14.25" customHeight="1">
      <c r="A22" s="53" t="s">
        <v>261</v>
      </c>
      <c r="B22" s="54" t="s">
        <v>103</v>
      </c>
      <c r="C22" s="237">
        <v>6400</v>
      </c>
      <c r="D22" s="168">
        <v>6800</v>
      </c>
      <c r="E22" s="168">
        <v>7400</v>
      </c>
      <c r="F22" s="168">
        <v>8100</v>
      </c>
    </row>
    <row r="23" spans="1:6" ht="14.25" customHeight="1">
      <c r="A23" s="53" t="s">
        <v>8</v>
      </c>
      <c r="B23" s="104" t="s">
        <v>80</v>
      </c>
      <c r="C23" s="237">
        <v>6400</v>
      </c>
      <c r="D23" s="168">
        <v>6800</v>
      </c>
      <c r="E23" s="168">
        <v>7400</v>
      </c>
      <c r="F23" s="168">
        <v>8100</v>
      </c>
    </row>
    <row r="24" spans="1:6" s="57" customFormat="1" ht="14.25" customHeight="1">
      <c r="A24" s="130" t="s">
        <v>15</v>
      </c>
      <c r="B24" s="131" t="s">
        <v>50</v>
      </c>
      <c r="C24" s="166">
        <v>6450</v>
      </c>
      <c r="D24" s="169">
        <v>6900</v>
      </c>
      <c r="E24" s="169">
        <v>7450</v>
      </c>
      <c r="F24" s="169">
        <v>8200</v>
      </c>
    </row>
    <row r="25" spans="1:6" s="57" customFormat="1" ht="14.25" customHeight="1">
      <c r="A25" s="59" t="s">
        <v>4</v>
      </c>
      <c r="B25" s="56" t="s">
        <v>70</v>
      </c>
      <c r="C25" s="166">
        <v>6450</v>
      </c>
      <c r="D25" s="169">
        <v>6800</v>
      </c>
      <c r="E25" s="169">
        <v>7450</v>
      </c>
      <c r="F25" s="169">
        <v>8100</v>
      </c>
    </row>
    <row r="26" spans="1:6" s="57" customFormat="1" ht="14.25" customHeight="1">
      <c r="A26" s="59" t="s">
        <v>3</v>
      </c>
      <c r="B26" s="56" t="s">
        <v>69</v>
      </c>
      <c r="C26" s="166">
        <v>6450</v>
      </c>
      <c r="D26" s="169">
        <v>6800</v>
      </c>
      <c r="E26" s="169">
        <v>7450</v>
      </c>
      <c r="F26" s="169">
        <v>8100</v>
      </c>
    </row>
    <row r="27" spans="1:6" s="57" customFormat="1" ht="14.25" customHeight="1">
      <c r="A27" s="55" t="s">
        <v>189</v>
      </c>
      <c r="B27" s="58" t="s">
        <v>156</v>
      </c>
      <c r="C27" s="166">
        <v>6400</v>
      </c>
      <c r="D27" s="169">
        <v>7000</v>
      </c>
      <c r="E27" s="169">
        <v>7400</v>
      </c>
      <c r="F27" s="169">
        <v>8300</v>
      </c>
    </row>
    <row r="28" spans="1:6" s="57" customFormat="1" ht="14.25" customHeight="1">
      <c r="A28" s="55" t="s">
        <v>190</v>
      </c>
      <c r="B28" s="58" t="s">
        <v>157</v>
      </c>
      <c r="C28" s="166">
        <v>6400</v>
      </c>
      <c r="D28" s="169">
        <v>7000</v>
      </c>
      <c r="E28" s="169">
        <v>7400</v>
      </c>
      <c r="F28" s="169">
        <v>8300</v>
      </c>
    </row>
    <row r="29" spans="1:6" s="57" customFormat="1">
      <c r="A29" s="55" t="s">
        <v>16</v>
      </c>
      <c r="B29" s="58" t="s">
        <v>51</v>
      </c>
      <c r="C29" s="166">
        <v>6650</v>
      </c>
      <c r="D29" s="169">
        <v>7100</v>
      </c>
      <c r="E29" s="169">
        <v>7650</v>
      </c>
      <c r="F29" s="169">
        <v>8400</v>
      </c>
    </row>
    <row r="30" spans="1:6" s="57" customFormat="1">
      <c r="A30" s="132" t="s">
        <v>241</v>
      </c>
      <c r="B30" s="133" t="s">
        <v>242</v>
      </c>
      <c r="C30" s="237">
        <v>6675</v>
      </c>
      <c r="D30" s="168">
        <v>7150</v>
      </c>
      <c r="E30" s="168">
        <v>7675</v>
      </c>
      <c r="F30" s="168">
        <v>8450</v>
      </c>
    </row>
    <row r="31" spans="1:6" s="57" customFormat="1" ht="14.25" customHeight="1">
      <c r="A31" s="59" t="s">
        <v>134</v>
      </c>
      <c r="B31" s="58" t="s">
        <v>135</v>
      </c>
      <c r="C31" s="166">
        <v>6700</v>
      </c>
      <c r="D31" s="169">
        <v>7250</v>
      </c>
      <c r="E31" s="169">
        <v>7700</v>
      </c>
      <c r="F31" s="169">
        <v>8550</v>
      </c>
    </row>
    <row r="32" spans="1:6" s="60" customFormat="1" ht="14.25" customHeight="1">
      <c r="A32" s="55" t="s">
        <v>191</v>
      </c>
      <c r="B32" s="58" t="s">
        <v>158</v>
      </c>
      <c r="C32" s="166">
        <v>6650</v>
      </c>
      <c r="D32" s="169">
        <v>7100</v>
      </c>
      <c r="E32" s="169">
        <v>7650</v>
      </c>
      <c r="F32" s="169">
        <v>8400</v>
      </c>
    </row>
    <row r="33" spans="1:13" s="60" customFormat="1" ht="14.25" customHeight="1">
      <c r="A33" s="55" t="s">
        <v>192</v>
      </c>
      <c r="B33" s="58" t="s">
        <v>159</v>
      </c>
      <c r="C33" s="166">
        <v>6650</v>
      </c>
      <c r="D33" s="169">
        <v>7100</v>
      </c>
      <c r="E33" s="169">
        <v>7650</v>
      </c>
      <c r="F33" s="169">
        <v>8400</v>
      </c>
    </row>
    <row r="34" spans="1:13" s="60" customFormat="1" ht="14.25" customHeight="1">
      <c r="A34" s="55" t="s">
        <v>193</v>
      </c>
      <c r="B34" s="58" t="s">
        <v>160</v>
      </c>
      <c r="C34" s="166">
        <v>6650</v>
      </c>
      <c r="D34" s="169">
        <v>7100</v>
      </c>
      <c r="E34" s="169">
        <v>7650</v>
      </c>
      <c r="F34" s="169">
        <v>8400</v>
      </c>
    </row>
    <row r="35" spans="1:13" s="60" customFormat="1" ht="14.25" customHeight="1">
      <c r="A35" s="55" t="s">
        <v>194</v>
      </c>
      <c r="B35" s="58" t="s">
        <v>161</v>
      </c>
      <c r="C35" s="166">
        <v>6650</v>
      </c>
      <c r="D35" s="169">
        <v>7100</v>
      </c>
      <c r="E35" s="169">
        <v>7650</v>
      </c>
      <c r="F35" s="169">
        <v>8400</v>
      </c>
      <c r="M35" s="60" t="s">
        <v>291</v>
      </c>
    </row>
    <row r="36" spans="1:13" s="60" customFormat="1" ht="14.25" customHeight="1">
      <c r="A36" s="55" t="s">
        <v>31</v>
      </c>
      <c r="B36" s="58" t="s">
        <v>52</v>
      </c>
      <c r="C36" s="166">
        <v>6650</v>
      </c>
      <c r="D36" s="169">
        <v>7100</v>
      </c>
      <c r="E36" s="169">
        <v>7650</v>
      </c>
      <c r="F36" s="169">
        <v>8400</v>
      </c>
    </row>
    <row r="37" spans="1:13" s="60" customFormat="1" ht="14.25" customHeight="1">
      <c r="A37" s="59" t="s">
        <v>195</v>
      </c>
      <c r="B37" s="58" t="s">
        <v>162</v>
      </c>
      <c r="C37" s="166">
        <v>6800</v>
      </c>
      <c r="D37" s="169">
        <v>7400</v>
      </c>
      <c r="E37" s="169">
        <v>7800</v>
      </c>
      <c r="F37" s="169">
        <v>8700</v>
      </c>
    </row>
    <row r="38" spans="1:13" s="60" customFormat="1" ht="14.25" customHeight="1">
      <c r="A38" s="59" t="s">
        <v>196</v>
      </c>
      <c r="B38" s="58" t="s">
        <v>163</v>
      </c>
      <c r="C38" s="166">
        <v>6800</v>
      </c>
      <c r="D38" s="169">
        <v>7400</v>
      </c>
      <c r="E38" s="169">
        <v>7800</v>
      </c>
      <c r="F38" s="169">
        <v>8700</v>
      </c>
    </row>
    <row r="39" spans="1:13" s="60" customFormat="1" ht="14.25" customHeight="1">
      <c r="A39" s="59" t="s">
        <v>43</v>
      </c>
      <c r="B39" s="58" t="s">
        <v>53</v>
      </c>
      <c r="C39" s="166">
        <v>6650</v>
      </c>
      <c r="D39" s="169">
        <v>7100</v>
      </c>
      <c r="E39" s="169">
        <v>7650</v>
      </c>
      <c r="F39" s="169">
        <v>8400</v>
      </c>
    </row>
    <row r="40" spans="1:13" s="60" customFormat="1" ht="14.25" customHeight="1">
      <c r="A40" s="59" t="s">
        <v>24</v>
      </c>
      <c r="B40" s="58" t="s">
        <v>54</v>
      </c>
      <c r="C40" s="166">
        <v>6650</v>
      </c>
      <c r="D40" s="169">
        <v>7100</v>
      </c>
      <c r="E40" s="169">
        <v>7650</v>
      </c>
      <c r="F40" s="169">
        <v>8400</v>
      </c>
    </row>
    <row r="41" spans="1:13" s="60" customFormat="1" ht="14.25" customHeight="1">
      <c r="A41" s="59" t="s">
        <v>197</v>
      </c>
      <c r="B41" s="58" t="s">
        <v>164</v>
      </c>
      <c r="C41" s="166">
        <v>6700</v>
      </c>
      <c r="D41" s="169">
        <v>7200</v>
      </c>
      <c r="E41" s="169">
        <v>7700</v>
      </c>
      <c r="F41" s="169">
        <v>8500</v>
      </c>
    </row>
    <row r="42" spans="1:13" s="60" customFormat="1" ht="14.25" customHeight="1">
      <c r="A42" s="59" t="s">
        <v>198</v>
      </c>
      <c r="B42" s="58" t="s">
        <v>165</v>
      </c>
      <c r="C42" s="166">
        <v>6700</v>
      </c>
      <c r="D42" s="169">
        <v>7200</v>
      </c>
      <c r="E42" s="169">
        <v>7700</v>
      </c>
      <c r="F42" s="169">
        <v>8500</v>
      </c>
    </row>
    <row r="43" spans="1:13" s="60" customFormat="1" ht="14.25" customHeight="1">
      <c r="A43" s="59" t="s">
        <v>25</v>
      </c>
      <c r="B43" s="58" t="s">
        <v>55</v>
      </c>
      <c r="C43" s="166">
        <v>6650</v>
      </c>
      <c r="D43" s="169">
        <v>7100</v>
      </c>
      <c r="E43" s="169">
        <v>7650</v>
      </c>
      <c r="F43" s="169">
        <v>8400</v>
      </c>
    </row>
    <row r="44" spans="1:13" s="60" customFormat="1" ht="14.25" customHeight="1">
      <c r="A44" s="55" t="s">
        <v>26</v>
      </c>
      <c r="B44" s="58" t="s">
        <v>56</v>
      </c>
      <c r="C44" s="166">
        <v>6700</v>
      </c>
      <c r="D44" s="169">
        <v>7200</v>
      </c>
      <c r="E44" s="169">
        <v>7700</v>
      </c>
      <c r="F44" s="169">
        <v>8500</v>
      </c>
    </row>
    <row r="45" spans="1:13" s="60" customFormat="1" ht="14.25" customHeight="1">
      <c r="A45" s="55" t="s">
        <v>28</v>
      </c>
      <c r="B45" s="58" t="s">
        <v>57</v>
      </c>
      <c r="C45" s="166">
        <v>6700</v>
      </c>
      <c r="D45" s="169">
        <v>7200</v>
      </c>
      <c r="E45" s="169">
        <v>7700</v>
      </c>
      <c r="F45" s="169">
        <v>8500</v>
      </c>
    </row>
    <row r="46" spans="1:13" s="60" customFormat="1" ht="14.25" customHeight="1">
      <c r="A46" s="55" t="s">
        <v>27</v>
      </c>
      <c r="B46" s="58" t="s">
        <v>58</v>
      </c>
      <c r="C46" s="166">
        <v>6700</v>
      </c>
      <c r="D46" s="169">
        <v>7200</v>
      </c>
      <c r="E46" s="169">
        <v>7700</v>
      </c>
      <c r="F46" s="169">
        <v>8500</v>
      </c>
    </row>
    <row r="47" spans="1:13" s="60" customFormat="1" ht="14.25" customHeight="1">
      <c r="A47" s="55" t="s">
        <v>334</v>
      </c>
      <c r="B47" s="58" t="s">
        <v>335</v>
      </c>
      <c r="C47" s="166">
        <v>6700</v>
      </c>
      <c r="D47" s="169">
        <v>7200</v>
      </c>
      <c r="E47" s="169">
        <v>7700</v>
      </c>
      <c r="F47" s="169">
        <v>8500</v>
      </c>
    </row>
    <row r="48" spans="1:13" s="60" customFormat="1" ht="16.5" customHeight="1">
      <c r="A48" s="55" t="s">
        <v>44</v>
      </c>
      <c r="B48" s="58" t="s">
        <v>122</v>
      </c>
      <c r="C48" s="166">
        <v>6800</v>
      </c>
      <c r="D48" s="169">
        <v>7300</v>
      </c>
      <c r="E48" s="169">
        <v>7800</v>
      </c>
      <c r="F48" s="169">
        <v>8600</v>
      </c>
    </row>
    <row r="49" spans="1:9" s="60" customFormat="1" ht="16.5" customHeight="1">
      <c r="A49" s="55" t="s">
        <v>45</v>
      </c>
      <c r="B49" s="58" t="s">
        <v>59</v>
      </c>
      <c r="C49" s="166">
        <v>6880</v>
      </c>
      <c r="D49" s="169">
        <v>7560</v>
      </c>
      <c r="E49" s="169">
        <v>7880</v>
      </c>
      <c r="F49" s="169">
        <v>8860</v>
      </c>
    </row>
    <row r="50" spans="1:9" s="60" customFormat="1" ht="16.5" customHeight="1">
      <c r="A50" s="55" t="s">
        <v>21</v>
      </c>
      <c r="B50" s="58" t="s">
        <v>60</v>
      </c>
      <c r="C50" s="166">
        <v>6650</v>
      </c>
      <c r="D50" s="169">
        <v>7100</v>
      </c>
      <c r="E50" s="169">
        <v>7650</v>
      </c>
      <c r="F50" s="169">
        <v>8400</v>
      </c>
    </row>
    <row r="51" spans="1:9" s="60" customFormat="1" ht="16.5" customHeight="1">
      <c r="A51" s="55" t="s">
        <v>20</v>
      </c>
      <c r="B51" s="58" t="s">
        <v>61</v>
      </c>
      <c r="C51" s="166">
        <v>6650</v>
      </c>
      <c r="D51" s="169">
        <v>7100</v>
      </c>
      <c r="E51" s="169">
        <v>7650</v>
      </c>
      <c r="F51" s="169">
        <v>8400</v>
      </c>
    </row>
    <row r="52" spans="1:9" s="60" customFormat="1" ht="16.5" customHeight="1">
      <c r="A52" s="55" t="s">
        <v>22</v>
      </c>
      <c r="B52" s="58" t="s">
        <v>62</v>
      </c>
      <c r="C52" s="166">
        <v>6700</v>
      </c>
      <c r="D52" s="169">
        <v>7200</v>
      </c>
      <c r="E52" s="169">
        <v>7700</v>
      </c>
      <c r="F52" s="169">
        <v>8500</v>
      </c>
    </row>
    <row r="53" spans="1:9" s="60" customFormat="1" ht="14.25" customHeight="1">
      <c r="A53" s="55" t="s">
        <v>23</v>
      </c>
      <c r="B53" s="58" t="s">
        <v>63</v>
      </c>
      <c r="C53" s="166">
        <v>6750</v>
      </c>
      <c r="D53" s="169">
        <v>7300</v>
      </c>
      <c r="E53" s="169">
        <v>7750</v>
      </c>
      <c r="F53" s="169">
        <v>8600</v>
      </c>
    </row>
    <row r="54" spans="1:9" s="60" customFormat="1" ht="14.25" customHeight="1">
      <c r="A54" s="59" t="s">
        <v>29</v>
      </c>
      <c r="B54" s="58" t="s">
        <v>64</v>
      </c>
      <c r="C54" s="166">
        <v>6700</v>
      </c>
      <c r="D54" s="169">
        <v>7200</v>
      </c>
      <c r="E54" s="169">
        <v>7700</v>
      </c>
      <c r="F54" s="169">
        <v>8500</v>
      </c>
    </row>
    <row r="55" spans="1:9" s="60" customFormat="1" ht="14.25" customHeight="1">
      <c r="A55" s="59" t="s">
        <v>199</v>
      </c>
      <c r="B55" s="58" t="s">
        <v>166</v>
      </c>
      <c r="C55" s="166">
        <v>6750</v>
      </c>
      <c r="D55" s="169">
        <v>7300</v>
      </c>
      <c r="E55" s="169">
        <v>7750</v>
      </c>
      <c r="F55" s="169">
        <v>8600</v>
      </c>
    </row>
    <row r="56" spans="1:9" s="60" customFormat="1" ht="14.25" customHeight="1">
      <c r="A56" s="59" t="s">
        <v>200</v>
      </c>
      <c r="B56" s="58" t="s">
        <v>167</v>
      </c>
      <c r="C56" s="166">
        <v>6750</v>
      </c>
      <c r="D56" s="169">
        <v>7300</v>
      </c>
      <c r="E56" s="169">
        <v>7750</v>
      </c>
      <c r="F56" s="169">
        <v>8600</v>
      </c>
    </row>
    <row r="57" spans="1:9" s="60" customFormat="1" ht="14.25" customHeight="1">
      <c r="A57" s="59" t="s">
        <v>30</v>
      </c>
      <c r="B57" s="58" t="s">
        <v>65</v>
      </c>
      <c r="C57" s="166">
        <v>6900</v>
      </c>
      <c r="D57" s="169">
        <v>7600</v>
      </c>
      <c r="E57" s="169">
        <v>7900</v>
      </c>
      <c r="F57" s="169">
        <v>8900</v>
      </c>
    </row>
    <row r="58" spans="1:9" s="60" customFormat="1" ht="14.25" customHeight="1">
      <c r="A58" s="59" t="s">
        <v>46</v>
      </c>
      <c r="B58" s="58" t="s">
        <v>66</v>
      </c>
      <c r="C58" s="166">
        <v>6700</v>
      </c>
      <c r="D58" s="169">
        <v>7200</v>
      </c>
      <c r="E58" s="169">
        <v>7700</v>
      </c>
      <c r="F58" s="169">
        <v>8500</v>
      </c>
    </row>
    <row r="59" spans="1:9" s="60" customFormat="1" ht="14.25" customHeight="1">
      <c r="A59" s="59" t="s">
        <v>125</v>
      </c>
      <c r="B59" s="58" t="s">
        <v>67</v>
      </c>
      <c r="C59" s="166">
        <v>6750</v>
      </c>
      <c r="D59" s="169">
        <v>7300</v>
      </c>
      <c r="E59" s="169">
        <v>7750</v>
      </c>
      <c r="F59" s="169">
        <v>8600</v>
      </c>
    </row>
    <row r="60" spans="1:9" s="60" customFormat="1" ht="14.25" customHeight="1">
      <c r="A60" s="59" t="s">
        <v>47</v>
      </c>
      <c r="B60" s="58" t="s">
        <v>68</v>
      </c>
      <c r="C60" s="166">
        <v>6750</v>
      </c>
      <c r="D60" s="169">
        <v>7300</v>
      </c>
      <c r="E60" s="169">
        <v>7750</v>
      </c>
      <c r="F60" s="169">
        <v>8600</v>
      </c>
      <c r="I60" s="57"/>
    </row>
    <row r="61" spans="1:9" s="57" customFormat="1">
      <c r="A61" s="59" t="s">
        <v>201</v>
      </c>
      <c r="B61" s="61" t="s">
        <v>168</v>
      </c>
      <c r="C61" s="166">
        <v>6900</v>
      </c>
      <c r="D61" s="169">
        <v>7300</v>
      </c>
      <c r="E61" s="169">
        <v>7900</v>
      </c>
      <c r="F61" s="169">
        <v>8600</v>
      </c>
    </row>
    <row r="62" spans="1:9" s="57" customFormat="1">
      <c r="A62" s="59" t="s">
        <v>225</v>
      </c>
      <c r="B62" s="61" t="s">
        <v>169</v>
      </c>
      <c r="C62" s="166">
        <v>6900</v>
      </c>
      <c r="D62" s="169">
        <v>7300</v>
      </c>
      <c r="E62" s="169">
        <v>7900</v>
      </c>
      <c r="F62" s="169">
        <v>8600</v>
      </c>
    </row>
    <row r="63" spans="1:9" s="57" customFormat="1">
      <c r="A63" s="59" t="s">
        <v>203</v>
      </c>
      <c r="B63" s="61" t="s">
        <v>170</v>
      </c>
      <c r="C63" s="166">
        <v>6900</v>
      </c>
      <c r="D63" s="169">
        <v>7300</v>
      </c>
      <c r="E63" s="169">
        <v>7900</v>
      </c>
      <c r="F63" s="169">
        <v>8600</v>
      </c>
    </row>
    <row r="64" spans="1:9" s="57" customFormat="1">
      <c r="A64" s="59" t="s">
        <v>204</v>
      </c>
      <c r="B64" s="61" t="s">
        <v>171</v>
      </c>
      <c r="C64" s="166">
        <v>6900</v>
      </c>
      <c r="D64" s="169">
        <v>7300</v>
      </c>
      <c r="E64" s="169">
        <v>7900</v>
      </c>
      <c r="F64" s="169">
        <v>8600</v>
      </c>
    </row>
    <row r="65" spans="1:6" s="57" customFormat="1">
      <c r="A65" s="59" t="s">
        <v>205</v>
      </c>
      <c r="B65" s="61" t="s">
        <v>172</v>
      </c>
      <c r="C65" s="166">
        <v>6900</v>
      </c>
      <c r="D65" s="169">
        <v>7300</v>
      </c>
      <c r="E65" s="169">
        <v>7900</v>
      </c>
      <c r="F65" s="169">
        <v>8600</v>
      </c>
    </row>
    <row r="66" spans="1:6" s="57" customFormat="1">
      <c r="A66" s="62" t="s">
        <v>206</v>
      </c>
      <c r="B66" s="63" t="s">
        <v>173</v>
      </c>
      <c r="C66" s="166">
        <v>6900</v>
      </c>
      <c r="D66" s="169">
        <v>7300</v>
      </c>
      <c r="E66" s="169">
        <v>7900</v>
      </c>
      <c r="F66" s="169">
        <v>8600</v>
      </c>
    </row>
    <row r="67" spans="1:6" s="57" customFormat="1">
      <c r="A67" s="62" t="s">
        <v>207</v>
      </c>
      <c r="B67" s="63" t="s">
        <v>174</v>
      </c>
      <c r="C67" s="166">
        <v>6900</v>
      </c>
      <c r="D67" s="169">
        <v>7300</v>
      </c>
      <c r="E67" s="169">
        <v>7900</v>
      </c>
      <c r="F67" s="169">
        <v>8600</v>
      </c>
    </row>
    <row r="68" spans="1:6" s="57" customFormat="1">
      <c r="A68" s="62" t="s">
        <v>208</v>
      </c>
      <c r="B68" s="63" t="s">
        <v>175</v>
      </c>
      <c r="C68" s="166">
        <v>6900</v>
      </c>
      <c r="D68" s="170">
        <v>7300</v>
      </c>
      <c r="E68" s="170">
        <v>7900</v>
      </c>
      <c r="F68" s="170">
        <v>8600</v>
      </c>
    </row>
    <row r="69" spans="1:6" s="57" customFormat="1" ht="15" thickBot="1">
      <c r="A69" s="64" t="s">
        <v>209</v>
      </c>
      <c r="B69" s="65" t="s">
        <v>176</v>
      </c>
      <c r="C69" s="175">
        <v>6900</v>
      </c>
      <c r="D69" s="171">
        <v>7300</v>
      </c>
      <c r="E69" s="172">
        <v>7900</v>
      </c>
      <c r="F69" s="173">
        <v>8600</v>
      </c>
    </row>
    <row r="70" spans="1:6">
      <c r="A70" s="59" t="s">
        <v>228</v>
      </c>
      <c r="B70" s="76" t="s">
        <v>138</v>
      </c>
      <c r="C70" s="166">
        <v>7100</v>
      </c>
      <c r="D70" s="170">
        <v>7500</v>
      </c>
      <c r="E70" s="170">
        <v>8100</v>
      </c>
      <c r="F70" s="170">
        <v>8800</v>
      </c>
    </row>
    <row r="71" spans="1:6" ht="15" thickBot="1">
      <c r="A71" s="64" t="s">
        <v>229</v>
      </c>
      <c r="B71" s="77" t="s">
        <v>139</v>
      </c>
      <c r="C71" s="176">
        <v>7100</v>
      </c>
      <c r="D71" s="172">
        <v>7500</v>
      </c>
      <c r="E71" s="172">
        <v>8100</v>
      </c>
      <c r="F71" s="173">
        <v>8800</v>
      </c>
    </row>
    <row r="72" spans="1:6">
      <c r="A72" s="181"/>
      <c r="B72" s="179"/>
      <c r="C72" s="182"/>
      <c r="D72" s="170"/>
      <c r="E72" s="170"/>
      <c r="F72" s="178"/>
    </row>
    <row r="73" spans="1:6">
      <c r="A73" s="181"/>
      <c r="B73" s="179"/>
      <c r="C73" s="228"/>
      <c r="D73" s="170"/>
      <c r="E73" s="170"/>
      <c r="F73" s="178"/>
    </row>
    <row r="74" spans="1:6" ht="14.5" customHeight="1">
      <c r="A74" s="311" t="s">
        <v>312</v>
      </c>
      <c r="B74" s="311"/>
      <c r="C74" s="312" t="s">
        <v>36</v>
      </c>
      <c r="D74" s="313"/>
      <c r="E74" s="313"/>
      <c r="F74" s="314"/>
    </row>
    <row r="75" spans="1:6" ht="14.5" customHeight="1">
      <c r="A75" s="311"/>
      <c r="B75" s="311"/>
      <c r="C75" s="315" t="s">
        <v>81</v>
      </c>
      <c r="D75" s="316"/>
      <c r="E75" s="316"/>
      <c r="F75" s="317"/>
    </row>
    <row r="76" spans="1:6" ht="14.5" customHeight="1">
      <c r="A76" s="311"/>
      <c r="B76" s="311"/>
      <c r="C76" s="297" t="s">
        <v>240</v>
      </c>
      <c r="D76" s="299"/>
      <c r="E76" s="315" t="s">
        <v>83</v>
      </c>
      <c r="F76" s="317"/>
    </row>
    <row r="77" spans="1:6" ht="39" customHeight="1">
      <c r="A77" s="311"/>
      <c r="B77" s="311"/>
      <c r="C77" s="318" t="s">
        <v>337</v>
      </c>
      <c r="D77" s="319"/>
      <c r="E77" s="318" t="s">
        <v>34</v>
      </c>
      <c r="F77" s="319"/>
    </row>
    <row r="78" spans="1:6">
      <c r="A78" s="194" t="s">
        <v>37</v>
      </c>
      <c r="B78" s="195" t="s">
        <v>35</v>
      </c>
      <c r="C78" s="196" t="s">
        <v>230</v>
      </c>
      <c r="D78" s="196" t="s">
        <v>231</v>
      </c>
      <c r="E78" s="196" t="s">
        <v>230</v>
      </c>
      <c r="F78" s="196" t="s">
        <v>231</v>
      </c>
    </row>
    <row r="79" spans="1:6" ht="14.15" customHeight="1">
      <c r="A79" s="66" t="s">
        <v>210</v>
      </c>
      <c r="B79" s="67" t="s">
        <v>177</v>
      </c>
      <c r="C79" s="174">
        <v>7800</v>
      </c>
      <c r="D79" s="169">
        <v>8200</v>
      </c>
      <c r="E79" s="169">
        <v>8800</v>
      </c>
      <c r="F79" s="169">
        <v>9500</v>
      </c>
    </row>
    <row r="80" spans="1:6" ht="14.25" customHeight="1">
      <c r="A80" s="66" t="s">
        <v>211</v>
      </c>
      <c r="B80" s="67" t="s">
        <v>178</v>
      </c>
      <c r="C80" s="166">
        <v>7800</v>
      </c>
      <c r="D80" s="169">
        <v>8200</v>
      </c>
      <c r="E80" s="169">
        <v>8800</v>
      </c>
      <c r="F80" s="169">
        <v>9500</v>
      </c>
    </row>
    <row r="81" spans="1:6" ht="14.25" customHeight="1">
      <c r="A81" s="66" t="s">
        <v>212</v>
      </c>
      <c r="B81" s="67" t="s">
        <v>179</v>
      </c>
      <c r="C81" s="166">
        <v>7800</v>
      </c>
      <c r="D81" s="169">
        <v>8200</v>
      </c>
      <c r="E81" s="169">
        <v>8800</v>
      </c>
      <c r="F81" s="169">
        <v>9500</v>
      </c>
    </row>
    <row r="82" spans="1:6" ht="14.25" customHeight="1">
      <c r="A82" s="59" t="s">
        <v>213</v>
      </c>
      <c r="B82" s="68" t="s">
        <v>180</v>
      </c>
      <c r="C82" s="166">
        <v>7800</v>
      </c>
      <c r="D82" s="169">
        <v>8200</v>
      </c>
      <c r="E82" s="169">
        <v>8800</v>
      </c>
      <c r="F82" s="169">
        <v>9500</v>
      </c>
    </row>
    <row r="83" spans="1:6" ht="14.25" customHeight="1">
      <c r="A83" s="59" t="s">
        <v>214</v>
      </c>
      <c r="B83" s="69" t="s">
        <v>181</v>
      </c>
      <c r="C83" s="166">
        <v>7800</v>
      </c>
      <c r="D83" s="169">
        <v>8200</v>
      </c>
      <c r="E83" s="169">
        <v>8800</v>
      </c>
      <c r="F83" s="169">
        <v>9500</v>
      </c>
    </row>
    <row r="84" spans="1:6" ht="14.25" customHeight="1">
      <c r="A84" s="59" t="s">
        <v>215</v>
      </c>
      <c r="B84" s="69" t="s">
        <v>182</v>
      </c>
      <c r="C84" s="166">
        <v>7800</v>
      </c>
      <c r="D84" s="169">
        <v>8200</v>
      </c>
      <c r="E84" s="169">
        <v>8800</v>
      </c>
      <c r="F84" s="169">
        <v>9500</v>
      </c>
    </row>
    <row r="85" spans="1:6">
      <c r="A85" s="55" t="s">
        <v>216</v>
      </c>
      <c r="B85" s="70" t="s">
        <v>183</v>
      </c>
      <c r="C85" s="166">
        <v>7900</v>
      </c>
      <c r="D85" s="169">
        <v>8300</v>
      </c>
      <c r="E85" s="169">
        <v>8900</v>
      </c>
      <c r="F85" s="169">
        <v>9600</v>
      </c>
    </row>
    <row r="86" spans="1:6">
      <c r="A86" s="55" t="s">
        <v>217</v>
      </c>
      <c r="B86" s="70" t="s">
        <v>184</v>
      </c>
      <c r="C86" s="166">
        <v>7900</v>
      </c>
      <c r="D86" s="169">
        <v>8300</v>
      </c>
      <c r="E86" s="169">
        <v>8900</v>
      </c>
      <c r="F86" s="169">
        <v>9600</v>
      </c>
    </row>
    <row r="87" spans="1:6">
      <c r="A87" s="71" t="s">
        <v>218</v>
      </c>
      <c r="B87" s="72" t="s">
        <v>185</v>
      </c>
      <c r="C87" s="166">
        <v>8000</v>
      </c>
      <c r="D87" s="169">
        <v>8400</v>
      </c>
      <c r="E87" s="169">
        <v>9000</v>
      </c>
      <c r="F87" s="169">
        <v>9700</v>
      </c>
    </row>
    <row r="88" spans="1:6">
      <c r="A88" s="71" t="s">
        <v>219</v>
      </c>
      <c r="B88" s="72" t="s">
        <v>186</v>
      </c>
      <c r="C88" s="166">
        <v>8200</v>
      </c>
      <c r="D88" s="169">
        <v>8600</v>
      </c>
      <c r="E88" s="169">
        <v>9200</v>
      </c>
      <c r="F88" s="169">
        <v>9900</v>
      </c>
    </row>
    <row r="89" spans="1:6">
      <c r="A89" s="59" t="s">
        <v>32</v>
      </c>
      <c r="B89" s="73" t="s">
        <v>100</v>
      </c>
      <c r="C89" s="166">
        <v>7800</v>
      </c>
      <c r="D89" s="169">
        <v>8200</v>
      </c>
      <c r="E89" s="169">
        <v>8800</v>
      </c>
      <c r="F89" s="169">
        <v>9500</v>
      </c>
    </row>
    <row r="90" spans="1:6">
      <c r="A90" s="59" t="s">
        <v>226</v>
      </c>
      <c r="B90" s="74" t="s">
        <v>101</v>
      </c>
      <c r="C90" s="166">
        <v>7800</v>
      </c>
      <c r="D90" s="169">
        <v>8200</v>
      </c>
      <c r="E90" s="169">
        <v>8800</v>
      </c>
      <c r="F90" s="169">
        <v>9500</v>
      </c>
    </row>
    <row r="91" spans="1:6">
      <c r="A91" s="75" t="s">
        <v>227</v>
      </c>
      <c r="B91" s="76" t="s">
        <v>99</v>
      </c>
      <c r="C91" s="166">
        <v>7900</v>
      </c>
      <c r="D91" s="169">
        <v>8300</v>
      </c>
      <c r="E91" s="169">
        <v>8900</v>
      </c>
      <c r="F91" s="169">
        <v>9600</v>
      </c>
    </row>
    <row r="92" spans="1:6">
      <c r="B92" s="179"/>
      <c r="C92" s="180"/>
      <c r="D92" s="180"/>
      <c r="E92" s="180"/>
      <c r="F92" s="180"/>
    </row>
    <row r="93" spans="1:6">
      <c r="A93" s="78" t="s">
        <v>129</v>
      </c>
    </row>
    <row r="94" spans="1:6" ht="21">
      <c r="A94" s="2" t="s">
        <v>341</v>
      </c>
      <c r="B94" s="5"/>
    </row>
    <row r="95" spans="1:6" ht="66.650000000000006" hidden="1" customHeight="1">
      <c r="A95" s="249" t="s">
        <v>137</v>
      </c>
      <c r="B95" s="249"/>
    </row>
    <row r="96" spans="1:6">
      <c r="A96" s="83" t="s">
        <v>342</v>
      </c>
      <c r="B96" s="107"/>
    </row>
    <row r="97" spans="1:2">
      <c r="A97" s="83" t="s">
        <v>343</v>
      </c>
      <c r="B97" s="107"/>
    </row>
    <row r="98" spans="1:2">
      <c r="A98" s="83" t="s">
        <v>344</v>
      </c>
      <c r="B98" s="107"/>
    </row>
    <row r="99" spans="1:2" ht="15.5">
      <c r="A99" s="161"/>
    </row>
    <row r="100" spans="1:2" ht="15.5">
      <c r="A100" s="161" t="str">
        <f>'R5 NOR'!A34</f>
        <v/>
      </c>
    </row>
    <row r="101" spans="1:2" ht="15.5">
      <c r="A101" s="161" t="str">
        <f>'R5 NOR'!A35</f>
        <v>ONE Bunker Surcharge (OBS): fixed as USD 320 per TEU (Dry) &amp; USD 511 per TEU (RF) during Jul-Sep'26</v>
      </c>
      <c r="B101" s="48"/>
    </row>
    <row r="102" spans="1:2" ht="14" customHeight="1">
      <c r="A102" s="161"/>
      <c r="B102" s="48"/>
    </row>
    <row r="103" spans="1:2">
      <c r="A103" s="83"/>
    </row>
    <row r="104" spans="1:2">
      <c r="A104" s="102" t="s">
        <v>322</v>
      </c>
    </row>
    <row r="105" spans="1:2">
      <c r="A105" s="102" t="s">
        <v>260</v>
      </c>
    </row>
    <row r="106" spans="1:2">
      <c r="A106" s="103" t="s">
        <v>280</v>
      </c>
    </row>
    <row r="107" spans="1:2">
      <c r="A107" s="29" t="s">
        <v>145</v>
      </c>
    </row>
    <row r="108" spans="1:2">
      <c r="A108" s="29"/>
    </row>
    <row r="109" spans="1:2">
      <c r="A109" s="79" t="s">
        <v>232</v>
      </c>
    </row>
    <row r="110" spans="1:2">
      <c r="A110" s="79" t="s">
        <v>233</v>
      </c>
    </row>
    <row r="111" spans="1:2" ht="15.5">
      <c r="A111" s="80" t="s">
        <v>234</v>
      </c>
    </row>
    <row r="112" spans="1:2">
      <c r="A112" s="79" t="s">
        <v>235</v>
      </c>
    </row>
    <row r="113" spans="1:2">
      <c r="A113" s="79" t="s">
        <v>236</v>
      </c>
    </row>
    <row r="114" spans="1:2">
      <c r="A114" s="79" t="s">
        <v>237</v>
      </c>
    </row>
    <row r="115" spans="1:2">
      <c r="A115" s="79" t="s">
        <v>238</v>
      </c>
    </row>
    <row r="116" spans="1:2">
      <c r="A116" s="81" t="s">
        <v>239</v>
      </c>
    </row>
    <row r="118" spans="1:2">
      <c r="A118" s="250" t="s">
        <v>153</v>
      </c>
      <c r="B118" s="250" t="s">
        <v>293</v>
      </c>
    </row>
    <row r="119" spans="1:2">
      <c r="A119" s="250"/>
      <c r="B119" s="250"/>
    </row>
    <row r="120" spans="1:2">
      <c r="A120" s="21" t="s">
        <v>33</v>
      </c>
      <c r="B120" s="35">
        <v>12</v>
      </c>
    </row>
    <row r="121" spans="1:2">
      <c r="A121" s="26" t="s">
        <v>146</v>
      </c>
      <c r="B121" s="35">
        <v>12</v>
      </c>
    </row>
    <row r="122" spans="1:2">
      <c r="A122" s="21" t="s">
        <v>147</v>
      </c>
      <c r="B122" s="35">
        <v>12</v>
      </c>
    </row>
    <row r="123" spans="1:2">
      <c r="A123" s="21" t="s">
        <v>148</v>
      </c>
      <c r="B123" s="35">
        <v>12</v>
      </c>
    </row>
    <row r="124" spans="1:2">
      <c r="A124" s="21" t="s">
        <v>149</v>
      </c>
      <c r="B124" s="35">
        <v>12</v>
      </c>
    </row>
    <row r="125" spans="1:2">
      <c r="A125" s="21" t="s">
        <v>150</v>
      </c>
      <c r="B125" s="35">
        <v>12</v>
      </c>
    </row>
    <row r="126" spans="1:2">
      <c r="A126" s="21" t="s">
        <v>132</v>
      </c>
      <c r="B126" s="35">
        <v>12</v>
      </c>
    </row>
    <row r="127" spans="1:2">
      <c r="A127" s="21" t="s">
        <v>152</v>
      </c>
      <c r="B127" s="35">
        <v>12</v>
      </c>
    </row>
    <row r="128" spans="1:2">
      <c r="A128" s="27" t="s">
        <v>83</v>
      </c>
      <c r="B128" s="35">
        <v>12</v>
      </c>
    </row>
  </sheetData>
  <autoFilter ref="A11:G101" xr:uid="{A695E423-E601-44BD-B159-B7E6387D4FB8}"/>
  <mergeCells count="20">
    <mergeCell ref="C2:D2"/>
    <mergeCell ref="F2:G2"/>
    <mergeCell ref="A7:B10"/>
    <mergeCell ref="A74:B77"/>
    <mergeCell ref="C74:F74"/>
    <mergeCell ref="C75:F75"/>
    <mergeCell ref="C76:D76"/>
    <mergeCell ref="E76:F76"/>
    <mergeCell ref="C77:D77"/>
    <mergeCell ref="E77:F77"/>
    <mergeCell ref="E9:F9"/>
    <mergeCell ref="E10:F10"/>
    <mergeCell ref="A118:A119"/>
    <mergeCell ref="B118:B119"/>
    <mergeCell ref="A95:B95"/>
    <mergeCell ref="A4:B4"/>
    <mergeCell ref="C9:D9"/>
    <mergeCell ref="C10:D10"/>
    <mergeCell ref="C7:F7"/>
    <mergeCell ref="C8:F8"/>
  </mergeCells>
  <phoneticPr fontId="8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C4D4-5606-4E3A-9A94-60202D050AE6}">
  <sheetPr>
    <tabColor rgb="FFFF3399"/>
  </sheetPr>
  <dimension ref="A1:J85"/>
  <sheetViews>
    <sheetView zoomScale="70" zoomScaleNormal="70" workbookViewId="0">
      <selection activeCell="G20" sqref="G20:I80"/>
    </sheetView>
  </sheetViews>
  <sheetFormatPr defaultColWidth="8.81640625" defaultRowHeight="14"/>
  <cols>
    <col min="1" max="2" width="15.1796875" style="129" customWidth="1"/>
    <col min="3" max="3" width="25.54296875" style="129" customWidth="1"/>
    <col min="4" max="4" width="12.453125" style="129" customWidth="1"/>
    <col min="5" max="5" width="43.54296875" style="129" customWidth="1"/>
    <col min="6" max="8" width="15.1796875" style="129" customWidth="1"/>
    <col min="9" max="9" width="16.453125" style="129" customWidth="1"/>
    <col min="10" max="16384" width="8.81640625" style="129"/>
  </cols>
  <sheetData>
    <row r="1" spans="1:10" ht="14.5">
      <c r="A1" s="134"/>
      <c r="B1" s="147"/>
      <c r="C1" s="148" t="s">
        <v>282</v>
      </c>
      <c r="D1" s="148"/>
      <c r="E1" s="148"/>
      <c r="F1" s="148"/>
      <c r="G1" s="241" t="s">
        <v>346</v>
      </c>
      <c r="H1" s="149"/>
      <c r="I1" s="149"/>
      <c r="J1" s="149"/>
    </row>
    <row r="2" spans="1:10">
      <c r="A2" s="218" t="s">
        <v>283</v>
      </c>
      <c r="B2" s="218" t="s">
        <v>284</v>
      </c>
      <c r="C2" s="218" t="s">
        <v>285</v>
      </c>
      <c r="D2" s="218" t="s">
        <v>287</v>
      </c>
      <c r="E2" s="218" t="s">
        <v>286</v>
      </c>
      <c r="F2" s="218" t="s">
        <v>292</v>
      </c>
      <c r="G2" s="219" t="s">
        <v>314</v>
      </c>
      <c r="H2" s="218"/>
      <c r="I2" s="218"/>
      <c r="J2" s="242"/>
    </row>
    <row r="3" spans="1:10">
      <c r="A3" s="218"/>
      <c r="B3" s="218"/>
      <c r="C3" s="218"/>
      <c r="D3" s="218"/>
      <c r="E3" s="218"/>
      <c r="F3" s="218"/>
      <c r="G3" s="220" t="s">
        <v>220</v>
      </c>
      <c r="H3" s="220" t="s">
        <v>221</v>
      </c>
      <c r="I3" s="220" t="s">
        <v>222</v>
      </c>
      <c r="J3" s="243"/>
    </row>
    <row r="4" spans="1:10">
      <c r="A4" s="213" t="s">
        <v>251</v>
      </c>
      <c r="B4" s="213" t="s">
        <v>252</v>
      </c>
      <c r="C4" s="213" t="s">
        <v>347</v>
      </c>
      <c r="D4" s="213" t="s">
        <v>348</v>
      </c>
      <c r="E4" s="213" t="s">
        <v>9</v>
      </c>
      <c r="F4" s="214" t="str">
        <f>VLOOKUP(E4,[1]Lookup!F:G,2,0)</f>
        <v>CNSHA</v>
      </c>
      <c r="G4" s="215">
        <v>145</v>
      </c>
      <c r="H4" s="215">
        <v>270</v>
      </c>
      <c r="I4" s="215">
        <v>270</v>
      </c>
      <c r="J4" s="244"/>
    </row>
    <row r="5" spans="1:10">
      <c r="A5" s="213" t="s">
        <v>251</v>
      </c>
      <c r="B5" s="213" t="s">
        <v>253</v>
      </c>
      <c r="C5" s="213" t="s">
        <v>349</v>
      </c>
      <c r="D5" s="213" t="s">
        <v>350</v>
      </c>
      <c r="E5" s="213" t="s">
        <v>351</v>
      </c>
      <c r="F5" s="214" t="str">
        <f>VLOOKUP(E5,[1]Lookup!F:G,2,0)</f>
        <v>CNSHA</v>
      </c>
      <c r="G5" s="215">
        <v>175</v>
      </c>
      <c r="H5" s="215">
        <v>535</v>
      </c>
      <c r="I5" s="215">
        <v>535</v>
      </c>
      <c r="J5" s="244"/>
    </row>
    <row r="6" spans="1:10">
      <c r="A6" s="213" t="s">
        <v>352</v>
      </c>
      <c r="B6" s="213" t="s">
        <v>253</v>
      </c>
      <c r="C6" s="213" t="s">
        <v>353</v>
      </c>
      <c r="D6" s="213" t="s">
        <v>354</v>
      </c>
      <c r="E6" s="213" t="s">
        <v>9</v>
      </c>
      <c r="F6" s="213" t="str">
        <f>VLOOKUP(E6,[1]Lookup!F:G,2,0)</f>
        <v>CNSHA</v>
      </c>
      <c r="G6" s="215">
        <v>320</v>
      </c>
      <c r="H6" s="215">
        <v>345</v>
      </c>
      <c r="I6" s="215">
        <v>345</v>
      </c>
      <c r="J6" s="244"/>
    </row>
    <row r="7" spans="1:10" ht="14.5">
      <c r="A7" s="213" t="s">
        <v>250</v>
      </c>
      <c r="B7" s="213" t="s">
        <v>355</v>
      </c>
      <c r="C7" s="213" t="s">
        <v>356</v>
      </c>
      <c r="D7" s="213" t="s">
        <v>357</v>
      </c>
      <c r="E7" s="213" t="s">
        <v>358</v>
      </c>
      <c r="F7" s="214" t="str">
        <f>VLOOKUP(E7,[1]Lookup!F:G,2,0)</f>
        <v>CNDLC</v>
      </c>
      <c r="G7" s="215">
        <v>395</v>
      </c>
      <c r="H7" s="215">
        <v>520</v>
      </c>
      <c r="I7" s="215">
        <v>520</v>
      </c>
      <c r="J7" s="147"/>
    </row>
    <row r="8" spans="1:10">
      <c r="A8" s="213" t="s">
        <v>251</v>
      </c>
      <c r="B8" s="213" t="s">
        <v>359</v>
      </c>
      <c r="C8" s="213" t="s">
        <v>360</v>
      </c>
      <c r="D8" s="213" t="s">
        <v>361</v>
      </c>
      <c r="E8" s="213" t="s">
        <v>9</v>
      </c>
      <c r="F8" s="214" t="str">
        <f>VLOOKUP(E8,[1]Lookup!F:G,2,0)</f>
        <v>CNSHA</v>
      </c>
      <c r="G8" s="215">
        <v>335</v>
      </c>
      <c r="H8" s="215">
        <v>615</v>
      </c>
      <c r="I8" s="215">
        <v>615</v>
      </c>
      <c r="J8" s="244"/>
    </row>
    <row r="9" spans="1:10">
      <c r="A9" s="213" t="s">
        <v>251</v>
      </c>
      <c r="B9" s="213" t="s">
        <v>245</v>
      </c>
      <c r="C9" s="213" t="s">
        <v>362</v>
      </c>
      <c r="D9" s="213" t="s">
        <v>363</v>
      </c>
      <c r="E9" s="213" t="s">
        <v>351</v>
      </c>
      <c r="F9" s="214" t="str">
        <f>VLOOKUP(E9,[1]Lookup!F:G,2,0)</f>
        <v>CNSHA</v>
      </c>
      <c r="G9" s="215">
        <v>60</v>
      </c>
      <c r="H9" s="215">
        <v>245</v>
      </c>
      <c r="I9" s="215">
        <v>245</v>
      </c>
      <c r="J9" s="244"/>
    </row>
    <row r="10" spans="1:10">
      <c r="A10" s="213" t="s">
        <v>251</v>
      </c>
      <c r="B10" s="213" t="s">
        <v>245</v>
      </c>
      <c r="C10" s="213" t="s">
        <v>364</v>
      </c>
      <c r="D10" s="213" t="s">
        <v>365</v>
      </c>
      <c r="E10" s="213" t="s">
        <v>9</v>
      </c>
      <c r="F10" s="214" t="str">
        <f>VLOOKUP(E10,[1]Lookup!F:G,2,0)</f>
        <v>CNSHA</v>
      </c>
      <c r="G10" s="215">
        <v>215</v>
      </c>
      <c r="H10" s="215">
        <v>375</v>
      </c>
      <c r="I10" s="215">
        <v>375</v>
      </c>
      <c r="J10" s="244"/>
    </row>
    <row r="11" spans="1:10">
      <c r="A11" s="213" t="s">
        <v>352</v>
      </c>
      <c r="B11" s="213" t="s">
        <v>366</v>
      </c>
      <c r="C11" s="213" t="s">
        <v>367</v>
      </c>
      <c r="D11" s="213" t="s">
        <v>365</v>
      </c>
      <c r="E11" s="213" t="s">
        <v>351</v>
      </c>
      <c r="F11" s="214" t="str">
        <f>VLOOKUP(E11,[1]Lookup!F:G,2,0)</f>
        <v>CNSHA</v>
      </c>
      <c r="G11" s="215">
        <v>195</v>
      </c>
      <c r="H11" s="215">
        <v>210</v>
      </c>
      <c r="I11" s="215">
        <v>210</v>
      </c>
      <c r="J11" s="244"/>
    </row>
    <row r="12" spans="1:10">
      <c r="A12" s="232" t="s">
        <v>251</v>
      </c>
      <c r="B12" s="233" t="s">
        <v>252</v>
      </c>
      <c r="C12" s="234" t="s">
        <v>368</v>
      </c>
      <c r="D12" s="233" t="s">
        <v>369</v>
      </c>
      <c r="E12" s="235" t="s">
        <v>10</v>
      </c>
      <c r="F12" s="214" t="str">
        <f>VLOOKUP(E12,[1]Lookup!F:G,2,0)</f>
        <v>CNNGB</v>
      </c>
      <c r="G12" s="215">
        <v>100</v>
      </c>
      <c r="H12" s="215">
        <v>115</v>
      </c>
      <c r="I12" s="215">
        <v>115</v>
      </c>
      <c r="J12" s="244"/>
    </row>
    <row r="13" spans="1:10">
      <c r="A13" s="213" t="s">
        <v>352</v>
      </c>
      <c r="B13" s="213" t="s">
        <v>370</v>
      </c>
      <c r="C13" s="213" t="s">
        <v>371</v>
      </c>
      <c r="D13" s="213" t="s">
        <v>372</v>
      </c>
      <c r="E13" s="213" t="s">
        <v>9</v>
      </c>
      <c r="F13" s="214" t="str">
        <f>VLOOKUP(E13,[1]Lookup!F:G,2,0)</f>
        <v>CNSHA</v>
      </c>
      <c r="G13" s="215">
        <v>1210</v>
      </c>
      <c r="H13" s="215">
        <v>1695</v>
      </c>
      <c r="I13" s="215">
        <v>1695</v>
      </c>
      <c r="J13" s="244"/>
    </row>
    <row r="14" spans="1:10">
      <c r="A14" s="213" t="s">
        <v>250</v>
      </c>
      <c r="B14" s="213" t="s">
        <v>373</v>
      </c>
      <c r="C14" s="213" t="s">
        <v>373</v>
      </c>
      <c r="D14" s="213" t="s">
        <v>372</v>
      </c>
      <c r="E14" s="216" t="s">
        <v>374</v>
      </c>
      <c r="F14" s="214" t="str">
        <f>VLOOKUP(E14,[1]Lookup!F:G,2,0)</f>
        <v>CNYTN</v>
      </c>
      <c r="G14" s="215" t="s">
        <v>332</v>
      </c>
      <c r="H14" s="215">
        <v>1050</v>
      </c>
      <c r="I14" s="215">
        <v>1050</v>
      </c>
      <c r="J14" s="243"/>
    </row>
    <row r="15" spans="1:10" ht="14.5">
      <c r="A15" s="213" t="s">
        <v>251</v>
      </c>
      <c r="B15" s="213" t="s">
        <v>375</v>
      </c>
      <c r="C15" s="213" t="s">
        <v>376</v>
      </c>
      <c r="D15" s="213" t="s">
        <v>377</v>
      </c>
      <c r="E15" s="213" t="s">
        <v>9</v>
      </c>
      <c r="F15" s="214" t="str">
        <f>VLOOKUP(E15,[1]Lookup!F:G,2,0)</f>
        <v>CNSHA</v>
      </c>
      <c r="G15" s="215">
        <v>210</v>
      </c>
      <c r="H15" s="215">
        <v>975</v>
      </c>
      <c r="I15" s="215">
        <v>975</v>
      </c>
      <c r="J15" s="212" t="s">
        <v>307</v>
      </c>
    </row>
    <row r="16" spans="1:10" ht="14.5">
      <c r="A16" s="213" t="s">
        <v>250</v>
      </c>
      <c r="B16" s="213" t="s">
        <v>257</v>
      </c>
      <c r="C16" s="213" t="s">
        <v>257</v>
      </c>
      <c r="D16" s="213" t="s">
        <v>377</v>
      </c>
      <c r="E16" s="213" t="s">
        <v>10</v>
      </c>
      <c r="F16" s="214" t="str">
        <f>VLOOKUP(E16,[1]Lookup!F:G,2,0)</f>
        <v>CNNGB</v>
      </c>
      <c r="G16" s="215">
        <v>870</v>
      </c>
      <c r="H16" s="215">
        <v>1025</v>
      </c>
      <c r="I16" s="215">
        <v>1025</v>
      </c>
      <c r="J16" s="212" t="s">
        <v>307</v>
      </c>
    </row>
    <row r="17" spans="1:10" ht="14.5">
      <c r="A17" s="213" t="s">
        <v>250</v>
      </c>
      <c r="B17" s="213" t="s">
        <v>257</v>
      </c>
      <c r="C17" s="213" t="s">
        <v>257</v>
      </c>
      <c r="D17" s="213" t="s">
        <v>377</v>
      </c>
      <c r="E17" s="213" t="s">
        <v>294</v>
      </c>
      <c r="F17" s="214" t="str">
        <f>VLOOKUP(E17,[1]Lookup!F:G,2,0)</f>
        <v>CNYTN</v>
      </c>
      <c r="G17" s="215">
        <v>865</v>
      </c>
      <c r="H17" s="215">
        <v>910</v>
      </c>
      <c r="I17" s="215">
        <v>910</v>
      </c>
      <c r="J17" s="212" t="s">
        <v>307</v>
      </c>
    </row>
    <row r="18" spans="1:10" ht="45" customHeight="1">
      <c r="A18" s="213" t="s">
        <v>250</v>
      </c>
      <c r="B18" s="213" t="s">
        <v>257</v>
      </c>
      <c r="C18" s="213" t="s">
        <v>257</v>
      </c>
      <c r="D18" s="213" t="s">
        <v>377</v>
      </c>
      <c r="E18" s="216" t="s">
        <v>338</v>
      </c>
      <c r="F18" s="214" t="str">
        <f>VLOOKUP(LEFT(E18,7),[1]Lookup!F:G,2,0)</f>
        <v>CNQZH</v>
      </c>
      <c r="G18" s="215">
        <v>400</v>
      </c>
      <c r="H18" s="215">
        <v>495</v>
      </c>
      <c r="I18" s="215">
        <v>495</v>
      </c>
      <c r="J18" s="212" t="s">
        <v>307</v>
      </c>
    </row>
    <row r="19" spans="1:10" ht="44" customHeight="1">
      <c r="A19" s="213" t="s">
        <v>250</v>
      </c>
      <c r="B19" s="213" t="s">
        <v>257</v>
      </c>
      <c r="C19" s="213" t="s">
        <v>257</v>
      </c>
      <c r="D19" s="213" t="s">
        <v>377</v>
      </c>
      <c r="E19" s="216" t="s">
        <v>339</v>
      </c>
      <c r="F19" s="214" t="str">
        <f>VLOOKUP(LEFT(E19,7),[1]Lookup!F:G,2,0)</f>
        <v>CNQZH</v>
      </c>
      <c r="G19" s="321" t="s">
        <v>340</v>
      </c>
      <c r="H19" s="322"/>
      <c r="I19" s="323"/>
      <c r="J19" s="212" t="s">
        <v>307</v>
      </c>
    </row>
    <row r="20" spans="1:10">
      <c r="A20" s="213" t="s">
        <v>352</v>
      </c>
      <c r="B20" s="213" t="s">
        <v>253</v>
      </c>
      <c r="C20" s="213" t="s">
        <v>378</v>
      </c>
      <c r="D20" s="213" t="s">
        <v>379</v>
      </c>
      <c r="E20" s="213" t="s">
        <v>9</v>
      </c>
      <c r="F20" s="213" t="str">
        <f>VLOOKUP(E20,[1]Lookup!F:G,2,0)</f>
        <v>CNSHA</v>
      </c>
      <c r="G20" s="215">
        <v>320</v>
      </c>
      <c r="H20" s="215">
        <v>320</v>
      </c>
      <c r="I20" s="215">
        <v>320</v>
      </c>
      <c r="J20" s="244"/>
    </row>
    <row r="21" spans="1:10">
      <c r="A21" s="213" t="s">
        <v>251</v>
      </c>
      <c r="B21" s="213" t="s">
        <v>366</v>
      </c>
      <c r="C21" s="213" t="s">
        <v>380</v>
      </c>
      <c r="D21" s="213" t="s">
        <v>381</v>
      </c>
      <c r="E21" s="213" t="s">
        <v>351</v>
      </c>
      <c r="F21" s="214" t="str">
        <f>VLOOKUP(E21,[1]Lookup!F:G,2,0)</f>
        <v>CNSHA</v>
      </c>
      <c r="G21" s="215">
        <v>260</v>
      </c>
      <c r="H21" s="215">
        <v>420</v>
      </c>
      <c r="I21" s="215">
        <v>420</v>
      </c>
      <c r="J21" s="244"/>
    </row>
    <row r="22" spans="1:10">
      <c r="A22" s="213" t="s">
        <v>250</v>
      </c>
      <c r="B22" s="213" t="s">
        <v>245</v>
      </c>
      <c r="C22" s="213" t="s">
        <v>323</v>
      </c>
      <c r="D22" s="213" t="s">
        <v>324</v>
      </c>
      <c r="E22" s="213" t="s">
        <v>9</v>
      </c>
      <c r="F22" s="214" t="str">
        <f>VLOOKUP(E22,[1]Lookup!F:G,2,0)</f>
        <v>CNSHA</v>
      </c>
      <c r="G22" s="215">
        <v>225</v>
      </c>
      <c r="H22" s="215">
        <v>255</v>
      </c>
      <c r="I22" s="215">
        <v>260</v>
      </c>
      <c r="J22" s="244"/>
    </row>
    <row r="23" spans="1:10">
      <c r="A23" s="213" t="s">
        <v>251</v>
      </c>
      <c r="B23" s="213" t="s">
        <v>253</v>
      </c>
      <c r="C23" s="213" t="s">
        <v>382</v>
      </c>
      <c r="D23" s="213" t="s">
        <v>383</v>
      </c>
      <c r="E23" s="213" t="s">
        <v>9</v>
      </c>
      <c r="F23" s="214" t="str">
        <f>VLOOKUP(E23,[1]Lookup!F:G,2,0)</f>
        <v>CNSHA</v>
      </c>
      <c r="G23" s="215">
        <v>105</v>
      </c>
      <c r="H23" s="215">
        <v>500</v>
      </c>
      <c r="I23" s="215">
        <v>460</v>
      </c>
      <c r="J23" s="244"/>
    </row>
    <row r="24" spans="1:10">
      <c r="A24" s="213" t="s">
        <v>352</v>
      </c>
      <c r="B24" s="213" t="s">
        <v>253</v>
      </c>
      <c r="C24" s="213" t="s">
        <v>254</v>
      </c>
      <c r="D24" s="213" t="s">
        <v>383</v>
      </c>
      <c r="E24" s="213" t="s">
        <v>9</v>
      </c>
      <c r="F24" s="214" t="str">
        <f>VLOOKUP(E24,[1]Lookup!F:G,2,0)</f>
        <v>CNSHA</v>
      </c>
      <c r="G24" s="215">
        <v>335</v>
      </c>
      <c r="H24" s="215">
        <v>345</v>
      </c>
      <c r="I24" s="215">
        <v>345</v>
      </c>
      <c r="J24" s="244"/>
    </row>
    <row r="25" spans="1:10">
      <c r="A25" s="213" t="s">
        <v>251</v>
      </c>
      <c r="B25" s="213" t="s">
        <v>245</v>
      </c>
      <c r="C25" s="213" t="s">
        <v>384</v>
      </c>
      <c r="D25" s="213" t="s">
        <v>385</v>
      </c>
      <c r="E25" s="213" t="s">
        <v>9</v>
      </c>
      <c r="F25" s="214" t="str">
        <f>VLOOKUP(E25,[1]Lookup!F:G,2,0)</f>
        <v>CNSHA</v>
      </c>
      <c r="G25" s="215">
        <v>235</v>
      </c>
      <c r="H25" s="215">
        <v>365</v>
      </c>
      <c r="I25" s="215">
        <v>365</v>
      </c>
      <c r="J25" s="244"/>
    </row>
    <row r="26" spans="1:10">
      <c r="A26" s="213" t="s">
        <v>352</v>
      </c>
      <c r="B26" s="213" t="s">
        <v>366</v>
      </c>
      <c r="C26" s="213" t="s">
        <v>386</v>
      </c>
      <c r="D26" s="213" t="s">
        <v>385</v>
      </c>
      <c r="E26" s="213" t="s">
        <v>9</v>
      </c>
      <c r="F26" s="214" t="str">
        <f>VLOOKUP(E26,[1]Lookup!F:G,2,0)</f>
        <v>CNSHA</v>
      </c>
      <c r="G26" s="215">
        <v>375</v>
      </c>
      <c r="H26" s="215">
        <v>360</v>
      </c>
      <c r="I26" s="215">
        <v>360</v>
      </c>
      <c r="J26" s="244"/>
    </row>
    <row r="27" spans="1:10">
      <c r="A27" s="213" t="s">
        <v>250</v>
      </c>
      <c r="B27" s="213" t="s">
        <v>253</v>
      </c>
      <c r="C27" s="213" t="s">
        <v>325</v>
      </c>
      <c r="D27" s="213" t="s">
        <v>326</v>
      </c>
      <c r="E27" s="213" t="s">
        <v>9</v>
      </c>
      <c r="F27" s="214" t="str">
        <f>VLOOKUP(E27,[1]Lookup!F:G,2,0)</f>
        <v>CNSHA</v>
      </c>
      <c r="G27" s="215">
        <v>290</v>
      </c>
      <c r="H27" s="215">
        <v>315</v>
      </c>
      <c r="I27" s="215">
        <v>315</v>
      </c>
      <c r="J27" s="243"/>
    </row>
    <row r="28" spans="1:10">
      <c r="A28" s="213" t="s">
        <v>251</v>
      </c>
      <c r="B28" s="213" t="s">
        <v>387</v>
      </c>
      <c r="C28" s="213" t="s">
        <v>388</v>
      </c>
      <c r="D28" s="213" t="s">
        <v>389</v>
      </c>
      <c r="E28" s="213" t="s">
        <v>9</v>
      </c>
      <c r="F28" s="214" t="str">
        <f>VLOOKUP(E28,[1]Lookup!F:G,2,0)</f>
        <v>CNSHA</v>
      </c>
      <c r="G28" s="215">
        <v>185</v>
      </c>
      <c r="H28" s="215">
        <v>385</v>
      </c>
      <c r="I28" s="215">
        <v>385</v>
      </c>
      <c r="J28" s="244"/>
    </row>
    <row r="29" spans="1:10">
      <c r="A29" s="213" t="s">
        <v>251</v>
      </c>
      <c r="B29" s="213" t="s">
        <v>245</v>
      </c>
      <c r="C29" s="213" t="s">
        <v>390</v>
      </c>
      <c r="D29" s="213" t="s">
        <v>391</v>
      </c>
      <c r="E29" s="213" t="s">
        <v>9</v>
      </c>
      <c r="F29" s="214" t="str">
        <f>VLOOKUP(E29,[1]Lookup!F:G,2,0)</f>
        <v>CNSHA</v>
      </c>
      <c r="G29" s="215">
        <v>130</v>
      </c>
      <c r="H29" s="215">
        <v>255</v>
      </c>
      <c r="I29" s="215">
        <v>255</v>
      </c>
      <c r="J29" s="243"/>
    </row>
    <row r="30" spans="1:10">
      <c r="A30" s="213" t="s">
        <v>251</v>
      </c>
      <c r="B30" s="213" t="s">
        <v>245</v>
      </c>
      <c r="C30" s="217" t="s">
        <v>390</v>
      </c>
      <c r="D30" s="217" t="s">
        <v>391</v>
      </c>
      <c r="E30" s="213" t="s">
        <v>10</v>
      </c>
      <c r="F30" s="214" t="str">
        <f>VLOOKUP(E30,[1]Lookup!F:G,2,0)</f>
        <v>CNNGB</v>
      </c>
      <c r="G30" s="215">
        <v>160</v>
      </c>
      <c r="H30" s="215">
        <v>135</v>
      </c>
      <c r="I30" s="215">
        <v>135</v>
      </c>
      <c r="J30" s="244"/>
    </row>
    <row r="31" spans="1:10">
      <c r="A31" s="213" t="s">
        <v>392</v>
      </c>
      <c r="B31" s="213" t="s">
        <v>387</v>
      </c>
      <c r="C31" s="213" t="s">
        <v>393</v>
      </c>
      <c r="D31" s="213" t="s">
        <v>394</v>
      </c>
      <c r="E31" s="213" t="s">
        <v>9</v>
      </c>
      <c r="F31" s="214" t="str">
        <f>VLOOKUP(E31,[1]Lookup!F:G,2,0)</f>
        <v>CNSHA</v>
      </c>
      <c r="G31" s="215">
        <v>250</v>
      </c>
      <c r="H31" s="215">
        <v>675</v>
      </c>
      <c r="I31" s="215">
        <v>675</v>
      </c>
      <c r="J31" s="244"/>
    </row>
    <row r="32" spans="1:10">
      <c r="A32" s="213" t="s">
        <v>251</v>
      </c>
      <c r="B32" s="213" t="s">
        <v>395</v>
      </c>
      <c r="C32" s="213" t="s">
        <v>396</v>
      </c>
      <c r="D32" s="213" t="s">
        <v>397</v>
      </c>
      <c r="E32" s="213" t="s">
        <v>9</v>
      </c>
      <c r="F32" s="214" t="str">
        <f>VLOOKUP(E32,[1]Lookup!F:G,2,0)</f>
        <v>CNSHA</v>
      </c>
      <c r="G32" s="215">
        <v>140</v>
      </c>
      <c r="H32" s="215">
        <v>345</v>
      </c>
      <c r="I32" s="215">
        <v>345</v>
      </c>
      <c r="J32" s="243"/>
    </row>
    <row r="33" spans="1:10">
      <c r="A33" s="213" t="s">
        <v>251</v>
      </c>
      <c r="B33" s="213" t="s">
        <v>245</v>
      </c>
      <c r="C33" s="213" t="s">
        <v>398</v>
      </c>
      <c r="D33" s="213" t="s">
        <v>399</v>
      </c>
      <c r="E33" s="213" t="s">
        <v>9</v>
      </c>
      <c r="F33" s="214" t="str">
        <f>VLOOKUP(E33,[1]Lookup!F:G,2,0)</f>
        <v>CNSHA</v>
      </c>
      <c r="G33" s="215">
        <v>100</v>
      </c>
      <c r="H33" s="215">
        <v>200</v>
      </c>
      <c r="I33" s="215">
        <v>200</v>
      </c>
      <c r="J33" s="243"/>
    </row>
    <row r="34" spans="1:10" ht="14.5">
      <c r="A34" s="213" t="s">
        <v>251</v>
      </c>
      <c r="B34" s="213" t="s">
        <v>245</v>
      </c>
      <c r="C34" s="213" t="s">
        <v>42</v>
      </c>
      <c r="D34" s="213" t="s">
        <v>399</v>
      </c>
      <c r="E34" s="213" t="s">
        <v>10</v>
      </c>
      <c r="F34" s="214" t="str">
        <f>VLOOKUP(E34,[1]Lookup!F:G,2,0)</f>
        <v>CNNGB</v>
      </c>
      <c r="G34" s="215">
        <v>85</v>
      </c>
      <c r="H34" s="215">
        <v>255</v>
      </c>
      <c r="I34" s="215">
        <v>255</v>
      </c>
      <c r="J34" s="147"/>
    </row>
    <row r="35" spans="1:10">
      <c r="A35" s="213" t="s">
        <v>251</v>
      </c>
      <c r="B35" s="213" t="s">
        <v>245</v>
      </c>
      <c r="C35" s="213" t="s">
        <v>42</v>
      </c>
      <c r="D35" s="213" t="s">
        <v>399</v>
      </c>
      <c r="E35" s="213" t="s">
        <v>5</v>
      </c>
      <c r="F35" s="214" t="str">
        <f>VLOOKUP(E35,[1]Lookup!F:G,2,0)</f>
        <v>CNTAO</v>
      </c>
      <c r="G35" s="215">
        <v>15</v>
      </c>
      <c r="H35" s="215">
        <v>165</v>
      </c>
      <c r="I35" s="215">
        <v>165</v>
      </c>
      <c r="J35" s="244"/>
    </row>
    <row r="36" spans="1:10">
      <c r="A36" s="213" t="s">
        <v>251</v>
      </c>
      <c r="B36" s="213" t="s">
        <v>245</v>
      </c>
      <c r="C36" s="213" t="s">
        <v>398</v>
      </c>
      <c r="D36" s="213" t="s">
        <v>399</v>
      </c>
      <c r="E36" s="213" t="s">
        <v>6</v>
      </c>
      <c r="F36" s="214" t="str">
        <f>VLOOKUP(E36,[1]Lookup!F:G,2,0)</f>
        <v>KRPUS</v>
      </c>
      <c r="G36" s="215">
        <v>100</v>
      </c>
      <c r="H36" s="215">
        <v>200</v>
      </c>
      <c r="I36" s="215">
        <v>200</v>
      </c>
      <c r="J36" s="244"/>
    </row>
    <row r="37" spans="1:10">
      <c r="A37" s="213" t="s">
        <v>250</v>
      </c>
      <c r="B37" s="213" t="s">
        <v>253</v>
      </c>
      <c r="C37" s="213" t="s">
        <v>327</v>
      </c>
      <c r="D37" s="213" t="s">
        <v>328</v>
      </c>
      <c r="E37" s="213" t="s">
        <v>9</v>
      </c>
      <c r="F37" s="214" t="str">
        <f>VLOOKUP(E37,[1]Lookup!F:G,2,0)</f>
        <v>CNSHA</v>
      </c>
      <c r="G37" s="215">
        <v>390</v>
      </c>
      <c r="H37" s="215">
        <v>400</v>
      </c>
      <c r="I37" s="215">
        <v>400</v>
      </c>
      <c r="J37" s="244"/>
    </row>
    <row r="38" spans="1:10">
      <c r="A38" s="213" t="s">
        <v>251</v>
      </c>
      <c r="B38" s="213" t="s">
        <v>370</v>
      </c>
      <c r="C38" s="213" t="s">
        <v>400</v>
      </c>
      <c r="D38" s="213" t="s">
        <v>401</v>
      </c>
      <c r="E38" s="213" t="s">
        <v>9</v>
      </c>
      <c r="F38" s="214" t="str">
        <f>VLOOKUP(E38,[1]Lookup!F:G,2,0)</f>
        <v>CNSHA</v>
      </c>
      <c r="G38" s="215">
        <v>220</v>
      </c>
      <c r="H38" s="215">
        <v>870</v>
      </c>
      <c r="I38" s="215">
        <v>870</v>
      </c>
      <c r="J38" s="243"/>
    </row>
    <row r="39" spans="1:10">
      <c r="A39" s="213" t="s">
        <v>251</v>
      </c>
      <c r="B39" s="213" t="s">
        <v>253</v>
      </c>
      <c r="C39" s="213" t="s">
        <v>402</v>
      </c>
      <c r="D39" s="213" t="s">
        <v>403</v>
      </c>
      <c r="E39" s="213" t="s">
        <v>9</v>
      </c>
      <c r="F39" s="214" t="str">
        <f>VLOOKUP(E39,[1]Lookup!F:G,2,0)</f>
        <v>CNSHA</v>
      </c>
      <c r="G39" s="215">
        <v>240</v>
      </c>
      <c r="H39" s="215">
        <v>295</v>
      </c>
      <c r="I39" s="215">
        <v>295</v>
      </c>
      <c r="J39" s="243"/>
    </row>
    <row r="40" spans="1:10">
      <c r="A40" s="213" t="s">
        <v>251</v>
      </c>
      <c r="B40" s="213" t="s">
        <v>395</v>
      </c>
      <c r="C40" s="213" t="s">
        <v>404</v>
      </c>
      <c r="D40" s="213" t="s">
        <v>405</v>
      </c>
      <c r="E40" s="213" t="s">
        <v>9</v>
      </c>
      <c r="F40" s="214" t="str">
        <f>VLOOKUP(E40,[1]Lookup!F:G,2,0)</f>
        <v>CNSHA</v>
      </c>
      <c r="G40" s="215">
        <v>190</v>
      </c>
      <c r="H40" s="215">
        <v>320</v>
      </c>
      <c r="I40" s="215">
        <v>605</v>
      </c>
      <c r="J40" s="243"/>
    </row>
    <row r="41" spans="1:10">
      <c r="A41" s="213" t="s">
        <v>352</v>
      </c>
      <c r="B41" s="213" t="s">
        <v>255</v>
      </c>
      <c r="C41" s="213" t="s">
        <v>406</v>
      </c>
      <c r="D41" s="213" t="s">
        <v>405</v>
      </c>
      <c r="E41" s="213" t="s">
        <v>407</v>
      </c>
      <c r="F41" s="214" t="str">
        <f>VLOOKUP(E41,[1]Lookup!F:G,2,0)</f>
        <v>CNNGB</v>
      </c>
      <c r="G41" s="215">
        <v>595</v>
      </c>
      <c r="H41" s="215">
        <v>810</v>
      </c>
      <c r="I41" s="215">
        <v>810</v>
      </c>
      <c r="J41" s="243"/>
    </row>
    <row r="42" spans="1:10" ht="14.5">
      <c r="A42" s="213" t="s">
        <v>250</v>
      </c>
      <c r="B42" s="213" t="s">
        <v>256</v>
      </c>
      <c r="C42" s="213" t="s">
        <v>406</v>
      </c>
      <c r="D42" s="213" t="s">
        <v>288</v>
      </c>
      <c r="E42" s="213" t="s">
        <v>294</v>
      </c>
      <c r="F42" s="214" t="str">
        <f>VLOOKUP(E42,[1]Lookup!F:G,2,0)</f>
        <v>CNYTN</v>
      </c>
      <c r="G42" s="215">
        <v>650</v>
      </c>
      <c r="H42" s="215">
        <v>830</v>
      </c>
      <c r="I42" s="215">
        <v>830</v>
      </c>
      <c r="J42" s="245" t="s">
        <v>408</v>
      </c>
    </row>
    <row r="43" spans="1:10" ht="14.5">
      <c r="A43" s="213" t="s">
        <v>250</v>
      </c>
      <c r="B43" s="213" t="s">
        <v>256</v>
      </c>
      <c r="C43" s="213" t="s">
        <v>406</v>
      </c>
      <c r="D43" s="213" t="s">
        <v>288</v>
      </c>
      <c r="E43" s="213" t="s">
        <v>11</v>
      </c>
      <c r="F43" s="214" t="str">
        <f>VLOOKUP(E43,[1]Lookup!F:G,2,0)</f>
        <v>CNSHK</v>
      </c>
      <c r="G43" s="215">
        <v>650</v>
      </c>
      <c r="H43" s="215">
        <v>830</v>
      </c>
      <c r="I43" s="215">
        <v>830</v>
      </c>
      <c r="J43" s="245" t="s">
        <v>408</v>
      </c>
    </row>
    <row r="44" spans="1:10" ht="14.5">
      <c r="A44" s="213" t="s">
        <v>250</v>
      </c>
      <c r="B44" s="213" t="s">
        <v>256</v>
      </c>
      <c r="C44" s="213" t="s">
        <v>406</v>
      </c>
      <c r="D44" s="213" t="s">
        <v>288</v>
      </c>
      <c r="E44" s="213" t="s">
        <v>409</v>
      </c>
      <c r="F44" s="214" t="str">
        <f>VLOOKUP(E44,[1]Lookup!F:G,2,0)</f>
        <v>CNNSA</v>
      </c>
      <c r="G44" s="215">
        <v>625</v>
      </c>
      <c r="H44" s="215">
        <v>840</v>
      </c>
      <c r="I44" s="215">
        <v>840</v>
      </c>
      <c r="J44" s="245" t="s">
        <v>408</v>
      </c>
    </row>
    <row r="45" spans="1:10" ht="14.5">
      <c r="A45" s="213" t="s">
        <v>250</v>
      </c>
      <c r="B45" s="213" t="s">
        <v>256</v>
      </c>
      <c r="C45" s="213" t="s">
        <v>17</v>
      </c>
      <c r="D45" s="213" t="s">
        <v>288</v>
      </c>
      <c r="E45" s="213" t="s">
        <v>12</v>
      </c>
      <c r="F45" s="214" t="str">
        <f>VLOOKUP(E45,[1]Lookup!F:G,2,0)</f>
        <v>CNXMN</v>
      </c>
      <c r="G45" s="215">
        <v>485</v>
      </c>
      <c r="H45" s="215">
        <v>645</v>
      </c>
      <c r="I45" s="215">
        <v>645</v>
      </c>
      <c r="J45" s="245" t="s">
        <v>408</v>
      </c>
    </row>
    <row r="46" spans="1:10">
      <c r="A46" s="213" t="s">
        <v>251</v>
      </c>
      <c r="B46" s="213" t="s">
        <v>245</v>
      </c>
      <c r="C46" s="213" t="s">
        <v>410</v>
      </c>
      <c r="D46" s="213" t="s">
        <v>411</v>
      </c>
      <c r="E46" s="213" t="s">
        <v>9</v>
      </c>
      <c r="F46" s="214" t="str">
        <f>VLOOKUP(E46,[1]Lookup!F:G,2,0)</f>
        <v>CNSHA</v>
      </c>
      <c r="G46" s="215">
        <v>220</v>
      </c>
      <c r="H46" s="215">
        <v>400</v>
      </c>
      <c r="I46" s="215">
        <v>400</v>
      </c>
      <c r="J46" s="244"/>
    </row>
    <row r="47" spans="1:10" ht="14.5">
      <c r="A47" s="213" t="s">
        <v>251</v>
      </c>
      <c r="B47" s="213" t="s">
        <v>245</v>
      </c>
      <c r="C47" s="217" t="s">
        <v>410</v>
      </c>
      <c r="D47" s="217" t="s">
        <v>411</v>
      </c>
      <c r="E47" s="213" t="s">
        <v>10</v>
      </c>
      <c r="F47" s="214" t="str">
        <f>VLOOKUP(E47,[1]Lookup!F:G,2,0)</f>
        <v>CNNGB</v>
      </c>
      <c r="G47" s="215">
        <v>250</v>
      </c>
      <c r="H47" s="215">
        <v>280</v>
      </c>
      <c r="I47" s="215">
        <v>280</v>
      </c>
      <c r="J47" s="147"/>
    </row>
    <row r="48" spans="1:10">
      <c r="A48" s="213" t="s">
        <v>251</v>
      </c>
      <c r="B48" s="213" t="s">
        <v>245</v>
      </c>
      <c r="C48" s="213" t="s">
        <v>412</v>
      </c>
      <c r="D48" s="213" t="s">
        <v>413</v>
      </c>
      <c r="E48" s="213" t="s">
        <v>9</v>
      </c>
      <c r="F48" s="214" t="str">
        <f>VLOOKUP(E48,[1]Lookup!F:G,2,0)</f>
        <v>CNSHA</v>
      </c>
      <c r="G48" s="215">
        <v>155</v>
      </c>
      <c r="H48" s="215">
        <v>380</v>
      </c>
      <c r="I48" s="215">
        <v>380</v>
      </c>
      <c r="J48" s="244"/>
    </row>
    <row r="49" spans="1:10" ht="14.5">
      <c r="A49" s="213" t="s">
        <v>251</v>
      </c>
      <c r="B49" s="213" t="s">
        <v>245</v>
      </c>
      <c r="C49" s="217" t="s">
        <v>412</v>
      </c>
      <c r="D49" s="217" t="s">
        <v>413</v>
      </c>
      <c r="E49" s="213" t="s">
        <v>10</v>
      </c>
      <c r="F49" s="214" t="str">
        <f>VLOOKUP(E49,[1]Lookup!F:G,2,0)</f>
        <v>CNNGB</v>
      </c>
      <c r="G49" s="215">
        <v>185</v>
      </c>
      <c r="H49" s="215">
        <v>260</v>
      </c>
      <c r="I49" s="215">
        <v>260</v>
      </c>
      <c r="J49" s="147"/>
    </row>
    <row r="50" spans="1:10" ht="14.5">
      <c r="A50" s="213" t="s">
        <v>251</v>
      </c>
      <c r="B50" s="213" t="s">
        <v>246</v>
      </c>
      <c r="C50" s="213" t="s">
        <v>248</v>
      </c>
      <c r="D50" s="213" t="s">
        <v>414</v>
      </c>
      <c r="E50" s="213" t="s">
        <v>5</v>
      </c>
      <c r="F50" s="214" t="str">
        <f>VLOOKUP(E50,[1]Lookup!F:G,2,0)</f>
        <v>CNTAO</v>
      </c>
      <c r="G50" s="215">
        <v>50</v>
      </c>
      <c r="H50" s="215">
        <v>80</v>
      </c>
      <c r="I50" s="215">
        <v>80</v>
      </c>
      <c r="J50" s="147"/>
    </row>
    <row r="51" spans="1:10">
      <c r="A51" s="213" t="s">
        <v>251</v>
      </c>
      <c r="B51" s="213" t="s">
        <v>245</v>
      </c>
      <c r="C51" s="213" t="s">
        <v>415</v>
      </c>
      <c r="D51" s="213" t="s">
        <v>416</v>
      </c>
      <c r="E51" s="213" t="s">
        <v>9</v>
      </c>
      <c r="F51" s="213" t="str">
        <f>VLOOKUP(E51,[1]Lookup!F:G,2,0)</f>
        <v>CNSHA</v>
      </c>
      <c r="G51" s="215">
        <v>135</v>
      </c>
      <c r="H51" s="215">
        <v>235</v>
      </c>
      <c r="I51" s="215">
        <v>285</v>
      </c>
      <c r="J51" s="244"/>
    </row>
    <row r="52" spans="1:10">
      <c r="A52" s="213" t="s">
        <v>251</v>
      </c>
      <c r="B52" s="213" t="s">
        <v>246</v>
      </c>
      <c r="C52" s="213" t="s">
        <v>249</v>
      </c>
      <c r="D52" s="213" t="s">
        <v>417</v>
      </c>
      <c r="E52" s="213" t="s">
        <v>5</v>
      </c>
      <c r="F52" s="214" t="str">
        <f>VLOOKUP(E52,[1]Lookup!F:G,2,0)</f>
        <v>CNTAO</v>
      </c>
      <c r="G52" s="215">
        <v>10</v>
      </c>
      <c r="H52" s="215">
        <v>35</v>
      </c>
      <c r="I52" s="215">
        <v>35</v>
      </c>
      <c r="J52" s="243"/>
    </row>
    <row r="53" spans="1:10">
      <c r="A53" s="232" t="s">
        <v>251</v>
      </c>
      <c r="B53" s="233" t="s">
        <v>366</v>
      </c>
      <c r="C53" s="234" t="s">
        <v>418</v>
      </c>
      <c r="D53" s="235" t="s">
        <v>419</v>
      </c>
      <c r="E53" s="235" t="s">
        <v>351</v>
      </c>
      <c r="F53" s="214" t="str">
        <f>VLOOKUP(E53,[1]Lookup!F:G,2,0)</f>
        <v>CNSHA</v>
      </c>
      <c r="G53" s="215">
        <v>170</v>
      </c>
      <c r="H53" s="215">
        <v>415</v>
      </c>
      <c r="I53" s="215">
        <v>220</v>
      </c>
      <c r="J53" s="243"/>
    </row>
    <row r="54" spans="1:10" ht="14.5">
      <c r="A54" s="213" t="s">
        <v>251</v>
      </c>
      <c r="B54" s="213" t="s">
        <v>245</v>
      </c>
      <c r="C54" s="213" t="s">
        <v>420</v>
      </c>
      <c r="D54" s="213" t="s">
        <v>421</v>
      </c>
      <c r="E54" s="213" t="s">
        <v>9</v>
      </c>
      <c r="F54" s="214" t="str">
        <f>VLOOKUP(E54,[1]Lookup!F:G,2,0)</f>
        <v>CNSHA</v>
      </c>
      <c r="G54" s="215">
        <v>190</v>
      </c>
      <c r="H54" s="215">
        <v>125</v>
      </c>
      <c r="I54" s="215">
        <v>415</v>
      </c>
      <c r="J54" s="147"/>
    </row>
    <row r="55" spans="1:10">
      <c r="A55" s="213" t="s">
        <v>251</v>
      </c>
      <c r="B55" s="213" t="s">
        <v>245</v>
      </c>
      <c r="C55" s="217" t="s">
        <v>420</v>
      </c>
      <c r="D55" s="217" t="s">
        <v>421</v>
      </c>
      <c r="E55" s="213" t="s">
        <v>10</v>
      </c>
      <c r="F55" s="214" t="str">
        <f>VLOOKUP(E55,[1]Lookup!F:G,2,0)</f>
        <v>CNNGB</v>
      </c>
      <c r="G55" s="215">
        <v>160</v>
      </c>
      <c r="H55" s="215">
        <v>60</v>
      </c>
      <c r="I55" s="215">
        <v>215</v>
      </c>
      <c r="J55" s="246"/>
    </row>
    <row r="56" spans="1:10">
      <c r="A56" s="213" t="s">
        <v>251</v>
      </c>
      <c r="B56" s="213" t="s">
        <v>245</v>
      </c>
      <c r="C56" s="213" t="s">
        <v>422</v>
      </c>
      <c r="D56" s="213" t="s">
        <v>423</v>
      </c>
      <c r="E56" s="213" t="s">
        <v>351</v>
      </c>
      <c r="F56" s="214" t="str">
        <f>VLOOKUP(E56,[1]Lookup!F:G,2,0)</f>
        <v>CNSHA</v>
      </c>
      <c r="G56" s="215">
        <v>135</v>
      </c>
      <c r="H56" s="215">
        <v>380</v>
      </c>
      <c r="I56" s="215">
        <v>380</v>
      </c>
      <c r="J56" s="243"/>
    </row>
    <row r="57" spans="1:10">
      <c r="A57" s="213" t="s">
        <v>250</v>
      </c>
      <c r="B57" s="213" t="s">
        <v>424</v>
      </c>
      <c r="C57" s="213" t="s">
        <v>425</v>
      </c>
      <c r="D57" s="213" t="s">
        <v>426</v>
      </c>
      <c r="E57" s="213" t="s">
        <v>358</v>
      </c>
      <c r="F57" s="214" t="str">
        <f>VLOOKUP(E57,[1]Lookup!F:G,2,0)</f>
        <v>CNDLC</v>
      </c>
      <c r="G57" s="215">
        <v>445</v>
      </c>
      <c r="H57" s="215">
        <v>670</v>
      </c>
      <c r="I57" s="215">
        <v>670</v>
      </c>
      <c r="J57" s="244"/>
    </row>
    <row r="58" spans="1:10">
      <c r="A58" s="213" t="s">
        <v>251</v>
      </c>
      <c r="B58" s="213" t="s">
        <v>246</v>
      </c>
      <c r="C58" s="213" t="s">
        <v>247</v>
      </c>
      <c r="D58" s="213" t="s">
        <v>427</v>
      </c>
      <c r="E58" s="213" t="s">
        <v>5</v>
      </c>
      <c r="F58" s="214" t="str">
        <f>VLOOKUP(E58,[1]Lookup!F:G,2,0)</f>
        <v>CNTAO</v>
      </c>
      <c r="G58" s="215">
        <v>80</v>
      </c>
      <c r="H58" s="215">
        <v>220</v>
      </c>
      <c r="I58" s="215">
        <v>220</v>
      </c>
      <c r="J58" s="243"/>
    </row>
    <row r="59" spans="1:10">
      <c r="A59" s="213" t="s">
        <v>251</v>
      </c>
      <c r="B59" s="213" t="s">
        <v>252</v>
      </c>
      <c r="C59" s="213" t="s">
        <v>19</v>
      </c>
      <c r="D59" s="213" t="s">
        <v>428</v>
      </c>
      <c r="E59" s="213" t="s">
        <v>10</v>
      </c>
      <c r="F59" s="214" t="str">
        <f>VLOOKUP(E59,[1]Lookup!F:G,2,0)</f>
        <v>CNNGB</v>
      </c>
      <c r="G59" s="215">
        <v>105</v>
      </c>
      <c r="H59" s="215">
        <v>175</v>
      </c>
      <c r="I59" s="215">
        <v>315</v>
      </c>
      <c r="J59" s="243"/>
    </row>
    <row r="60" spans="1:10">
      <c r="A60" s="213" t="s">
        <v>251</v>
      </c>
      <c r="B60" s="213" t="s">
        <v>256</v>
      </c>
      <c r="C60" s="213" t="s">
        <v>429</v>
      </c>
      <c r="D60" s="213" t="s">
        <v>430</v>
      </c>
      <c r="E60" s="213" t="s">
        <v>9</v>
      </c>
      <c r="F60" s="214" t="str">
        <f>VLOOKUP(E60,[1]Lookup!F:G,2,0)</f>
        <v>CNSHA</v>
      </c>
      <c r="G60" s="215">
        <v>250</v>
      </c>
      <c r="H60" s="215">
        <v>190</v>
      </c>
      <c r="I60" s="215">
        <v>485</v>
      </c>
      <c r="J60" s="244"/>
    </row>
    <row r="61" spans="1:10">
      <c r="A61" s="213" t="s">
        <v>352</v>
      </c>
      <c r="B61" s="213" t="s">
        <v>256</v>
      </c>
      <c r="C61" s="213" t="s">
        <v>431</v>
      </c>
      <c r="D61" s="213" t="s">
        <v>430</v>
      </c>
      <c r="E61" s="213" t="s">
        <v>407</v>
      </c>
      <c r="F61" s="214" t="str">
        <f>VLOOKUP(E61,[1]Lookup!F:G,2,0)</f>
        <v>CNNGB</v>
      </c>
      <c r="G61" s="215">
        <v>510</v>
      </c>
      <c r="H61" s="215">
        <v>575</v>
      </c>
      <c r="I61" s="215">
        <v>575</v>
      </c>
      <c r="J61" s="244"/>
    </row>
    <row r="62" spans="1:10">
      <c r="A62" s="213" t="s">
        <v>250</v>
      </c>
      <c r="B62" s="213" t="s">
        <v>256</v>
      </c>
      <c r="C62" s="213" t="s">
        <v>431</v>
      </c>
      <c r="D62" s="213" t="s">
        <v>430</v>
      </c>
      <c r="E62" s="213" t="s">
        <v>432</v>
      </c>
      <c r="F62" s="214" t="str">
        <f>VLOOKUP(E62,[1]Lookup!F:G,2,0)</f>
        <v>CNXMN</v>
      </c>
      <c r="G62" s="215">
        <v>630</v>
      </c>
      <c r="H62" s="215">
        <v>710</v>
      </c>
      <c r="I62" s="215">
        <v>710</v>
      </c>
      <c r="J62" s="243"/>
    </row>
    <row r="63" spans="1:10">
      <c r="A63" s="213" t="s">
        <v>251</v>
      </c>
      <c r="B63" s="213" t="s">
        <v>253</v>
      </c>
      <c r="C63" s="213" t="s">
        <v>433</v>
      </c>
      <c r="D63" s="213" t="s">
        <v>434</v>
      </c>
      <c r="E63" s="213" t="s">
        <v>351</v>
      </c>
      <c r="F63" s="214" t="str">
        <f>VLOOKUP(E63,[1]Lookup!F:G,2,0)</f>
        <v>CNSHA</v>
      </c>
      <c r="G63" s="215">
        <v>240</v>
      </c>
      <c r="H63" s="215">
        <v>435</v>
      </c>
      <c r="I63" s="215">
        <v>435</v>
      </c>
      <c r="J63" s="244"/>
    </row>
    <row r="64" spans="1:10">
      <c r="A64" s="213" t="s">
        <v>352</v>
      </c>
      <c r="B64" s="213" t="s">
        <v>256</v>
      </c>
      <c r="C64" s="213" t="s">
        <v>435</v>
      </c>
      <c r="D64" s="213" t="s">
        <v>436</v>
      </c>
      <c r="E64" s="213" t="s">
        <v>407</v>
      </c>
      <c r="F64" s="214" t="str">
        <f>VLOOKUP(E64,[1]Lookup!F:G,2,0)</f>
        <v>CNNGB</v>
      </c>
      <c r="G64" s="215">
        <v>555</v>
      </c>
      <c r="H64" s="215">
        <v>770</v>
      </c>
      <c r="I64" s="215">
        <v>770</v>
      </c>
      <c r="J64" s="244"/>
    </row>
    <row r="65" spans="1:10">
      <c r="A65" s="213" t="s">
        <v>250</v>
      </c>
      <c r="B65" s="213" t="s">
        <v>366</v>
      </c>
      <c r="C65" s="213" t="s">
        <v>329</v>
      </c>
      <c r="D65" s="213" t="s">
        <v>437</v>
      </c>
      <c r="E65" s="213" t="s">
        <v>42</v>
      </c>
      <c r="F65" s="214" t="str">
        <f>VLOOKUP(E65,[1]Lookup!F:G,2,0)</f>
        <v>CNLYG</v>
      </c>
      <c r="G65" s="215">
        <v>125</v>
      </c>
      <c r="H65" s="215">
        <v>120</v>
      </c>
      <c r="I65" s="215">
        <v>120</v>
      </c>
      <c r="J65" s="244"/>
    </row>
    <row r="66" spans="1:10" ht="14.5">
      <c r="A66" s="213" t="s">
        <v>250</v>
      </c>
      <c r="B66" s="213" t="s">
        <v>245</v>
      </c>
      <c r="C66" s="213" t="s">
        <v>330</v>
      </c>
      <c r="D66" s="213" t="s">
        <v>331</v>
      </c>
      <c r="E66" s="213" t="s">
        <v>9</v>
      </c>
      <c r="F66" s="214" t="str">
        <f>VLOOKUP(E66,[1]Lookup!F:G,2,0)</f>
        <v>CNSHA</v>
      </c>
      <c r="G66" s="215">
        <v>295</v>
      </c>
      <c r="H66" s="215">
        <v>315</v>
      </c>
      <c r="I66" s="215">
        <v>315</v>
      </c>
      <c r="J66" s="147"/>
    </row>
    <row r="67" spans="1:10">
      <c r="A67" s="213" t="s">
        <v>251</v>
      </c>
      <c r="B67" s="213" t="s">
        <v>245</v>
      </c>
      <c r="C67" s="213" t="s">
        <v>438</v>
      </c>
      <c r="D67" s="213" t="s">
        <v>439</v>
      </c>
      <c r="E67" s="213" t="s">
        <v>351</v>
      </c>
      <c r="F67" s="214" t="str">
        <f>VLOOKUP(E67,[1]Lookup!F:G,2,0)</f>
        <v>CNSHA</v>
      </c>
      <c r="G67" s="215">
        <v>220</v>
      </c>
      <c r="H67" s="215">
        <v>390</v>
      </c>
      <c r="I67" s="215">
        <v>380</v>
      </c>
      <c r="J67" s="243"/>
    </row>
    <row r="68" spans="1:10">
      <c r="A68" s="213" t="s">
        <v>251</v>
      </c>
      <c r="B68" s="213" t="s">
        <v>246</v>
      </c>
      <c r="C68" s="213" t="s">
        <v>124</v>
      </c>
      <c r="D68" s="213" t="s">
        <v>440</v>
      </c>
      <c r="E68" s="213" t="s">
        <v>5</v>
      </c>
      <c r="F68" s="214" t="str">
        <f>VLOOKUP(E68,[1]Lookup!F:G,2,0)</f>
        <v>CNTAO</v>
      </c>
      <c r="G68" s="215">
        <v>140</v>
      </c>
      <c r="H68" s="215">
        <v>125</v>
      </c>
      <c r="I68" s="215">
        <v>125</v>
      </c>
      <c r="J68" s="244"/>
    </row>
    <row r="69" spans="1:10">
      <c r="A69" s="213" t="s">
        <v>251</v>
      </c>
      <c r="B69" s="213" t="s">
        <v>370</v>
      </c>
      <c r="C69" s="213" t="s">
        <v>441</v>
      </c>
      <c r="D69" s="213" t="s">
        <v>442</v>
      </c>
      <c r="E69" s="213" t="s">
        <v>9</v>
      </c>
      <c r="F69" s="214" t="str">
        <f>VLOOKUP(E69,[1]Lookup!F:G,2,0)</f>
        <v>CNSHA</v>
      </c>
      <c r="G69" s="215">
        <v>235</v>
      </c>
      <c r="H69" s="215">
        <v>850</v>
      </c>
      <c r="I69" s="215">
        <v>925</v>
      </c>
      <c r="J69" s="244"/>
    </row>
    <row r="70" spans="1:10">
      <c r="A70" s="213" t="s">
        <v>251</v>
      </c>
      <c r="B70" s="213" t="s">
        <v>387</v>
      </c>
      <c r="C70" s="213" t="s">
        <v>443</v>
      </c>
      <c r="D70" s="213" t="s">
        <v>444</v>
      </c>
      <c r="E70" s="213" t="s">
        <v>9</v>
      </c>
      <c r="F70" s="214" t="str">
        <f>VLOOKUP(E70,[1]Lookup!F:G,2,0)</f>
        <v>CNSHA</v>
      </c>
      <c r="G70" s="215">
        <v>410</v>
      </c>
      <c r="H70" s="215">
        <v>695</v>
      </c>
      <c r="I70" s="215">
        <v>695</v>
      </c>
      <c r="J70" s="244"/>
    </row>
    <row r="71" spans="1:10">
      <c r="A71" s="213" t="s">
        <v>250</v>
      </c>
      <c r="B71" s="213" t="s">
        <v>445</v>
      </c>
      <c r="C71" s="213" t="s">
        <v>446</v>
      </c>
      <c r="D71" s="213" t="s">
        <v>447</v>
      </c>
      <c r="E71" s="213" t="s">
        <v>448</v>
      </c>
      <c r="F71" s="214" t="str">
        <f>VLOOKUP(E71,[1]Lookup!F:G,2,0)</f>
        <v>CNTXG</v>
      </c>
      <c r="G71" s="215">
        <v>590</v>
      </c>
      <c r="H71" s="215">
        <v>745</v>
      </c>
      <c r="I71" s="215">
        <v>745</v>
      </c>
      <c r="J71" s="243"/>
    </row>
    <row r="72" spans="1:10">
      <c r="A72" s="213" t="s">
        <v>352</v>
      </c>
      <c r="B72" s="213" t="s">
        <v>449</v>
      </c>
      <c r="C72" s="213" t="s">
        <v>450</v>
      </c>
      <c r="D72" s="213" t="s">
        <v>451</v>
      </c>
      <c r="E72" s="213" t="s">
        <v>407</v>
      </c>
      <c r="F72" s="214" t="str">
        <f>VLOOKUP(E72,[1]Lookup!F:G,2,0)</f>
        <v>CNNGB</v>
      </c>
      <c r="G72" s="215">
        <v>305</v>
      </c>
      <c r="H72" s="215">
        <v>325</v>
      </c>
      <c r="I72" s="215">
        <v>325</v>
      </c>
      <c r="J72" s="243"/>
    </row>
    <row r="73" spans="1:10" ht="14.5">
      <c r="A73" s="213" t="s">
        <v>251</v>
      </c>
      <c r="B73" s="213" t="s">
        <v>359</v>
      </c>
      <c r="C73" s="213" t="s">
        <v>452</v>
      </c>
      <c r="D73" s="213" t="s">
        <v>313</v>
      </c>
      <c r="E73" s="213" t="s">
        <v>9</v>
      </c>
      <c r="F73" s="214" t="str">
        <f>VLOOKUP(E73,[1]Lookup!F:G,2,0)</f>
        <v>CNSHA</v>
      </c>
      <c r="G73" s="215">
        <v>230</v>
      </c>
      <c r="H73" s="215">
        <v>350</v>
      </c>
      <c r="I73" s="215">
        <v>530</v>
      </c>
      <c r="J73" s="147"/>
    </row>
    <row r="74" spans="1:10">
      <c r="A74" s="213" t="s">
        <v>251</v>
      </c>
      <c r="B74" s="213" t="s">
        <v>359</v>
      </c>
      <c r="C74" s="213" t="s">
        <v>452</v>
      </c>
      <c r="D74" s="213" t="s">
        <v>319</v>
      </c>
      <c r="E74" s="213" t="s">
        <v>9</v>
      </c>
      <c r="F74" s="214" t="str">
        <f>VLOOKUP(E74,[1]Lookup!F:G,2,0)</f>
        <v>CNSHA</v>
      </c>
      <c r="G74" s="215">
        <v>230</v>
      </c>
      <c r="H74" s="215">
        <v>350</v>
      </c>
      <c r="I74" s="215">
        <v>530</v>
      </c>
      <c r="J74" s="244"/>
    </row>
    <row r="75" spans="1:10">
      <c r="A75" s="213" t="s">
        <v>251</v>
      </c>
      <c r="B75" s="213" t="s">
        <v>245</v>
      </c>
      <c r="C75" s="213" t="s">
        <v>453</v>
      </c>
      <c r="D75" s="213" t="s">
        <v>454</v>
      </c>
      <c r="E75" s="213" t="s">
        <v>351</v>
      </c>
      <c r="F75" s="213" t="str">
        <f>VLOOKUP(E75,[1]Lookup!F:G,2,0)</f>
        <v>CNSHA</v>
      </c>
      <c r="G75" s="215">
        <v>185</v>
      </c>
      <c r="H75" s="215">
        <v>415</v>
      </c>
      <c r="I75" s="215">
        <v>415</v>
      </c>
      <c r="J75" s="243"/>
    </row>
    <row r="76" spans="1:10" ht="14.5">
      <c r="A76" s="213" t="s">
        <v>251</v>
      </c>
      <c r="B76" s="213" t="s">
        <v>245</v>
      </c>
      <c r="C76" s="217" t="s">
        <v>453</v>
      </c>
      <c r="D76" s="217" t="s">
        <v>454</v>
      </c>
      <c r="E76" s="213" t="s">
        <v>10</v>
      </c>
      <c r="F76" s="214" t="str">
        <f>VLOOKUP(E76,[1]Lookup!F:G,2,0)</f>
        <v>CNNGB</v>
      </c>
      <c r="G76" s="215">
        <v>215</v>
      </c>
      <c r="H76" s="215">
        <v>290</v>
      </c>
      <c r="I76" s="215">
        <v>290</v>
      </c>
      <c r="J76" s="147"/>
    </row>
    <row r="77" spans="1:10" ht="14.5">
      <c r="A77" s="213" t="s">
        <v>251</v>
      </c>
      <c r="B77" s="213" t="s">
        <v>252</v>
      </c>
      <c r="C77" s="213" t="s">
        <v>18</v>
      </c>
      <c r="D77" s="213" t="s">
        <v>455</v>
      </c>
      <c r="E77" s="213" t="s">
        <v>10</v>
      </c>
      <c r="F77" s="214" t="str">
        <f>VLOOKUP(E77,[1]Lookup!F:G,2,0)</f>
        <v>CNNGB</v>
      </c>
      <c r="G77" s="215">
        <v>105</v>
      </c>
      <c r="H77" s="215">
        <v>175</v>
      </c>
      <c r="I77" s="215">
        <v>175</v>
      </c>
      <c r="J77" s="147"/>
    </row>
    <row r="78" spans="1:10" ht="14.5">
      <c r="A78" s="213" t="s">
        <v>250</v>
      </c>
      <c r="B78" s="213" t="s">
        <v>246</v>
      </c>
      <c r="C78" s="213" t="s">
        <v>456</v>
      </c>
      <c r="D78" s="213" t="s">
        <v>457</v>
      </c>
      <c r="E78" s="213" t="s">
        <v>458</v>
      </c>
      <c r="F78" s="214" t="str">
        <f>VLOOKUP(E78,[1]Lookup!F:G,2,0)</f>
        <v>CNTAO</v>
      </c>
      <c r="G78" s="215">
        <v>575</v>
      </c>
      <c r="H78" s="215">
        <v>715</v>
      </c>
      <c r="I78" s="215">
        <v>715</v>
      </c>
      <c r="J78" s="147"/>
    </row>
    <row r="79" spans="1:10" ht="14.5">
      <c r="A79" s="213" t="s">
        <v>251</v>
      </c>
      <c r="B79" s="213" t="s">
        <v>245</v>
      </c>
      <c r="C79" s="213" t="s">
        <v>459</v>
      </c>
      <c r="D79" s="213" t="s">
        <v>460</v>
      </c>
      <c r="E79" s="213" t="s">
        <v>351</v>
      </c>
      <c r="F79" s="213" t="str">
        <f>VLOOKUP(E79,[1]Lookup!F:G,2,0)</f>
        <v>CNSHA</v>
      </c>
      <c r="G79" s="215">
        <v>135</v>
      </c>
      <c r="H79" s="215">
        <v>290</v>
      </c>
      <c r="I79" s="215">
        <v>290</v>
      </c>
      <c r="J79" s="147"/>
    </row>
    <row r="80" spans="1:10" ht="14.5">
      <c r="A80" s="213" t="s">
        <v>251</v>
      </c>
      <c r="B80" s="213" t="s">
        <v>245</v>
      </c>
      <c r="C80" s="217" t="s">
        <v>459</v>
      </c>
      <c r="D80" s="217" t="s">
        <v>460</v>
      </c>
      <c r="E80" s="213" t="s">
        <v>10</v>
      </c>
      <c r="F80" s="214" t="str">
        <f>VLOOKUP(E80,[1]Lookup!F:G,2,0)</f>
        <v>CNNGB</v>
      </c>
      <c r="G80" s="215">
        <v>160</v>
      </c>
      <c r="H80" s="215">
        <v>170</v>
      </c>
      <c r="I80" s="215">
        <v>170</v>
      </c>
      <c r="J80" s="147"/>
    </row>
    <row r="81" spans="1:10" ht="14.5">
      <c r="A81" s="147"/>
      <c r="B81" s="147"/>
      <c r="C81" s="147"/>
      <c r="D81" s="147"/>
      <c r="E81" s="147"/>
      <c r="F81" s="147"/>
      <c r="G81" s="147"/>
      <c r="H81" s="147"/>
      <c r="I81" s="147"/>
      <c r="J81" s="147"/>
    </row>
    <row r="82" spans="1:10" ht="14.5">
      <c r="A82" s="224" t="s">
        <v>461</v>
      </c>
      <c r="B82" s="225" t="s">
        <v>462</v>
      </c>
      <c r="C82" s="226"/>
      <c r="D82" s="247"/>
      <c r="E82" s="247"/>
      <c r="F82" s="147"/>
      <c r="G82" s="147"/>
      <c r="H82" s="147"/>
      <c r="I82" s="147"/>
      <c r="J82" s="147"/>
    </row>
    <row r="83" spans="1:10" ht="14.5">
      <c r="A83" s="227"/>
      <c r="B83" s="225" t="s">
        <v>463</v>
      </c>
      <c r="C83" s="226"/>
      <c r="D83" s="247"/>
      <c r="E83" s="247"/>
      <c r="F83" s="147"/>
      <c r="G83" s="147"/>
      <c r="H83" s="147"/>
      <c r="I83" s="147"/>
      <c r="J83" s="147"/>
    </row>
    <row r="84" spans="1:10" ht="14.5">
      <c r="A84" s="227"/>
      <c r="B84" s="225" t="s">
        <v>464</v>
      </c>
      <c r="C84" s="226"/>
      <c r="D84" s="247"/>
      <c r="E84" s="247"/>
      <c r="F84" s="147"/>
      <c r="G84" s="147"/>
      <c r="H84" s="147"/>
      <c r="I84" s="147"/>
      <c r="J84" s="147"/>
    </row>
    <row r="85" spans="1:10" ht="14.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3399"/>
  </sheetPr>
  <dimension ref="A1:H12"/>
  <sheetViews>
    <sheetView workbookViewId="0">
      <selection activeCell="F18" sqref="F18"/>
    </sheetView>
  </sheetViews>
  <sheetFormatPr defaultColWidth="8.54296875" defaultRowHeight="15" customHeight="1"/>
  <cols>
    <col min="1" max="1" width="16.1796875" customWidth="1"/>
    <col min="2" max="2" width="10.1796875" customWidth="1"/>
    <col min="3" max="3" width="15" bestFit="1" customWidth="1"/>
    <col min="4" max="4" width="10.1796875" style="1" customWidth="1"/>
    <col min="5" max="5" width="9.54296875" style="1" customWidth="1"/>
    <col min="6" max="6" width="8.453125" customWidth="1"/>
  </cols>
  <sheetData>
    <row r="1" spans="1:8" ht="14.5">
      <c r="A1" s="11" t="s">
        <v>84</v>
      </c>
      <c r="B1" s="34"/>
      <c r="C1" s="34"/>
      <c r="D1" s="35"/>
      <c r="E1" s="35"/>
    </row>
    <row r="2" spans="1:8" ht="14.5">
      <c r="A2" s="326" t="s">
        <v>85</v>
      </c>
      <c r="B2" s="327"/>
      <c r="C2" s="330" t="s">
        <v>86</v>
      </c>
      <c r="D2" s="330" t="s">
        <v>87</v>
      </c>
      <c r="E2" s="330"/>
    </row>
    <row r="3" spans="1:8" ht="14.5">
      <c r="A3" s="328"/>
      <c r="B3" s="329"/>
      <c r="C3" s="330"/>
      <c r="D3" s="136" t="s">
        <v>38</v>
      </c>
      <c r="E3" s="136" t="s">
        <v>88</v>
      </c>
    </row>
    <row r="4" spans="1:8" ht="14.5">
      <c r="A4" s="36" t="s">
        <v>92</v>
      </c>
      <c r="B4" s="136" t="s">
        <v>90</v>
      </c>
      <c r="C4" s="136" t="s">
        <v>151</v>
      </c>
      <c r="D4" s="324" t="s">
        <v>94</v>
      </c>
      <c r="E4" s="325"/>
      <c r="F4" s="37"/>
      <c r="G4" s="38"/>
      <c r="H4" s="38"/>
    </row>
    <row r="5" spans="1:8" ht="14.5">
      <c r="A5" s="36" t="s">
        <v>93</v>
      </c>
      <c r="B5" s="136" t="s">
        <v>90</v>
      </c>
      <c r="C5" s="136" t="s">
        <v>151</v>
      </c>
      <c r="D5" s="324" t="s">
        <v>94</v>
      </c>
      <c r="E5" s="325"/>
      <c r="F5" s="37"/>
      <c r="G5" s="38"/>
      <c r="H5" s="38"/>
    </row>
    <row r="6" spans="1:8" ht="14.5">
      <c r="A6" s="36" t="s">
        <v>95</v>
      </c>
      <c r="B6" s="136" t="s">
        <v>96</v>
      </c>
      <c r="C6" s="39" t="s">
        <v>126</v>
      </c>
      <c r="D6" s="165">
        <v>2000</v>
      </c>
      <c r="E6" s="165">
        <v>3500</v>
      </c>
      <c r="F6" s="40"/>
      <c r="G6" s="41"/>
      <c r="H6" s="38"/>
    </row>
    <row r="7" spans="1:8" ht="15" customHeight="1">
      <c r="A7" s="42" t="s">
        <v>97</v>
      </c>
      <c r="B7" s="39" t="s">
        <v>96</v>
      </c>
      <c r="C7" s="39" t="s">
        <v>98</v>
      </c>
      <c r="D7" s="324" t="s">
        <v>94</v>
      </c>
      <c r="E7" s="325"/>
      <c r="F7" s="37"/>
      <c r="G7" s="38"/>
      <c r="H7" s="43"/>
    </row>
    <row r="8" spans="1:8" ht="14.5">
      <c r="A8" s="203" t="s">
        <v>131</v>
      </c>
      <c r="B8" s="204" t="s">
        <v>96</v>
      </c>
      <c r="C8" s="231" t="s">
        <v>336</v>
      </c>
      <c r="D8" s="205">
        <v>350</v>
      </c>
      <c r="E8" s="229">
        <v>600</v>
      </c>
      <c r="G8" s="38"/>
      <c r="H8" s="38"/>
    </row>
    <row r="9" spans="1:8" ht="14.5">
      <c r="A9" s="203" t="s">
        <v>309</v>
      </c>
      <c r="B9" s="204" t="s">
        <v>96</v>
      </c>
      <c r="C9" s="231" t="s">
        <v>336</v>
      </c>
      <c r="D9" s="205">
        <v>350</v>
      </c>
      <c r="E9" s="229">
        <v>500</v>
      </c>
      <c r="F9" s="45"/>
      <c r="G9" s="38"/>
      <c r="H9" s="43"/>
    </row>
    <row r="10" spans="1:8" ht="14.5">
      <c r="A10" s="162"/>
      <c r="B10" s="44"/>
      <c r="C10" s="44"/>
      <c r="D10" s="163"/>
      <c r="E10" s="163"/>
      <c r="F10" s="164"/>
      <c r="G10" s="38"/>
      <c r="H10" s="43"/>
    </row>
    <row r="11" spans="1:8" ht="15" customHeight="1">
      <c r="A11" s="22" t="s">
        <v>136</v>
      </c>
      <c r="B11" s="44"/>
      <c r="C11" s="44"/>
      <c r="D11" s="44"/>
      <c r="E11" s="44"/>
    </row>
    <row r="12" spans="1:8" ht="15" customHeight="1">
      <c r="B12" s="44"/>
      <c r="C12" s="44"/>
      <c r="D12" s="44"/>
      <c r="E12" s="44"/>
    </row>
  </sheetData>
  <mergeCells count="6">
    <mergeCell ref="D7:E7"/>
    <mergeCell ref="D4:E4"/>
    <mergeCell ref="A2:B3"/>
    <mergeCell ref="C2:C3"/>
    <mergeCell ref="D2:E2"/>
    <mergeCell ref="D5:E5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66FF"/>
  </sheetPr>
  <dimension ref="A2:F24"/>
  <sheetViews>
    <sheetView zoomScale="70" zoomScaleNormal="70" workbookViewId="0">
      <selection activeCell="B16" sqref="B16"/>
    </sheetView>
  </sheetViews>
  <sheetFormatPr defaultColWidth="9.1796875" defaultRowHeight="14.5"/>
  <cols>
    <col min="1" max="1" width="23.54296875" customWidth="1"/>
    <col min="2" max="2" width="83.81640625" customWidth="1"/>
    <col min="3" max="5" width="18.453125" customWidth="1"/>
    <col min="6" max="6" width="67.81640625" bestFit="1" customWidth="1"/>
  </cols>
  <sheetData>
    <row r="2" spans="1:6" ht="23.5">
      <c r="A2" s="13" t="s">
        <v>105</v>
      </c>
      <c r="B2" s="14"/>
      <c r="C2" s="14"/>
      <c r="D2" s="14"/>
      <c r="E2" s="14"/>
      <c r="F2" s="14"/>
    </row>
    <row r="3" spans="1:6" ht="24" thickBot="1">
      <c r="A3" s="13"/>
      <c r="B3" s="14"/>
      <c r="C3" s="14"/>
      <c r="D3" s="14"/>
      <c r="E3" s="14"/>
      <c r="F3" s="14"/>
    </row>
    <row r="4" spans="1:6">
      <c r="A4" s="332" t="s">
        <v>127</v>
      </c>
      <c r="B4" s="15" t="s">
        <v>106</v>
      </c>
      <c r="C4" s="16" t="s">
        <v>107</v>
      </c>
      <c r="D4" s="16" t="s">
        <v>108</v>
      </c>
      <c r="E4" s="16" t="s">
        <v>109</v>
      </c>
      <c r="F4" s="17" t="s">
        <v>110</v>
      </c>
    </row>
    <row r="5" spans="1:6">
      <c r="A5" s="333"/>
      <c r="B5" s="137" t="s">
        <v>111</v>
      </c>
      <c r="C5" s="331" t="s">
        <v>112</v>
      </c>
      <c r="D5" s="331"/>
      <c r="E5" s="331"/>
      <c r="F5" s="138"/>
    </row>
    <row r="6" spans="1:6">
      <c r="A6" s="333"/>
      <c r="B6" s="150" t="s">
        <v>295</v>
      </c>
      <c r="C6" s="151" t="s">
        <v>296</v>
      </c>
      <c r="D6" s="151" t="s">
        <v>297</v>
      </c>
      <c r="E6" s="151" t="s">
        <v>297</v>
      </c>
      <c r="F6" s="138"/>
    </row>
    <row r="7" spans="1:6">
      <c r="A7" s="333"/>
      <c r="B7" s="150" t="s">
        <v>298</v>
      </c>
      <c r="C7" s="151" t="s">
        <v>299</v>
      </c>
      <c r="D7" s="151" t="s">
        <v>300</v>
      </c>
      <c r="E7" s="151" t="s">
        <v>300</v>
      </c>
      <c r="F7" s="138"/>
    </row>
    <row r="8" spans="1:6">
      <c r="A8" s="333"/>
      <c r="B8" s="150" t="s">
        <v>303</v>
      </c>
      <c r="C8" s="151" t="s">
        <v>301</v>
      </c>
      <c r="D8" s="151" t="s">
        <v>302</v>
      </c>
      <c r="E8" s="151" t="s">
        <v>302</v>
      </c>
      <c r="F8" s="138"/>
    </row>
    <row r="9" spans="1:6">
      <c r="A9" s="333"/>
      <c r="B9" s="137" t="s">
        <v>113</v>
      </c>
      <c r="C9" s="152" t="s">
        <v>114</v>
      </c>
      <c r="D9" s="152" t="s">
        <v>115</v>
      </c>
      <c r="E9" s="152" t="s">
        <v>115</v>
      </c>
      <c r="F9" s="153"/>
    </row>
    <row r="10" spans="1:6">
      <c r="A10" s="333"/>
      <c r="B10" s="137" t="s">
        <v>116</v>
      </c>
      <c r="C10" s="139" t="s">
        <v>114</v>
      </c>
      <c r="D10" s="139" t="s">
        <v>115</v>
      </c>
      <c r="E10" s="139" t="s">
        <v>115</v>
      </c>
      <c r="F10" s="138"/>
    </row>
    <row r="11" spans="1:6">
      <c r="A11" s="333"/>
      <c r="B11" s="150" t="s">
        <v>304</v>
      </c>
      <c r="C11" s="209" t="s">
        <v>114</v>
      </c>
      <c r="D11" s="209" t="s">
        <v>115</v>
      </c>
      <c r="E11" s="209" t="s">
        <v>115</v>
      </c>
      <c r="F11" s="138"/>
    </row>
    <row r="12" spans="1:6">
      <c r="A12" s="333"/>
      <c r="B12" s="221" t="s">
        <v>333</v>
      </c>
      <c r="C12" s="222" t="s">
        <v>305</v>
      </c>
      <c r="D12" s="222" t="s">
        <v>306</v>
      </c>
      <c r="E12" s="222" t="s">
        <v>306</v>
      </c>
      <c r="F12" s="154"/>
    </row>
    <row r="13" spans="1:6">
      <c r="A13" s="333"/>
      <c r="B13" s="137" t="s">
        <v>141</v>
      </c>
      <c r="C13" s="152" t="s">
        <v>114</v>
      </c>
      <c r="D13" s="152" t="s">
        <v>115</v>
      </c>
      <c r="E13" s="152" t="s">
        <v>115</v>
      </c>
      <c r="F13" s="153"/>
    </row>
    <row r="14" spans="1:6">
      <c r="A14" s="333"/>
      <c r="B14" s="137" t="s">
        <v>142</v>
      </c>
      <c r="C14" s="331" t="s">
        <v>112</v>
      </c>
      <c r="D14" s="331"/>
      <c r="E14" s="331"/>
      <c r="F14" s="138"/>
    </row>
    <row r="15" spans="1:6">
      <c r="A15" s="333"/>
      <c r="B15" s="137" t="s">
        <v>117</v>
      </c>
      <c r="C15" s="152" t="s">
        <v>140</v>
      </c>
      <c r="D15" s="152" t="s">
        <v>114</v>
      </c>
      <c r="E15" s="152" t="s">
        <v>114</v>
      </c>
      <c r="F15" s="153"/>
    </row>
    <row r="16" spans="1:6" ht="27.5" customHeight="1" thickBot="1">
      <c r="A16" s="334"/>
      <c r="B16" s="18" t="s">
        <v>118</v>
      </c>
      <c r="C16" s="155" t="s">
        <v>140</v>
      </c>
      <c r="D16" s="155" t="s">
        <v>114</v>
      </c>
      <c r="E16" s="155" t="s">
        <v>114</v>
      </c>
      <c r="F16" s="156"/>
    </row>
    <row r="17" spans="1:6">
      <c r="A17" s="140" t="s">
        <v>119</v>
      </c>
      <c r="B17" s="141"/>
      <c r="C17" s="142"/>
      <c r="D17" s="142"/>
      <c r="E17" s="142"/>
      <c r="F17" s="143"/>
    </row>
    <row r="18" spans="1:6">
      <c r="B18" s="19"/>
      <c r="C18" s="144"/>
      <c r="D18" s="144"/>
      <c r="E18" s="144"/>
      <c r="F18" s="20"/>
    </row>
    <row r="20" spans="1:6" ht="14.5" customHeight="1" thickBot="1"/>
    <row r="21" spans="1:6" ht="14.5" customHeight="1">
      <c r="A21" s="335" t="s">
        <v>128</v>
      </c>
      <c r="B21" s="15" t="s">
        <v>120</v>
      </c>
      <c r="C21" s="16" t="s">
        <v>107</v>
      </c>
      <c r="D21" s="16" t="s">
        <v>108</v>
      </c>
      <c r="E21" s="16" t="s">
        <v>109</v>
      </c>
      <c r="F21" s="17" t="s">
        <v>110</v>
      </c>
    </row>
    <row r="22" spans="1:6" ht="31.5" customHeight="1">
      <c r="A22" s="336"/>
      <c r="B22" s="145" t="s">
        <v>320</v>
      </c>
      <c r="C22" s="208" t="s">
        <v>317</v>
      </c>
      <c r="D22" s="208" t="s">
        <v>318</v>
      </c>
      <c r="E22" s="208" t="s">
        <v>318</v>
      </c>
      <c r="F22" s="146" t="s">
        <v>143</v>
      </c>
    </row>
    <row r="23" spans="1:6" ht="35.25" customHeight="1">
      <c r="A23" s="336"/>
      <c r="B23" s="206" t="s">
        <v>321</v>
      </c>
      <c r="C23" s="211">
        <v>0</v>
      </c>
      <c r="D23" s="211">
        <v>0</v>
      </c>
      <c r="E23" s="211">
        <v>0</v>
      </c>
      <c r="F23" s="146" t="s">
        <v>143</v>
      </c>
    </row>
    <row r="24" spans="1:6" ht="15" thickBot="1">
      <c r="A24" s="337"/>
      <c r="B24" s="207" t="s">
        <v>144</v>
      </c>
      <c r="C24" s="210">
        <v>0</v>
      </c>
      <c r="D24" s="210">
        <v>0</v>
      </c>
      <c r="E24" s="210">
        <v>0</v>
      </c>
      <c r="F24" s="23" t="s">
        <v>121</v>
      </c>
    </row>
  </sheetData>
  <mergeCells count="4">
    <mergeCell ref="C5:E5"/>
    <mergeCell ref="A4:A16"/>
    <mergeCell ref="C14:E14"/>
    <mergeCell ref="A21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DRY</vt:lpstr>
      <vt:lpstr>R5 NOR</vt:lpstr>
      <vt:lpstr>Ingauge FAK</vt:lpstr>
      <vt:lpstr>Yangtze ARB Add-on</vt:lpstr>
      <vt:lpstr>ECSA Add-On</vt:lpstr>
      <vt:lpstr>IMO charge</vt:lpstr>
      <vt:lpstr>POD</vt:lpstr>
      <vt:lpstr>POL</vt:lpstr>
      <vt:lpstr>DRY!Print_Area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San Ong</dc:creator>
  <cp:lastModifiedBy>Winky Ng</cp:lastModifiedBy>
  <cp:lastPrinted>2019-05-07T02:43:56Z</cp:lastPrinted>
  <dcterms:created xsi:type="dcterms:W3CDTF">2018-03-26T10:53:49Z</dcterms:created>
  <dcterms:modified xsi:type="dcterms:W3CDTF">2026-07-30T04:12:08Z</dcterms:modified>
</cp:coreProperties>
</file>